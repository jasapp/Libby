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braries 10k+" sheetId="1" state="visible" r:id="rId3"/>
    <sheet name="Notes" sheetId="2" state="visible" r:id="rId4"/>
  </sheets>
  <definedNames>
    <definedName function="false" hidden="true" localSheetId="0" name="_xlnm._FilterDatabase" vbProcedure="false">'Libraries 10k+'!$A$1:$M$3881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<sst xmlns="http://schemas.openxmlformats.org/spreadsheetml/2006/main" count="23300" uniqueCount="15266">
  <si>
    <t xml:space="preserve">State</t>
  </si>
  <si>
    <t xml:space="preserve">Library System</t>
  </si>
  <si>
    <t xml:space="preserve">City</t>
  </si>
  <si>
    <t xml:space="preserve">County</t>
  </si>
  <si>
    <t xml:space="preserve">Population Served</t>
  </si>
  <si>
    <t xml:space="preserve">Buildings (central+branch)</t>
  </si>
  <si>
    <t xml:space="preserve">Phone</t>
  </si>
  <si>
    <t xml:space="preserve">Latitude</t>
  </si>
  <si>
    <t xml:space="preserve">Longitude</t>
  </si>
  <si>
    <t xml:space="preserve">IMLS ID</t>
  </si>
  <si>
    <t xml:space="preserve">Find Website</t>
  </si>
  <si>
    <t xml:space="preserve">Website (fill in)</t>
  </si>
  <si>
    <t xml:space="preserve">Libby / OverDrive URL</t>
  </si>
  <si>
    <t xml:space="preserve">AK</t>
  </si>
  <si>
    <t xml:space="preserve">Anchorage Public Library</t>
  </si>
  <si>
    <t xml:space="preserve">Anchorage</t>
  </si>
  <si>
    <t xml:space="preserve">(907) 343-2892</t>
  </si>
  <si>
    <t xml:space="preserve">AK0002</t>
  </si>
  <si>
    <t xml:space="preserve">Big Lake Public Library</t>
  </si>
  <si>
    <t xml:space="preserve">Wasilla</t>
  </si>
  <si>
    <t xml:space="preserve">Matanuska-Susitna</t>
  </si>
  <si>
    <t xml:space="preserve">(907) 861-7636</t>
  </si>
  <si>
    <t xml:space="preserve">AK0007</t>
  </si>
  <si>
    <t xml:space="preserve">Fairbanks North Star Borough Public Libraries</t>
  </si>
  <si>
    <t xml:space="preserve">Fairbanks</t>
  </si>
  <si>
    <t xml:space="preserve">Fairbanks North Star</t>
  </si>
  <si>
    <t xml:space="preserve">(907) 459-1022</t>
  </si>
  <si>
    <t xml:space="preserve">AK0023</t>
  </si>
  <si>
    <t xml:space="preserve">Ketchikan Public Library</t>
  </si>
  <si>
    <t xml:space="preserve">Ketchikan</t>
  </si>
  <si>
    <t xml:space="preserve">Ketchikan Gateway</t>
  </si>
  <si>
    <t xml:space="preserve">(907) 225-3331</t>
  </si>
  <si>
    <t xml:space="preserve">AK0039</t>
  </si>
  <si>
    <t xml:space="preserve">Kodiak Public Library</t>
  </si>
  <si>
    <t xml:space="preserve">Kodiak</t>
  </si>
  <si>
    <t xml:space="preserve">Kodiak Island</t>
  </si>
  <si>
    <t xml:space="preserve">(907) 486-8686</t>
  </si>
  <si>
    <t xml:space="preserve">AK0040</t>
  </si>
  <si>
    <t xml:space="preserve">Palmer Public Library</t>
  </si>
  <si>
    <t xml:space="preserve">Palmer</t>
  </si>
  <si>
    <t xml:space="preserve">(907) 761-1371</t>
  </si>
  <si>
    <t xml:space="preserve">AK0055</t>
  </si>
  <si>
    <t xml:space="preserve">Tuzzy Consortium Library</t>
  </si>
  <si>
    <t xml:space="preserve">Utqiagvik</t>
  </si>
  <si>
    <t xml:space="preserve">North Slope</t>
  </si>
  <si>
    <t xml:space="preserve">(907) 852-4050</t>
  </si>
  <si>
    <t xml:space="preserve">AK0094</t>
  </si>
  <si>
    <t xml:space="preserve">Wasilla Public Library</t>
  </si>
  <si>
    <t xml:space="preserve">(907) 376-5913</t>
  </si>
  <si>
    <t xml:space="preserve">AK0078</t>
  </si>
  <si>
    <t xml:space="preserve">AL</t>
  </si>
  <si>
    <t xml:space="preserve">Alabaster - Albert L. Scott Library</t>
  </si>
  <si>
    <t xml:space="preserve">Alabaster</t>
  </si>
  <si>
    <t xml:space="preserve">Shelby</t>
  </si>
  <si>
    <t xml:space="preserve">(205) 664-6822</t>
  </si>
  <si>
    <t xml:space="preserve">AL0129</t>
  </si>
  <si>
    <t xml:space="preserve">Albertville Public Library</t>
  </si>
  <si>
    <t xml:space="preserve">Albertville</t>
  </si>
  <si>
    <t xml:space="preserve">Marshall</t>
  </si>
  <si>
    <t xml:space="preserve">(256) 891-8290</t>
  </si>
  <si>
    <t xml:space="preserve">AL0127</t>
  </si>
  <si>
    <t xml:space="preserve">Alexander City - Adelia Mcconnell Russell Library</t>
  </si>
  <si>
    <t xml:space="preserve">Alexander City</t>
  </si>
  <si>
    <t xml:space="preserve">Tallapoosa</t>
  </si>
  <si>
    <t xml:space="preserve">(256) 329-6796</t>
  </si>
  <si>
    <t xml:space="preserve">AL0049</t>
  </si>
  <si>
    <t xml:space="preserve">Andalusia Public Library</t>
  </si>
  <si>
    <t xml:space="preserve">Andalusia</t>
  </si>
  <si>
    <t xml:space="preserve">Covington</t>
  </si>
  <si>
    <t xml:space="preserve">(334) 222-6612</t>
  </si>
  <si>
    <t xml:space="preserve">AL0037</t>
  </si>
  <si>
    <t xml:space="preserve">Anniston - Calhoun County Public Library</t>
  </si>
  <si>
    <t xml:space="preserve">Anniston</t>
  </si>
  <si>
    <t xml:space="preserve">Calhoun</t>
  </si>
  <si>
    <t xml:space="preserve">(256) 237-8501</t>
  </si>
  <si>
    <t xml:space="preserve">AL0154</t>
  </si>
  <si>
    <t xml:space="preserve">Athens - Limestone Public Library</t>
  </si>
  <si>
    <t xml:space="preserve">Athens</t>
  </si>
  <si>
    <t xml:space="preserve">Limestone</t>
  </si>
  <si>
    <t xml:space="preserve">(256) 232-1233</t>
  </si>
  <si>
    <t xml:space="preserve">AL0076</t>
  </si>
  <si>
    <t xml:space="preserve">Auburn Public Library</t>
  </si>
  <si>
    <t xml:space="preserve">Auburn</t>
  </si>
  <si>
    <t xml:space="preserve">Lee</t>
  </si>
  <si>
    <t xml:space="preserve">(334) 501-3190</t>
  </si>
  <si>
    <t xml:space="preserve">AL0052</t>
  </si>
  <si>
    <t xml:space="preserve">Autauga - Prattville Public Library</t>
  </si>
  <si>
    <t xml:space="preserve">Prattville</t>
  </si>
  <si>
    <t xml:space="preserve">Autauga</t>
  </si>
  <si>
    <t xml:space="preserve">(334) 365-3396</t>
  </si>
  <si>
    <t xml:space="preserve">AL0192</t>
  </si>
  <si>
    <t xml:space="preserve">Baldwin County Library Cooperative</t>
  </si>
  <si>
    <t xml:space="preserve">Robertsdale</t>
  </si>
  <si>
    <t xml:space="preserve">Baldwin</t>
  </si>
  <si>
    <t xml:space="preserve">(251) 970-4010</t>
  </si>
  <si>
    <t xml:space="preserve">AL0080</t>
  </si>
  <si>
    <t xml:space="preserve">Bessemer Public Library</t>
  </si>
  <si>
    <t xml:space="preserve">Bessemer</t>
  </si>
  <si>
    <t xml:space="preserve">Jefferson</t>
  </si>
  <si>
    <t xml:space="preserve">(205) 428-7882</t>
  </si>
  <si>
    <t xml:space="preserve">AL0091</t>
  </si>
  <si>
    <t xml:space="preserve">Birmingham Public Library</t>
  </si>
  <si>
    <t xml:space="preserve">Birmingham</t>
  </si>
  <si>
    <t xml:space="preserve">(205) 226-3610</t>
  </si>
  <si>
    <t xml:space="preserve">AL0108</t>
  </si>
  <si>
    <t xml:space="preserve">Blountsville Public Library</t>
  </si>
  <si>
    <t xml:space="preserve">Blountsville</t>
  </si>
  <si>
    <t xml:space="preserve">Blount</t>
  </si>
  <si>
    <t xml:space="preserve">(205) 429-3156</t>
  </si>
  <si>
    <t xml:space="preserve">AL0159</t>
  </si>
  <si>
    <t xml:space="preserve">Brent - Centreville Public Library</t>
  </si>
  <si>
    <t xml:space="preserve">Centreville</t>
  </si>
  <si>
    <t xml:space="preserve">Bibb</t>
  </si>
  <si>
    <t xml:space="preserve">(205) 926-4736</t>
  </si>
  <si>
    <t xml:space="preserve">AL0161</t>
  </si>
  <si>
    <t xml:space="preserve">Calera Public Library</t>
  </si>
  <si>
    <t xml:space="preserve">Calera</t>
  </si>
  <si>
    <t xml:space="preserve">(205) 668-7200</t>
  </si>
  <si>
    <t xml:space="preserve">AL0130</t>
  </si>
  <si>
    <t xml:space="preserve">Center Point Public Library</t>
  </si>
  <si>
    <t xml:space="preserve">Center Point</t>
  </si>
  <si>
    <t xml:space="preserve">(205) 536-7750</t>
  </si>
  <si>
    <t xml:space="preserve">AL8013</t>
  </si>
  <si>
    <t xml:space="preserve">Cheaha Regional Library</t>
  </si>
  <si>
    <t xml:space="preserve">Heflin</t>
  </si>
  <si>
    <t xml:space="preserve">Cleburne</t>
  </si>
  <si>
    <t xml:space="preserve">(256) 463-7125</t>
  </si>
  <si>
    <t xml:space="preserve">AL0010</t>
  </si>
  <si>
    <t xml:space="preserve">Chelsea Public Library</t>
  </si>
  <si>
    <t xml:space="preserve">Chelsea</t>
  </si>
  <si>
    <t xml:space="preserve">(205) 847-5750</t>
  </si>
  <si>
    <t xml:space="preserve">AL0240</t>
  </si>
  <si>
    <t xml:space="preserve">Chilton - Clanton Public Library</t>
  </si>
  <si>
    <t xml:space="preserve">Clanton</t>
  </si>
  <si>
    <t xml:space="preserve">Chilton</t>
  </si>
  <si>
    <t xml:space="preserve">(205) 755-1768</t>
  </si>
  <si>
    <t xml:space="preserve">AL0162</t>
  </si>
  <si>
    <t xml:space="preserve">Choctaw County Public Library</t>
  </si>
  <si>
    <t xml:space="preserve">Butler</t>
  </si>
  <si>
    <t xml:space="preserve">Choctaw</t>
  </si>
  <si>
    <t xml:space="preserve">(205) 459-2542</t>
  </si>
  <si>
    <t xml:space="preserve">AL0163</t>
  </si>
  <si>
    <t xml:space="preserve">Clay Public Library</t>
  </si>
  <si>
    <t xml:space="preserve">Pinson</t>
  </si>
  <si>
    <t xml:space="preserve">(205) 680-3812</t>
  </si>
  <si>
    <t xml:space="preserve">AL0244</t>
  </si>
  <si>
    <t xml:space="preserve">Cullman County Public Library</t>
  </si>
  <si>
    <t xml:space="preserve">Cullman</t>
  </si>
  <si>
    <t xml:space="preserve">(256) 734-1068</t>
  </si>
  <si>
    <t xml:space="preserve">AL0199</t>
  </si>
  <si>
    <t xml:space="preserve">Daphne Public Library</t>
  </si>
  <si>
    <t xml:space="preserve">Daphne</t>
  </si>
  <si>
    <t xml:space="preserve">(251) 620-2500</t>
  </si>
  <si>
    <t xml:space="preserve">AL0081</t>
  </si>
  <si>
    <t xml:space="preserve">Decatur Public Library</t>
  </si>
  <si>
    <t xml:space="preserve">Decatur</t>
  </si>
  <si>
    <t xml:space="preserve">Morgan</t>
  </si>
  <si>
    <t xml:space="preserve">(256) 353-2993</t>
  </si>
  <si>
    <t xml:space="preserve">AL0077</t>
  </si>
  <si>
    <t xml:space="preserve">Demopolis Public Library</t>
  </si>
  <si>
    <t xml:space="preserve">Demopolis</t>
  </si>
  <si>
    <t xml:space="preserve">Marengo</t>
  </si>
  <si>
    <t xml:space="preserve">(334) 289-1595</t>
  </si>
  <si>
    <t xml:space="preserve">AL0121</t>
  </si>
  <si>
    <t xml:space="preserve">Dothan Houston County Library System</t>
  </si>
  <si>
    <t xml:space="preserve">Dothan</t>
  </si>
  <si>
    <t xml:space="preserve">Houston</t>
  </si>
  <si>
    <t xml:space="preserve">(334) 793-9767</t>
  </si>
  <si>
    <t xml:space="preserve">AL0158</t>
  </si>
  <si>
    <t xml:space="preserve">Elba Public Library</t>
  </si>
  <si>
    <t xml:space="preserve">Elba</t>
  </si>
  <si>
    <t xml:space="preserve">Coffee</t>
  </si>
  <si>
    <t xml:space="preserve">(334) 897-6921</t>
  </si>
  <si>
    <t xml:space="preserve">AL0039</t>
  </si>
  <si>
    <t xml:space="preserve">Enterprise Public Library</t>
  </si>
  <si>
    <t xml:space="preserve">Enterprise</t>
  </si>
  <si>
    <t xml:space="preserve">(334) 347-2636</t>
  </si>
  <si>
    <t xml:space="preserve">AL0041</t>
  </si>
  <si>
    <t xml:space="preserve">Eufaula Carnegie Library</t>
  </si>
  <si>
    <t xml:space="preserve">Eufaula</t>
  </si>
  <si>
    <t xml:space="preserve">Barbour</t>
  </si>
  <si>
    <t xml:space="preserve">(334) 687-2336</t>
  </si>
  <si>
    <t xml:space="preserve">AL0209</t>
  </si>
  <si>
    <t xml:space="preserve">Evergreen Public Library</t>
  </si>
  <si>
    <t xml:space="preserve">Evergreen</t>
  </si>
  <si>
    <t xml:space="preserve">Conecuh</t>
  </si>
  <si>
    <t xml:space="preserve">(251) 578-2670</t>
  </si>
  <si>
    <t xml:space="preserve">AL0184</t>
  </si>
  <si>
    <t xml:space="preserve">Fairfield - Walter J. Hanna Memorial Library</t>
  </si>
  <si>
    <t xml:space="preserve">Fairfield</t>
  </si>
  <si>
    <t xml:space="preserve">(205) 783-6007</t>
  </si>
  <si>
    <t xml:space="preserve">AL0093</t>
  </si>
  <si>
    <t xml:space="preserve">Fairhope Public Library</t>
  </si>
  <si>
    <t xml:space="preserve">Fairhope</t>
  </si>
  <si>
    <t xml:space="preserve">(251) 928-7483</t>
  </si>
  <si>
    <t xml:space="preserve">AL0082</t>
  </si>
  <si>
    <t xml:space="preserve">Fayette County Memorial Library</t>
  </si>
  <si>
    <t xml:space="preserve">Fayette</t>
  </si>
  <si>
    <t xml:space="preserve">(205) 932-6625</t>
  </si>
  <si>
    <t xml:space="preserve">AL0193</t>
  </si>
  <si>
    <t xml:space="preserve">Florence - Lauderdale Public Library</t>
  </si>
  <si>
    <t xml:space="preserve">Florence</t>
  </si>
  <si>
    <t xml:space="preserve">Lauderdale</t>
  </si>
  <si>
    <t xml:space="preserve">(256) 764-6564</t>
  </si>
  <si>
    <t xml:space="preserve">AL0059</t>
  </si>
  <si>
    <t xml:space="preserve">Foley Public Library</t>
  </si>
  <si>
    <t xml:space="preserve">Foley</t>
  </si>
  <si>
    <t xml:space="preserve">(251) 943-7665</t>
  </si>
  <si>
    <t xml:space="preserve">AL0083</t>
  </si>
  <si>
    <t xml:space="preserve">Fort Payne - Dekalb County Public Library</t>
  </si>
  <si>
    <t xml:space="preserve">Fort Payne</t>
  </si>
  <si>
    <t xml:space="preserve">Dekalb</t>
  </si>
  <si>
    <t xml:space="preserve">(256) 845-2671</t>
  </si>
  <si>
    <t xml:space="preserve">AL0109</t>
  </si>
  <si>
    <t xml:space="preserve">Gadsden - Etowah County Public Library</t>
  </si>
  <si>
    <t xml:space="preserve">Gadsden</t>
  </si>
  <si>
    <t xml:space="preserve">Etowah</t>
  </si>
  <si>
    <t xml:space="preserve">(256) 549-4699</t>
  </si>
  <si>
    <t xml:space="preserve">AL0117</t>
  </si>
  <si>
    <t xml:space="preserve">Gardendale - Martha Moore Public Library</t>
  </si>
  <si>
    <t xml:space="preserve">Gardendale</t>
  </si>
  <si>
    <t xml:space="preserve">(205) 631-6639</t>
  </si>
  <si>
    <t xml:space="preserve">AL0095</t>
  </si>
  <si>
    <t xml:space="preserve">Greenville - Butler County Public Library</t>
  </si>
  <si>
    <t xml:space="preserve">Greenville</t>
  </si>
  <si>
    <t xml:space="preserve">(334) 382-3216</t>
  </si>
  <si>
    <t xml:space="preserve">AL0168</t>
  </si>
  <si>
    <t xml:space="preserve">Gulf Shores - Thomas B. Norton Public Library</t>
  </si>
  <si>
    <t xml:space="preserve">Gulf Shores</t>
  </si>
  <si>
    <t xml:space="preserve">(251) 968-1176</t>
  </si>
  <si>
    <t xml:space="preserve">AL0088</t>
  </si>
  <si>
    <t xml:space="preserve">Harrison Regional Library System</t>
  </si>
  <si>
    <t xml:space="preserve">Columbiana</t>
  </si>
  <si>
    <t xml:space="preserve">(205) 669-3910</t>
  </si>
  <si>
    <t xml:space="preserve">AL0128</t>
  </si>
  <si>
    <t xml:space="preserve">Hartselle - William Bradford Huie Library Of Hartselle</t>
  </si>
  <si>
    <t xml:space="preserve">Hartselle</t>
  </si>
  <si>
    <t xml:space="preserve">(256) 773-9880</t>
  </si>
  <si>
    <t xml:space="preserve">AL0078</t>
  </si>
  <si>
    <t xml:space="preserve">Helena - Jane B. Holmes Public Library</t>
  </si>
  <si>
    <t xml:space="preserve">Helena</t>
  </si>
  <si>
    <t xml:space="preserve">(205) 664-8308</t>
  </si>
  <si>
    <t xml:space="preserve">AL0132</t>
  </si>
  <si>
    <t xml:space="preserve">Homewood Public Library</t>
  </si>
  <si>
    <t xml:space="preserve">Homewood</t>
  </si>
  <si>
    <t xml:space="preserve">(205) 332-6600</t>
  </si>
  <si>
    <t xml:space="preserve">AL0097</t>
  </si>
  <si>
    <t xml:space="preserve">Hoover Public Library</t>
  </si>
  <si>
    <t xml:space="preserve">Hoover</t>
  </si>
  <si>
    <t xml:space="preserve">(205) 444-7800</t>
  </si>
  <si>
    <t xml:space="preserve">AL0098</t>
  </si>
  <si>
    <t xml:space="preserve">Horseshoe Bend Regional Library</t>
  </si>
  <si>
    <t xml:space="preserve">Dadeville</t>
  </si>
  <si>
    <t xml:space="preserve">(256) 825-9232</t>
  </si>
  <si>
    <t xml:space="preserve">AL0048</t>
  </si>
  <si>
    <t xml:space="preserve">Hueytown Public Library</t>
  </si>
  <si>
    <t xml:space="preserve">Hueytown</t>
  </si>
  <si>
    <t xml:space="preserve">(205) 491-1443</t>
  </si>
  <si>
    <t xml:space="preserve">AL0099</t>
  </si>
  <si>
    <t xml:space="preserve">Huntsville - Madison County Public Library</t>
  </si>
  <si>
    <t xml:space="preserve">Huntsville</t>
  </si>
  <si>
    <t xml:space="preserve">Madison</t>
  </si>
  <si>
    <t xml:space="preserve">(256) 532-5950</t>
  </si>
  <si>
    <t xml:space="preserve">AL0166</t>
  </si>
  <si>
    <t xml:space="preserve">Irondale Public Library</t>
  </si>
  <si>
    <t xml:space="preserve">Irondale</t>
  </si>
  <si>
    <t xml:space="preserve">(205) 951-1415</t>
  </si>
  <si>
    <t xml:space="preserve">AL0100</t>
  </si>
  <si>
    <t xml:space="preserve">Jacksonville Public Library</t>
  </si>
  <si>
    <t xml:space="preserve">Jacksonville</t>
  </si>
  <si>
    <t xml:space="preserve">(256) 435-6332</t>
  </si>
  <si>
    <t xml:space="preserve">AL0155</t>
  </si>
  <si>
    <t xml:space="preserve">Jasper Public Library</t>
  </si>
  <si>
    <t xml:space="preserve">Jasper</t>
  </si>
  <si>
    <t xml:space="preserve">Walker</t>
  </si>
  <si>
    <t xml:space="preserve">(205) 221-8512</t>
  </si>
  <si>
    <t xml:space="preserve">AL0007</t>
  </si>
  <si>
    <t xml:space="preserve">Lawrence County Public Library</t>
  </si>
  <si>
    <t xml:space="preserve">Moulton</t>
  </si>
  <si>
    <t xml:space="preserve">Lawrence</t>
  </si>
  <si>
    <t xml:space="preserve">(256) 974-0883</t>
  </si>
  <si>
    <t xml:space="preserve">AL0079</t>
  </si>
  <si>
    <t xml:space="preserve">Leeds - Jane Culbreth Library</t>
  </si>
  <si>
    <t xml:space="preserve">Leeds</t>
  </si>
  <si>
    <t xml:space="preserve">(205) 699-5962</t>
  </si>
  <si>
    <t xml:space="preserve">AL0101</t>
  </si>
  <si>
    <t xml:space="preserve">Luverne Public Library</t>
  </si>
  <si>
    <t xml:space="preserve">Luverne</t>
  </si>
  <si>
    <t xml:space="preserve">Crenshaw</t>
  </si>
  <si>
    <t xml:space="preserve">(334) 335-5326</t>
  </si>
  <si>
    <t xml:space="preserve">AL0044</t>
  </si>
  <si>
    <t xml:space="preserve">Macon County - Tuskegee Public Library</t>
  </si>
  <si>
    <t xml:space="preserve">Tuskegee</t>
  </si>
  <si>
    <t xml:space="preserve">Macon</t>
  </si>
  <si>
    <t xml:space="preserve">(334) 727-5192</t>
  </si>
  <si>
    <t xml:space="preserve">AL0178</t>
  </si>
  <si>
    <t xml:space="preserve">Marshall County Cooperative Library</t>
  </si>
  <si>
    <t xml:space="preserve">Guntersville</t>
  </si>
  <si>
    <t xml:space="preserve">(256) 878-8523</t>
  </si>
  <si>
    <t xml:space="preserve">AL0123</t>
  </si>
  <si>
    <t xml:space="preserve">Millbrook Public Library</t>
  </si>
  <si>
    <t xml:space="preserve">Millbrook</t>
  </si>
  <si>
    <t xml:space="preserve">Elmore</t>
  </si>
  <si>
    <t xml:space="preserve">(334) 285-6688</t>
  </si>
  <si>
    <t xml:space="preserve">AL0054</t>
  </si>
  <si>
    <t xml:space="preserve">Mobile Public Library</t>
  </si>
  <si>
    <t xml:space="preserve">Mobile</t>
  </si>
  <si>
    <t xml:space="preserve">(251) 208-7073</t>
  </si>
  <si>
    <t xml:space="preserve">AL0186</t>
  </si>
  <si>
    <t xml:space="preserve">Monroe County Public Library</t>
  </si>
  <si>
    <t xml:space="preserve">Monroeville</t>
  </si>
  <si>
    <t xml:space="preserve">Monroe</t>
  </si>
  <si>
    <t xml:space="preserve">(251) 743-3818</t>
  </si>
  <si>
    <t xml:space="preserve">AL0198</t>
  </si>
  <si>
    <t xml:space="preserve">Montgomery City-County Public Library</t>
  </si>
  <si>
    <t xml:space="preserve">Montgomery</t>
  </si>
  <si>
    <t xml:space="preserve">(334) 625-4300</t>
  </si>
  <si>
    <t xml:space="preserve">AL0187</t>
  </si>
  <si>
    <t xml:space="preserve">Moody - Doris Stanley Memorial Library</t>
  </si>
  <si>
    <t xml:space="preserve">Moody</t>
  </si>
  <si>
    <t xml:space="preserve">St. Clair</t>
  </si>
  <si>
    <t xml:space="preserve">(205) 640-2517</t>
  </si>
  <si>
    <t xml:space="preserve">AL0146</t>
  </si>
  <si>
    <t xml:space="preserve">Mountain Brook - Emmet O`Neal Library</t>
  </si>
  <si>
    <t xml:space="preserve">Mountain Brook</t>
  </si>
  <si>
    <t xml:space="preserve">(205) 879-0459</t>
  </si>
  <si>
    <t xml:space="preserve">AL0092</t>
  </si>
  <si>
    <t xml:space="preserve">Muscle Shoals Public Library</t>
  </si>
  <si>
    <t xml:space="preserve">Muscle Shoals</t>
  </si>
  <si>
    <t xml:space="preserve">Colbert</t>
  </si>
  <si>
    <t xml:space="preserve">(256) 386-9212</t>
  </si>
  <si>
    <t xml:space="preserve">AL0062</t>
  </si>
  <si>
    <t xml:space="preserve">North Shelby Library</t>
  </si>
  <si>
    <t xml:space="preserve">(205) 439-5555</t>
  </si>
  <si>
    <t xml:space="preserve">AL0137</t>
  </si>
  <si>
    <t xml:space="preserve">Odenville Public Library</t>
  </si>
  <si>
    <t xml:space="preserve">Odenville</t>
  </si>
  <si>
    <t xml:space="preserve">(205) 629-5901</t>
  </si>
  <si>
    <t xml:space="preserve">AL0147</t>
  </si>
  <si>
    <t xml:space="preserve">Oneonta Public Library</t>
  </si>
  <si>
    <t xml:space="preserve">Oneonta</t>
  </si>
  <si>
    <t xml:space="preserve">(205) 274-7641</t>
  </si>
  <si>
    <t xml:space="preserve">AL0176</t>
  </si>
  <si>
    <t xml:space="preserve">Opelika Public Library</t>
  </si>
  <si>
    <t xml:space="preserve">Opelika</t>
  </si>
  <si>
    <t xml:space="preserve">(334) 705-5380</t>
  </si>
  <si>
    <t xml:space="preserve">AL0053</t>
  </si>
  <si>
    <t xml:space="preserve">Opp Public Library</t>
  </si>
  <si>
    <t xml:space="preserve">Opp</t>
  </si>
  <si>
    <t xml:space="preserve">(334) 493-6423</t>
  </si>
  <si>
    <t xml:space="preserve">AL0045</t>
  </si>
  <si>
    <t xml:space="preserve">Oxford Public Library</t>
  </si>
  <si>
    <t xml:space="preserve">Oxford</t>
  </si>
  <si>
    <t xml:space="preserve">(256) 831-1750</t>
  </si>
  <si>
    <t xml:space="preserve">AL0019</t>
  </si>
  <si>
    <t xml:space="preserve">Ozark - Dale County Public Library</t>
  </si>
  <si>
    <t xml:space="preserve">Ozark</t>
  </si>
  <si>
    <t xml:space="preserve">Dale</t>
  </si>
  <si>
    <t xml:space="preserve">(334) 774-5480</t>
  </si>
  <si>
    <t xml:space="preserve">AL0026</t>
  </si>
  <si>
    <t xml:space="preserve">Pelham Public Library</t>
  </si>
  <si>
    <t xml:space="preserve">Pelham</t>
  </si>
  <si>
    <t xml:space="preserve">(205) 620-6418</t>
  </si>
  <si>
    <t xml:space="preserve">AL0135</t>
  </si>
  <si>
    <t xml:space="preserve">Pell City Public Library</t>
  </si>
  <si>
    <t xml:space="preserve">Pell City</t>
  </si>
  <si>
    <t xml:space="preserve">(205) 884-1015</t>
  </si>
  <si>
    <t xml:space="preserve">AL0148</t>
  </si>
  <si>
    <t xml:space="preserve">Phenix City - Russell County Public Library</t>
  </si>
  <si>
    <t xml:space="preserve">Phenix City</t>
  </si>
  <si>
    <t xml:space="preserve">Russell</t>
  </si>
  <si>
    <t xml:space="preserve">(334) 297-1139</t>
  </si>
  <si>
    <t xml:space="preserve">AL0194</t>
  </si>
  <si>
    <t xml:space="preserve">Pickens County Cooperative Library</t>
  </si>
  <si>
    <t xml:space="preserve">Carrollton</t>
  </si>
  <si>
    <t xml:space="preserve">Pickens</t>
  </si>
  <si>
    <t xml:space="preserve">(205) 367-8407</t>
  </si>
  <si>
    <t xml:space="preserve">AL0256</t>
  </si>
  <si>
    <t xml:space="preserve">Prichard Public Library</t>
  </si>
  <si>
    <t xml:space="preserve">Prichard</t>
  </si>
  <si>
    <t xml:space="preserve">(251) 452-7847</t>
  </si>
  <si>
    <t xml:space="preserve">AL0181</t>
  </si>
  <si>
    <t xml:space="preserve">Russellville Public Library</t>
  </si>
  <si>
    <t xml:space="preserve">Russellville</t>
  </si>
  <si>
    <t xml:space="preserve">Franklin</t>
  </si>
  <si>
    <t xml:space="preserve">(256) 332-1535</t>
  </si>
  <si>
    <t xml:space="preserve">AL0070</t>
  </si>
  <si>
    <t xml:space="preserve">Scottsboro Public Library</t>
  </si>
  <si>
    <t xml:space="preserve">Scottsboro</t>
  </si>
  <si>
    <t xml:space="preserve">Jackson</t>
  </si>
  <si>
    <t xml:space="preserve">(256) 574-4335</t>
  </si>
  <si>
    <t xml:space="preserve">AL0175</t>
  </si>
  <si>
    <t xml:space="preserve">Selma - Dallas County Public Library</t>
  </si>
  <si>
    <t xml:space="preserve">Selma</t>
  </si>
  <si>
    <t xml:space="preserve">Dallas</t>
  </si>
  <si>
    <t xml:space="preserve">(334) 874-1725</t>
  </si>
  <si>
    <t xml:space="preserve">AL0195</t>
  </si>
  <si>
    <t xml:space="preserve">Sheffield Public Library</t>
  </si>
  <si>
    <t xml:space="preserve">Sheffield</t>
  </si>
  <si>
    <t xml:space="preserve">(256) 386-5633</t>
  </si>
  <si>
    <t xml:space="preserve">AL0064</t>
  </si>
  <si>
    <t xml:space="preserve">Springville Public Library</t>
  </si>
  <si>
    <t xml:space="preserve">Springville</t>
  </si>
  <si>
    <t xml:space="preserve">(205) 467-2339</t>
  </si>
  <si>
    <t xml:space="preserve">AL0226</t>
  </si>
  <si>
    <t xml:space="preserve">Sylacauga - B. B. Comer Memorial Library</t>
  </si>
  <si>
    <t xml:space="preserve">Sylacauga</t>
  </si>
  <si>
    <t xml:space="preserve">Talladega</t>
  </si>
  <si>
    <t xml:space="preserve">(256) 249-0961</t>
  </si>
  <si>
    <t xml:space="preserve">AL0013</t>
  </si>
  <si>
    <t xml:space="preserve">Talladega - Armstrong-Osborne Public Library</t>
  </si>
  <si>
    <t xml:space="preserve">(256) 362-4211</t>
  </si>
  <si>
    <t xml:space="preserve">AL0020</t>
  </si>
  <si>
    <t xml:space="preserve">Troy Public Library</t>
  </si>
  <si>
    <t xml:space="preserve">Troy</t>
  </si>
  <si>
    <t xml:space="preserve">Pike</t>
  </si>
  <si>
    <t xml:space="preserve">(334) 566-1314</t>
  </si>
  <si>
    <t xml:space="preserve">AL0034</t>
  </si>
  <si>
    <t xml:space="preserve">Trussville Public Library</t>
  </si>
  <si>
    <t xml:space="preserve">Trussville</t>
  </si>
  <si>
    <t xml:space="preserve">(205) 655-2022</t>
  </si>
  <si>
    <t xml:space="preserve">AL0105</t>
  </si>
  <si>
    <t xml:space="preserve">Tuscaloosa Public Library</t>
  </si>
  <si>
    <t xml:space="preserve">Tuscaloosa</t>
  </si>
  <si>
    <t xml:space="preserve">(205) 345-5820</t>
  </si>
  <si>
    <t xml:space="preserve">AL0196</t>
  </si>
  <si>
    <t xml:space="preserve">Tuscumbia - Helen Keller Public Library</t>
  </si>
  <si>
    <t xml:space="preserve">Tuscumbia</t>
  </si>
  <si>
    <t xml:space="preserve">(256) 383-7065</t>
  </si>
  <si>
    <t xml:space="preserve">AL0060</t>
  </si>
  <si>
    <t xml:space="preserve">Valley - H. Grady Bradshaw / Chambers County Library</t>
  </si>
  <si>
    <t xml:space="preserve">Valley</t>
  </si>
  <si>
    <t xml:space="preserve">Chambers</t>
  </si>
  <si>
    <t xml:space="preserve">(334) 768-2161</t>
  </si>
  <si>
    <t xml:space="preserve">AL0200</t>
  </si>
  <si>
    <t xml:space="preserve">Vestavia Hills Library In The Forest</t>
  </si>
  <si>
    <t xml:space="preserve">Vestavia Hills</t>
  </si>
  <si>
    <t xml:space="preserve">(205) 978-0155</t>
  </si>
  <si>
    <t xml:space="preserve">AL0106</t>
  </si>
  <si>
    <t xml:space="preserve">Washington County Public Library</t>
  </si>
  <si>
    <t xml:space="preserve">Chatom</t>
  </si>
  <si>
    <t xml:space="preserve">Washington</t>
  </si>
  <si>
    <t xml:space="preserve">(251) 847-2097</t>
  </si>
  <si>
    <t xml:space="preserve">AL0182</t>
  </si>
  <si>
    <t xml:space="preserve">Wilcox County Library</t>
  </si>
  <si>
    <t xml:space="preserve">Camden</t>
  </si>
  <si>
    <t xml:space="preserve">Wilcox</t>
  </si>
  <si>
    <t xml:space="preserve">(334) 682-4655</t>
  </si>
  <si>
    <t xml:space="preserve">AL0197</t>
  </si>
  <si>
    <t xml:space="preserve">AR</t>
  </si>
  <si>
    <t xml:space="preserve">Arkansas County Library</t>
  </si>
  <si>
    <t xml:space="preserve">Stuttgart</t>
  </si>
  <si>
    <t xml:space="preserve">Arkansas</t>
  </si>
  <si>
    <t xml:space="preserve">(870) 673-1966</t>
  </si>
  <si>
    <t xml:space="preserve">AR0042</t>
  </si>
  <si>
    <t xml:space="preserve">Arkansas River Valley Regional Library</t>
  </si>
  <si>
    <t xml:space="preserve">Dardanelle</t>
  </si>
  <si>
    <t xml:space="preserve">Yell</t>
  </si>
  <si>
    <t xml:space="preserve">(479) 229-4418</t>
  </si>
  <si>
    <t xml:space="preserve">AR0012</t>
  </si>
  <si>
    <t xml:space="preserve">Ashley County Library</t>
  </si>
  <si>
    <t xml:space="preserve">Hamburg</t>
  </si>
  <si>
    <t xml:space="preserve">Ashley</t>
  </si>
  <si>
    <t xml:space="preserve">(870) 853-2078</t>
  </si>
  <si>
    <t xml:space="preserve">AR0026</t>
  </si>
  <si>
    <t xml:space="preserve">Barton Library</t>
  </si>
  <si>
    <t xml:space="preserve">El Dorado</t>
  </si>
  <si>
    <t xml:space="preserve">Union</t>
  </si>
  <si>
    <t xml:space="preserve">(870) 863-5447</t>
  </si>
  <si>
    <t xml:space="preserve">AR0020</t>
  </si>
  <si>
    <t xml:space="preserve">Baxter County Library</t>
  </si>
  <si>
    <t xml:space="preserve">Mountain Home</t>
  </si>
  <si>
    <t xml:space="preserve">Baxter</t>
  </si>
  <si>
    <t xml:space="preserve">(870) 580-0987</t>
  </si>
  <si>
    <t xml:space="preserve">AR0039</t>
  </si>
  <si>
    <t xml:space="preserve">Bella Vista Public Library</t>
  </si>
  <si>
    <t xml:space="preserve">Bella Vista</t>
  </si>
  <si>
    <t xml:space="preserve">Benton</t>
  </si>
  <si>
    <t xml:space="preserve">(479) 855-1753</t>
  </si>
  <si>
    <t xml:space="preserve">AR0044</t>
  </si>
  <si>
    <t xml:space="preserve">Bentonville Public Library</t>
  </si>
  <si>
    <t xml:space="preserve">Bentonville</t>
  </si>
  <si>
    <t xml:space="preserve">(479) 271-3192</t>
  </si>
  <si>
    <t xml:space="preserve">AR0038</t>
  </si>
  <si>
    <t xml:space="preserve">Boone County Library</t>
  </si>
  <si>
    <t xml:space="preserve">Harrison</t>
  </si>
  <si>
    <t xml:space="preserve">Boone</t>
  </si>
  <si>
    <t xml:space="preserve">(870) 741-5913</t>
  </si>
  <si>
    <t xml:space="preserve">AR0050</t>
  </si>
  <si>
    <t xml:space="preserve">Carroll And Madison Library System</t>
  </si>
  <si>
    <t xml:space="preserve">Berryville</t>
  </si>
  <si>
    <t xml:space="preserve">Carroll</t>
  </si>
  <si>
    <t xml:space="preserve">(870) 423-5300</t>
  </si>
  <si>
    <t xml:space="preserve">AR0049</t>
  </si>
  <si>
    <t xml:space="preserve">Central Arkansas Library System</t>
  </si>
  <si>
    <t xml:space="preserve">Little Rock</t>
  </si>
  <si>
    <t xml:space="preserve">Pulaski</t>
  </si>
  <si>
    <t xml:space="preserve">(501) 918-3000</t>
  </si>
  <si>
    <t xml:space="preserve">AR0001</t>
  </si>
  <si>
    <t xml:space="preserve">Clark County Library</t>
  </si>
  <si>
    <t xml:space="preserve">Arkadelphia</t>
  </si>
  <si>
    <t xml:space="preserve">Clark</t>
  </si>
  <si>
    <t xml:space="preserve">(870) 246-2271</t>
  </si>
  <si>
    <t xml:space="preserve">AR0060</t>
  </si>
  <si>
    <t xml:space="preserve">Columbia County Library</t>
  </si>
  <si>
    <t xml:space="preserve">Magnolia</t>
  </si>
  <si>
    <t xml:space="preserve">Columbia</t>
  </si>
  <si>
    <t xml:space="preserve">(870) 234-1991</t>
  </si>
  <si>
    <t xml:space="preserve">AR0010</t>
  </si>
  <si>
    <t xml:space="preserve">Conway County Library</t>
  </si>
  <si>
    <t xml:space="preserve">Morrilton</t>
  </si>
  <si>
    <t xml:space="preserve">Conway</t>
  </si>
  <si>
    <t xml:space="preserve">(501) 354-5204</t>
  </si>
  <si>
    <t xml:space="preserve">AR0030</t>
  </si>
  <si>
    <t xml:space="preserve">Crawford County Library System</t>
  </si>
  <si>
    <t xml:space="preserve">Van Buren</t>
  </si>
  <si>
    <t xml:space="preserve">Crawford</t>
  </si>
  <si>
    <t xml:space="preserve">(479) 471-3226</t>
  </si>
  <si>
    <t xml:space="preserve">AR0048</t>
  </si>
  <si>
    <t xml:space="preserve">Crowley Ridge Regional Library</t>
  </si>
  <si>
    <t xml:space="preserve">Jonesboro</t>
  </si>
  <si>
    <t xml:space="preserve">Craighead</t>
  </si>
  <si>
    <t xml:space="preserve">(870) 935-5133</t>
  </si>
  <si>
    <t xml:space="preserve">AR0009</t>
  </si>
  <si>
    <t xml:space="preserve">East Central Arkansas Regional Library System</t>
  </si>
  <si>
    <t xml:space="preserve">Wynne</t>
  </si>
  <si>
    <t xml:space="preserve">Cross</t>
  </si>
  <si>
    <t xml:space="preserve">(870) 238-3850</t>
  </si>
  <si>
    <t xml:space="preserve">AR0024</t>
  </si>
  <si>
    <t xml:space="preserve">Faulkner-Van Buren Regional Library System</t>
  </si>
  <si>
    <t xml:space="preserve">Faulkner</t>
  </si>
  <si>
    <t xml:space="preserve">(501) 327-7482</t>
  </si>
  <si>
    <t xml:space="preserve">AR0017</t>
  </si>
  <si>
    <t xml:space="preserve">Fayetteville Public Library</t>
  </si>
  <si>
    <t xml:space="preserve">Fayetteville</t>
  </si>
  <si>
    <t xml:space="preserve">(479) 856-7000</t>
  </si>
  <si>
    <t xml:space="preserve">AR0066</t>
  </si>
  <si>
    <t xml:space="preserve">Forrest City Public Library</t>
  </si>
  <si>
    <t xml:space="preserve">Forrest City</t>
  </si>
  <si>
    <t xml:space="preserve">St. Francis</t>
  </si>
  <si>
    <t xml:space="preserve">(870) 633-5646</t>
  </si>
  <si>
    <t xml:space="preserve">AR0037</t>
  </si>
  <si>
    <t xml:space="preserve">Fort Smith Public Library</t>
  </si>
  <si>
    <t xml:space="preserve">Fort Smith</t>
  </si>
  <si>
    <t xml:space="preserve">Sebastian</t>
  </si>
  <si>
    <t xml:space="preserve">(479) 783-0229</t>
  </si>
  <si>
    <t xml:space="preserve">AR0011</t>
  </si>
  <si>
    <t xml:space="preserve">Garland County Library</t>
  </si>
  <si>
    <t xml:space="preserve">Hot Springs</t>
  </si>
  <si>
    <t xml:space="preserve">Garland</t>
  </si>
  <si>
    <t xml:space="preserve">(501) 623-4161</t>
  </si>
  <si>
    <t xml:space="preserve">AR0006</t>
  </si>
  <si>
    <t xml:space="preserve">Hempstead County Library</t>
  </si>
  <si>
    <t xml:space="preserve">Hope</t>
  </si>
  <si>
    <t xml:space="preserve">Hempstead</t>
  </si>
  <si>
    <t xml:space="preserve">(870) 777-4564</t>
  </si>
  <si>
    <t xml:space="preserve">AR0076</t>
  </si>
  <si>
    <t xml:space="preserve">Independence County Library</t>
  </si>
  <si>
    <t xml:space="preserve">Batesville</t>
  </si>
  <si>
    <t xml:space="preserve">Independence</t>
  </si>
  <si>
    <t xml:space="preserve">(870) 793-8814</t>
  </si>
  <si>
    <t xml:space="preserve">AR0082</t>
  </si>
  <si>
    <t xml:space="preserve">Lawrence County Library</t>
  </si>
  <si>
    <t xml:space="preserve">Walnut Ridge</t>
  </si>
  <si>
    <t xml:space="preserve">(870) 886-3222</t>
  </si>
  <si>
    <t xml:space="preserve">AR0031</t>
  </si>
  <si>
    <t xml:space="preserve">Lonoke County Library System</t>
  </si>
  <si>
    <t xml:space="preserve">Lonoke</t>
  </si>
  <si>
    <t xml:space="preserve">(855) 572-6657</t>
  </si>
  <si>
    <t xml:space="preserve">AR0041</t>
  </si>
  <si>
    <t xml:space="preserve">Marion County Library</t>
  </si>
  <si>
    <t xml:space="preserve">Yellville</t>
  </si>
  <si>
    <t xml:space="preserve">Marion</t>
  </si>
  <si>
    <t xml:space="preserve">(870) 449-6015</t>
  </si>
  <si>
    <t xml:space="preserve">AR0003</t>
  </si>
  <si>
    <t xml:space="preserve">Mid Arkansas Regional Library System</t>
  </si>
  <si>
    <t xml:space="preserve">Malvern</t>
  </si>
  <si>
    <t xml:space="preserve">Hot Spring</t>
  </si>
  <si>
    <t xml:space="preserve">(501) 332-5441</t>
  </si>
  <si>
    <t xml:space="preserve">AR0005</t>
  </si>
  <si>
    <t xml:space="preserve">Mississippi/Crittenden Regional Library</t>
  </si>
  <si>
    <t xml:space="preserve">Blytheville</t>
  </si>
  <si>
    <t xml:space="preserve">Mississippi</t>
  </si>
  <si>
    <t xml:space="preserve">(870) 762-2431</t>
  </si>
  <si>
    <t xml:space="preserve">AR0040</t>
  </si>
  <si>
    <t xml:space="preserve">North Little Rock Public Library System</t>
  </si>
  <si>
    <t xml:space="preserve">North Little Rock</t>
  </si>
  <si>
    <t xml:space="preserve">(501) 758-1720</t>
  </si>
  <si>
    <t xml:space="preserve">AR0016</t>
  </si>
  <si>
    <t xml:space="preserve">Northeast Arkansas Regional Library</t>
  </si>
  <si>
    <t xml:space="preserve">Paragould</t>
  </si>
  <si>
    <t xml:space="preserve">Greene</t>
  </si>
  <si>
    <t xml:space="preserve">(870) 236-8711</t>
  </si>
  <si>
    <t xml:space="preserve">AR0013</t>
  </si>
  <si>
    <t xml:space="preserve">Ouachita Mountains Regional Library</t>
  </si>
  <si>
    <t xml:space="preserve">Mt. Ida</t>
  </si>
  <si>
    <t xml:space="preserve">(870) 867-3812</t>
  </si>
  <si>
    <t xml:space="preserve">AR0062</t>
  </si>
  <si>
    <t xml:space="preserve">Phillips Lee Monroe Regional Library System</t>
  </si>
  <si>
    <t xml:space="preserve">Phillips</t>
  </si>
  <si>
    <t xml:space="preserve">(870) 338-3537</t>
  </si>
  <si>
    <t xml:space="preserve">AR0015</t>
  </si>
  <si>
    <t xml:space="preserve">Pine Bluff/Jefferson County Library System</t>
  </si>
  <si>
    <t xml:space="preserve">Pine Bluff</t>
  </si>
  <si>
    <t xml:space="preserve">(870) 534-4802</t>
  </si>
  <si>
    <t xml:space="preserve">AR0008</t>
  </si>
  <si>
    <t xml:space="preserve">Pope County Library System</t>
  </si>
  <si>
    <t xml:space="preserve">Pope</t>
  </si>
  <si>
    <t xml:space="preserve">(479) 968-4368</t>
  </si>
  <si>
    <t xml:space="preserve">AR0021</t>
  </si>
  <si>
    <t xml:space="preserve">Public Library Of Camden &amp; Ouachita County</t>
  </si>
  <si>
    <t xml:space="preserve">Ouachita</t>
  </si>
  <si>
    <t xml:space="preserve">(870) 836-5083</t>
  </si>
  <si>
    <t xml:space="preserve">AR0063</t>
  </si>
  <si>
    <t xml:space="preserve">Rogers Public Library</t>
  </si>
  <si>
    <t xml:space="preserve">Rogers</t>
  </si>
  <si>
    <t xml:space="preserve">(479) 621-1152</t>
  </si>
  <si>
    <t xml:space="preserve">AR0047</t>
  </si>
  <si>
    <t xml:space="preserve">Scott Sebastian Regional Library</t>
  </si>
  <si>
    <t xml:space="preserve">Greenwood</t>
  </si>
  <si>
    <t xml:space="preserve">(479) 996-2856</t>
  </si>
  <si>
    <t xml:space="preserve">AR0023</t>
  </si>
  <si>
    <t xml:space="preserve">Siloam Springs Public Library</t>
  </si>
  <si>
    <t xml:space="preserve">Siloam Springs</t>
  </si>
  <si>
    <t xml:space="preserve">(479) 524-4236</t>
  </si>
  <si>
    <t xml:space="preserve">AR0079</t>
  </si>
  <si>
    <t xml:space="preserve">Southeast Arkansas Regional Library</t>
  </si>
  <si>
    <t xml:space="preserve">Monticello</t>
  </si>
  <si>
    <t xml:space="preserve">Drew</t>
  </si>
  <si>
    <t xml:space="preserve">(870) 367-8584</t>
  </si>
  <si>
    <t xml:space="preserve">AR0014</t>
  </si>
  <si>
    <t xml:space="preserve">Southwest Arkansas Regional Library</t>
  </si>
  <si>
    <t xml:space="preserve">Prescott</t>
  </si>
  <si>
    <t xml:space="preserve">Nevada</t>
  </si>
  <si>
    <t xml:space="preserve">(870) 887-5846</t>
  </si>
  <si>
    <t xml:space="preserve">AR0004</t>
  </si>
  <si>
    <t xml:space="preserve">Texarkana Public Library</t>
  </si>
  <si>
    <t xml:space="preserve">Texarkana</t>
  </si>
  <si>
    <t xml:space="preserve">Bowie</t>
  </si>
  <si>
    <t xml:space="preserve">(903) 794-2149</t>
  </si>
  <si>
    <t xml:space="preserve">AR0028</t>
  </si>
  <si>
    <t xml:space="preserve">Tri-County Regional Library System</t>
  </si>
  <si>
    <t xml:space="preserve">De Queen</t>
  </si>
  <si>
    <t xml:space="preserve">Sevier</t>
  </si>
  <si>
    <t xml:space="preserve">(870) 584-4364</t>
  </si>
  <si>
    <t xml:space="preserve">AR0081</t>
  </si>
  <si>
    <t xml:space="preserve">W.A. Billingsley/Jackson County Library</t>
  </si>
  <si>
    <t xml:space="preserve">Newport</t>
  </si>
  <si>
    <t xml:space="preserve">(870) 523-2952</t>
  </si>
  <si>
    <t xml:space="preserve">AR0027</t>
  </si>
  <si>
    <t xml:space="preserve">Washington County Library System</t>
  </si>
  <si>
    <t xml:space="preserve">(479) 442-6253</t>
  </si>
  <si>
    <t xml:space="preserve">AR0002</t>
  </si>
  <si>
    <t xml:space="preserve">West Memphis Public Library</t>
  </si>
  <si>
    <t xml:space="preserve">West Memphis</t>
  </si>
  <si>
    <t xml:space="preserve">Crittenden</t>
  </si>
  <si>
    <t xml:space="preserve">(870) 732-7590</t>
  </si>
  <si>
    <t xml:space="preserve">AR0025</t>
  </si>
  <si>
    <t xml:space="preserve">White County Regional Library System</t>
  </si>
  <si>
    <t xml:space="preserve">Searcy</t>
  </si>
  <si>
    <t xml:space="preserve">White</t>
  </si>
  <si>
    <t xml:space="preserve">(501) 279-2870</t>
  </si>
  <si>
    <t xml:space="preserve">AR0019</t>
  </si>
  <si>
    <t xml:space="preserve">White River Regional Library</t>
  </si>
  <si>
    <t xml:space="preserve">Mountain View</t>
  </si>
  <si>
    <t xml:space="preserve">Stone</t>
  </si>
  <si>
    <t xml:space="preserve">(870) 269-4682</t>
  </si>
  <si>
    <t xml:space="preserve">AR0007</t>
  </si>
  <si>
    <t xml:space="preserve">AZ</t>
  </si>
  <si>
    <t xml:space="preserve">Apache County Library District Office</t>
  </si>
  <si>
    <t xml:space="preserve">St. Johns</t>
  </si>
  <si>
    <t xml:space="preserve">Apache</t>
  </si>
  <si>
    <t xml:space="preserve">(928) 337-4923</t>
  </si>
  <si>
    <t xml:space="preserve">AZ0001</t>
  </si>
  <si>
    <t xml:space="preserve">Apache Junction Public Library</t>
  </si>
  <si>
    <t xml:space="preserve">Apache Junction</t>
  </si>
  <si>
    <t xml:space="preserve">Pinal</t>
  </si>
  <si>
    <t xml:space="preserve">(480) 474-8555</t>
  </si>
  <si>
    <t xml:space="preserve">AZ0117</t>
  </si>
  <si>
    <t xml:space="preserve">Avondale Public Library</t>
  </si>
  <si>
    <t xml:space="preserve">Avondale</t>
  </si>
  <si>
    <t xml:space="preserve">Maricopa</t>
  </si>
  <si>
    <t xml:space="preserve">(623) 333-2665</t>
  </si>
  <si>
    <t xml:space="preserve">AZ0029</t>
  </si>
  <si>
    <t xml:space="preserve">Buckeye Public Library</t>
  </si>
  <si>
    <t xml:space="preserve">Buckeye</t>
  </si>
  <si>
    <t xml:space="preserve">(623) 349-6300</t>
  </si>
  <si>
    <t xml:space="preserve">AZ0030</t>
  </si>
  <si>
    <t xml:space="preserve">Camp Verde Community Library</t>
  </si>
  <si>
    <t xml:space="preserve">Camp Verde</t>
  </si>
  <si>
    <t xml:space="preserve">Yavapai</t>
  </si>
  <si>
    <t xml:space="preserve">(928) 554-8380</t>
  </si>
  <si>
    <t xml:space="preserve">AZ0145</t>
  </si>
  <si>
    <t xml:space="preserve">Casa Grande Public Library</t>
  </si>
  <si>
    <t xml:space="preserve">Casa Grande</t>
  </si>
  <si>
    <t xml:space="preserve">(520) 421-8710</t>
  </si>
  <si>
    <t xml:space="preserve">AZ0118</t>
  </si>
  <si>
    <t xml:space="preserve">Chandler Public Library</t>
  </si>
  <si>
    <t xml:space="preserve">Chandler</t>
  </si>
  <si>
    <t xml:space="preserve">(480) 782-2800</t>
  </si>
  <si>
    <t xml:space="preserve">AZ0031</t>
  </si>
  <si>
    <t xml:space="preserve">Chino Valley Public Library</t>
  </si>
  <si>
    <t xml:space="preserve">Chino Valley</t>
  </si>
  <si>
    <t xml:space="preserve">(928) 636-2687</t>
  </si>
  <si>
    <t xml:space="preserve">AZ0146</t>
  </si>
  <si>
    <t xml:space="preserve">Cochise County Library District</t>
  </si>
  <si>
    <t xml:space="preserve">Bisbee</t>
  </si>
  <si>
    <t xml:space="preserve">Cochise</t>
  </si>
  <si>
    <t xml:space="preserve">(520) 432-8930</t>
  </si>
  <si>
    <t xml:space="preserve">AZ0009</t>
  </si>
  <si>
    <t xml:space="preserve">Coolidge Public Library</t>
  </si>
  <si>
    <t xml:space="preserve">Coolidge</t>
  </si>
  <si>
    <t xml:space="preserve">(520) 723-6030</t>
  </si>
  <si>
    <t xml:space="preserve">AZ0133</t>
  </si>
  <si>
    <t xml:space="preserve">Cottonwood Public Library</t>
  </si>
  <si>
    <t xml:space="preserve">Cottonwood</t>
  </si>
  <si>
    <t xml:space="preserve">(928) 634-7559</t>
  </si>
  <si>
    <t xml:space="preserve">AZ0150</t>
  </si>
  <si>
    <t xml:space="preserve">Douglas Public Library</t>
  </si>
  <si>
    <t xml:space="preserve">Douglas</t>
  </si>
  <si>
    <t xml:space="preserve">(520) 417-7352</t>
  </si>
  <si>
    <t xml:space="preserve">AZ0112</t>
  </si>
  <si>
    <t xml:space="preserve">Dr. Fernando Escalante Tribal Library</t>
  </si>
  <si>
    <t xml:space="preserve">Tucson</t>
  </si>
  <si>
    <t xml:space="preserve">Pima</t>
  </si>
  <si>
    <t xml:space="preserve">(520) 879-5473</t>
  </si>
  <si>
    <t xml:space="preserve">AZ0179</t>
  </si>
  <si>
    <t xml:space="preserve">Eloy Santa Cruz Library</t>
  </si>
  <si>
    <t xml:space="preserve">Eloy</t>
  </si>
  <si>
    <t xml:space="preserve">(520) 466-3814</t>
  </si>
  <si>
    <t xml:space="preserve">AZ0134</t>
  </si>
  <si>
    <t xml:space="preserve">Flagstaff City-Coconino County Public Library</t>
  </si>
  <si>
    <t xml:space="preserve">Flagstaff</t>
  </si>
  <si>
    <t xml:space="preserve">Coconino</t>
  </si>
  <si>
    <t xml:space="preserve">(928) 213-2331</t>
  </si>
  <si>
    <t xml:space="preserve">AZ0169</t>
  </si>
  <si>
    <t xml:space="preserve">Florence Community Library</t>
  </si>
  <si>
    <t xml:space="preserve">(520) 868-8311</t>
  </si>
  <si>
    <t xml:space="preserve">AZ0135</t>
  </si>
  <si>
    <t xml:space="preserve">Gila County Library District</t>
  </si>
  <si>
    <t xml:space="preserve">Globe</t>
  </si>
  <si>
    <t xml:space="preserve">Gila</t>
  </si>
  <si>
    <t xml:space="preserve">(928) 402-8770</t>
  </si>
  <si>
    <t xml:space="preserve">AZ0102</t>
  </si>
  <si>
    <t xml:space="preserve">Glendale Public Library</t>
  </si>
  <si>
    <t xml:space="preserve">Glendale</t>
  </si>
  <si>
    <t xml:space="preserve">(623) 930-3546</t>
  </si>
  <si>
    <t xml:space="preserve">AZ0033</t>
  </si>
  <si>
    <t xml:space="preserve">Hopi Public Library</t>
  </si>
  <si>
    <t xml:space="preserve">Kykotsmovi</t>
  </si>
  <si>
    <t xml:space="preserve">Navajo</t>
  </si>
  <si>
    <t xml:space="preserve">(928) 734-3501</t>
  </si>
  <si>
    <t xml:space="preserve">AZ0181</t>
  </si>
  <si>
    <t xml:space="preserve">Ira H. Hayes Memorial Library</t>
  </si>
  <si>
    <t xml:space="preserve">Sacaton</t>
  </si>
  <si>
    <t xml:space="preserve">(520) 562-3225</t>
  </si>
  <si>
    <t xml:space="preserve">AZ0176</t>
  </si>
  <si>
    <t xml:space="preserve">La Paz County Services</t>
  </si>
  <si>
    <t xml:space="preserve">Salome</t>
  </si>
  <si>
    <t xml:space="preserve">La Paz</t>
  </si>
  <si>
    <t xml:space="preserve">(928) 859-4271</t>
  </si>
  <si>
    <t xml:space="preserve">AZ0177</t>
  </si>
  <si>
    <t xml:space="preserve">Maricopa County Library District Office</t>
  </si>
  <si>
    <t xml:space="preserve">Sun Lakes</t>
  </si>
  <si>
    <t xml:space="preserve">(602) 652-3030</t>
  </si>
  <si>
    <t xml:space="preserve">AZ0028</t>
  </si>
  <si>
    <t xml:space="preserve">Maricopa Library &amp; Cultural Center</t>
  </si>
  <si>
    <t xml:space="preserve">(520) 568-2926</t>
  </si>
  <si>
    <t xml:space="preserve">AZ0138</t>
  </si>
  <si>
    <t xml:space="preserve">Mesa Public Library</t>
  </si>
  <si>
    <t xml:space="preserve">Mesa</t>
  </si>
  <si>
    <t xml:space="preserve">(480) 644-3100</t>
  </si>
  <si>
    <t xml:space="preserve">AZ0034</t>
  </si>
  <si>
    <t xml:space="preserve">Mohave County Library District</t>
  </si>
  <si>
    <t xml:space="preserve">Kingman</t>
  </si>
  <si>
    <t xml:space="preserve">Mohave</t>
  </si>
  <si>
    <t xml:space="preserve">(928) 692-2665</t>
  </si>
  <si>
    <t xml:space="preserve">AZ0042</t>
  </si>
  <si>
    <t xml:space="preserve">Navajo County Library District</t>
  </si>
  <si>
    <t xml:space="preserve">Holbrook</t>
  </si>
  <si>
    <t xml:space="preserve">(928) 524-4740</t>
  </si>
  <si>
    <t xml:space="preserve">AZ0107</t>
  </si>
  <si>
    <t xml:space="preserve">Navajo Nation Library</t>
  </si>
  <si>
    <t xml:space="preserve">Window Rock</t>
  </si>
  <si>
    <t xml:space="preserve">(928) 871-6376</t>
  </si>
  <si>
    <t xml:space="preserve">AZ0100</t>
  </si>
  <si>
    <t xml:space="preserve">Nogales/Santa Cruz County Public Library</t>
  </si>
  <si>
    <t xml:space="preserve">Nogales</t>
  </si>
  <si>
    <t xml:space="preserve">Santa Cruz</t>
  </si>
  <si>
    <t xml:space="preserve">(520) 285-5717</t>
  </si>
  <si>
    <t xml:space="preserve">AZ0065</t>
  </si>
  <si>
    <t xml:space="preserve">Payson Public Library</t>
  </si>
  <si>
    <t xml:space="preserve">Payson</t>
  </si>
  <si>
    <t xml:space="preserve">(928) 474-9260</t>
  </si>
  <si>
    <t xml:space="preserve">AZ0127</t>
  </si>
  <si>
    <t xml:space="preserve">Peoria Public Library System</t>
  </si>
  <si>
    <t xml:space="preserve">Peoria</t>
  </si>
  <si>
    <t xml:space="preserve">(623) 773-7556</t>
  </si>
  <si>
    <t xml:space="preserve">AZ0088</t>
  </si>
  <si>
    <t xml:space="preserve">Phoenix Public Library</t>
  </si>
  <si>
    <t xml:space="preserve">Phoenix</t>
  </si>
  <si>
    <t xml:space="preserve">(602) 262-4636</t>
  </si>
  <si>
    <t xml:space="preserve">AZ0035</t>
  </si>
  <si>
    <t xml:space="preserve">Pima County Public Library</t>
  </si>
  <si>
    <t xml:space="preserve">(520) 594-5600</t>
  </si>
  <si>
    <t xml:space="preserve">AZ0064</t>
  </si>
  <si>
    <t xml:space="preserve">Pinal County Library District</t>
  </si>
  <si>
    <t xml:space="preserve">(520) 866-6457</t>
  </si>
  <si>
    <t xml:space="preserve">AZ0050</t>
  </si>
  <si>
    <t xml:space="preserve">Prescott Public Library</t>
  </si>
  <si>
    <t xml:space="preserve">(928) 777-1500</t>
  </si>
  <si>
    <t xml:space="preserve">AZ0158</t>
  </si>
  <si>
    <t xml:space="preserve">Prescott Valley Public Library</t>
  </si>
  <si>
    <t xml:space="preserve">Prescott Valley</t>
  </si>
  <si>
    <t xml:space="preserve">(928) 759-3040</t>
  </si>
  <si>
    <t xml:space="preserve">AZ0154</t>
  </si>
  <si>
    <t xml:space="preserve">Safford City-Graham County Library</t>
  </si>
  <si>
    <t xml:space="preserve">Safford</t>
  </si>
  <si>
    <t xml:space="preserve">Graham</t>
  </si>
  <si>
    <t xml:space="preserve">(928) 432-4165</t>
  </si>
  <si>
    <t xml:space="preserve">AZ0026</t>
  </si>
  <si>
    <t xml:space="preserve">San Carlos Public Library</t>
  </si>
  <si>
    <t xml:space="preserve">San Carlos</t>
  </si>
  <si>
    <t xml:space="preserve">(928) 475-2611</t>
  </si>
  <si>
    <t xml:space="preserve">AZ0129</t>
  </si>
  <si>
    <t xml:space="preserve">Scottsdale Public Library</t>
  </si>
  <si>
    <t xml:space="preserve">Scottsdale</t>
  </si>
  <si>
    <t xml:space="preserve">(480) 312-7323</t>
  </si>
  <si>
    <t xml:space="preserve">AZ0036</t>
  </si>
  <si>
    <t xml:space="preserve">Show Low Public Library</t>
  </si>
  <si>
    <t xml:space="preserve">Show Low</t>
  </si>
  <si>
    <t xml:space="preserve">(928) 532-4070</t>
  </si>
  <si>
    <t xml:space="preserve">AZ0162</t>
  </si>
  <si>
    <t xml:space="preserve">Sierra Vista Public Library</t>
  </si>
  <si>
    <t xml:space="preserve">Sierra Vista</t>
  </si>
  <si>
    <t xml:space="preserve">(520) 458-4225</t>
  </si>
  <si>
    <t xml:space="preserve">AZ0114</t>
  </si>
  <si>
    <t xml:space="preserve">Snowflake-Taylor Public Library</t>
  </si>
  <si>
    <t xml:space="preserve">Snowflake</t>
  </si>
  <si>
    <t xml:space="preserve">(928) 536-7103</t>
  </si>
  <si>
    <t xml:space="preserve">AZ0163</t>
  </si>
  <si>
    <t xml:space="preserve">Tempe Public Library</t>
  </si>
  <si>
    <t xml:space="preserve">Tempe</t>
  </si>
  <si>
    <t xml:space="preserve">(480) 350-5500</t>
  </si>
  <si>
    <t xml:space="preserve">AZ0038</t>
  </si>
  <si>
    <t xml:space="preserve">Whiteriver Public Library</t>
  </si>
  <si>
    <t xml:space="preserve">Whiteriver</t>
  </si>
  <si>
    <t xml:space="preserve">(928) 594-3164</t>
  </si>
  <si>
    <t xml:space="preserve">AZ0048</t>
  </si>
  <si>
    <t xml:space="preserve">Yavapai County Free Library District</t>
  </si>
  <si>
    <t xml:space="preserve">(928) 771-3191</t>
  </si>
  <si>
    <t xml:space="preserve">AZ0067</t>
  </si>
  <si>
    <t xml:space="preserve">Yuma County Library District</t>
  </si>
  <si>
    <t xml:space="preserve">Yuma</t>
  </si>
  <si>
    <t xml:space="preserve">(928) 782-1871</t>
  </si>
  <si>
    <t xml:space="preserve">AZ0082</t>
  </si>
  <si>
    <t xml:space="preserve">CA</t>
  </si>
  <si>
    <t xml:space="preserve">A. K. Smiley Public Library</t>
  </si>
  <si>
    <t xml:space="preserve">Redlands</t>
  </si>
  <si>
    <t xml:space="preserve">San Bernardino</t>
  </si>
  <si>
    <t xml:space="preserve">(909) 798-7565</t>
  </si>
  <si>
    <t xml:space="preserve">CA0165</t>
  </si>
  <si>
    <t xml:space="preserve">Alameda County Library</t>
  </si>
  <si>
    <t xml:space="preserve">Fremont</t>
  </si>
  <si>
    <t xml:space="preserve">Alameda</t>
  </si>
  <si>
    <t xml:space="preserve">(510) 745-1504</t>
  </si>
  <si>
    <t xml:space="preserve">CA0001</t>
  </si>
  <si>
    <t xml:space="preserve">Alameda Free Library</t>
  </si>
  <si>
    <t xml:space="preserve">(510) 747-7747</t>
  </si>
  <si>
    <t xml:space="preserve">CA0002</t>
  </si>
  <si>
    <t xml:space="preserve">Alhambra Civic Center Library</t>
  </si>
  <si>
    <t xml:space="preserve">Alhambra</t>
  </si>
  <si>
    <t xml:space="preserve">Los Angeles</t>
  </si>
  <si>
    <t xml:space="preserve">(626) 570-5008</t>
  </si>
  <si>
    <t xml:space="preserve">CA0003</t>
  </si>
  <si>
    <t xml:space="preserve">Altadena Library District</t>
  </si>
  <si>
    <t xml:space="preserve">Altadena</t>
  </si>
  <si>
    <t xml:space="preserve">(626) 798-0833</t>
  </si>
  <si>
    <t xml:space="preserve">CA0005</t>
  </si>
  <si>
    <t xml:space="preserve">Amador County Library</t>
  </si>
  <si>
    <t xml:space="preserve">Amador</t>
  </si>
  <si>
    <t xml:space="preserve">(209) 223-6400</t>
  </si>
  <si>
    <t xml:space="preserve">CA0006</t>
  </si>
  <si>
    <t xml:space="preserve">Anaheim Public Library</t>
  </si>
  <si>
    <t xml:space="preserve">Anaheim</t>
  </si>
  <si>
    <t xml:space="preserve">Orange</t>
  </si>
  <si>
    <t xml:space="preserve">(714) 765-1810</t>
  </si>
  <si>
    <t xml:space="preserve">CA0007</t>
  </si>
  <si>
    <t xml:space="preserve">Arcadia Public Library</t>
  </si>
  <si>
    <t xml:space="preserve">Arcadia</t>
  </si>
  <si>
    <t xml:space="preserve">(626) 821-5567</t>
  </si>
  <si>
    <t xml:space="preserve">CA0008</t>
  </si>
  <si>
    <t xml:space="preserve">Azusa City Library</t>
  </si>
  <si>
    <t xml:space="preserve">Azusa</t>
  </si>
  <si>
    <t xml:space="preserve">(626) 812-5232</t>
  </si>
  <si>
    <t xml:space="preserve">CA0010</t>
  </si>
  <si>
    <t xml:space="preserve">Banning Library District</t>
  </si>
  <si>
    <t xml:space="preserve">Banning</t>
  </si>
  <si>
    <t xml:space="preserve">Riverside</t>
  </si>
  <si>
    <t xml:space="preserve">(951) 849-3192</t>
  </si>
  <si>
    <t xml:space="preserve">CA0167</t>
  </si>
  <si>
    <t xml:space="preserve">Beaumont Library District</t>
  </si>
  <si>
    <t xml:space="preserve">Beaumont</t>
  </si>
  <si>
    <t xml:space="preserve">(951) 845-1357</t>
  </si>
  <si>
    <t xml:space="preserve">CA0168</t>
  </si>
  <si>
    <t xml:space="preserve">Belvedere-Tiburon Library</t>
  </si>
  <si>
    <t xml:space="preserve">Tiburon</t>
  </si>
  <si>
    <t xml:space="preserve">Marin</t>
  </si>
  <si>
    <t xml:space="preserve">(415) 789-2665</t>
  </si>
  <si>
    <t xml:space="preserve">CA0197</t>
  </si>
  <si>
    <t xml:space="preserve">Benicia Public Library</t>
  </si>
  <si>
    <t xml:space="preserve">Benicia</t>
  </si>
  <si>
    <t xml:space="preserve">Solano</t>
  </si>
  <si>
    <t xml:space="preserve">(707) 746-4343</t>
  </si>
  <si>
    <t xml:space="preserve">CA0163</t>
  </si>
  <si>
    <t xml:space="preserve">Berkeley Public Library</t>
  </si>
  <si>
    <t xml:space="preserve">Berkeley</t>
  </si>
  <si>
    <t xml:space="preserve">(510) 981-6195</t>
  </si>
  <si>
    <t xml:space="preserve">CA0011</t>
  </si>
  <si>
    <t xml:space="preserve">Beverly Hills Public Library</t>
  </si>
  <si>
    <t xml:space="preserve">Beverly Hills</t>
  </si>
  <si>
    <t xml:space="preserve">(310) 288-2220</t>
  </si>
  <si>
    <t xml:space="preserve">CA0012</t>
  </si>
  <si>
    <t xml:space="preserve">Blanchard/Santa Paula Public Library District</t>
  </si>
  <si>
    <t xml:space="preserve">Santa Paula</t>
  </si>
  <si>
    <t xml:space="preserve">Ventura</t>
  </si>
  <si>
    <t xml:space="preserve">(805) 525-3615</t>
  </si>
  <si>
    <t xml:space="preserve">CA0131</t>
  </si>
  <si>
    <t xml:space="preserve">Brawley Public Library</t>
  </si>
  <si>
    <t xml:space="preserve">Brawley</t>
  </si>
  <si>
    <t xml:space="preserve">Imperial</t>
  </si>
  <si>
    <t xml:space="preserve">(760) 344-1891</t>
  </si>
  <si>
    <t xml:space="preserve">CA0013</t>
  </si>
  <si>
    <t xml:space="preserve">Buena Park Library District</t>
  </si>
  <si>
    <t xml:space="preserve">Buena Park</t>
  </si>
  <si>
    <t xml:space="preserve">(714) 826-4100</t>
  </si>
  <si>
    <t xml:space="preserve">CA0014</t>
  </si>
  <si>
    <t xml:space="preserve">Burbank Public Library</t>
  </si>
  <si>
    <t xml:space="preserve">Burbank</t>
  </si>
  <si>
    <t xml:space="preserve">(818) 238-5551</t>
  </si>
  <si>
    <t xml:space="preserve">CA0015</t>
  </si>
  <si>
    <t xml:space="preserve">Burlingame Public Library</t>
  </si>
  <si>
    <t xml:space="preserve">Burlingame</t>
  </si>
  <si>
    <t xml:space="preserve">San Mateo</t>
  </si>
  <si>
    <t xml:space="preserve">(650) 558-7400</t>
  </si>
  <si>
    <t xml:space="preserve">CA0016</t>
  </si>
  <si>
    <t xml:space="preserve">Butte County Library</t>
  </si>
  <si>
    <t xml:space="preserve">Oroville</t>
  </si>
  <si>
    <t xml:space="preserve">Butte</t>
  </si>
  <si>
    <t xml:space="preserve">(530) 552-5652</t>
  </si>
  <si>
    <t xml:space="preserve">CA0017</t>
  </si>
  <si>
    <t xml:space="preserve">Calabasas City Library</t>
  </si>
  <si>
    <t xml:space="preserve">Calabasas</t>
  </si>
  <si>
    <t xml:space="preserve">(818) 225-7616</t>
  </si>
  <si>
    <t xml:space="preserve">CA0201</t>
  </si>
  <si>
    <t xml:space="preserve">Calaveras County Library</t>
  </si>
  <si>
    <t xml:space="preserve">San Andreas</t>
  </si>
  <si>
    <t xml:space="preserve">Calaveras</t>
  </si>
  <si>
    <t xml:space="preserve">(209) 754-6510</t>
  </si>
  <si>
    <t xml:space="preserve">CA0018</t>
  </si>
  <si>
    <t xml:space="preserve">Camarena Memorial Public Library</t>
  </si>
  <si>
    <t xml:space="preserve">Calexico</t>
  </si>
  <si>
    <t xml:space="preserve">(760) 768-2170</t>
  </si>
  <si>
    <t xml:space="preserve">CA0019</t>
  </si>
  <si>
    <t xml:space="preserve">Camarillo Public Library</t>
  </si>
  <si>
    <t xml:space="preserve">Camarillo</t>
  </si>
  <si>
    <t xml:space="preserve">(805) 388-5222</t>
  </si>
  <si>
    <t xml:space="preserve">CA0209</t>
  </si>
  <si>
    <t xml:space="preserve">Carlsbad City Library</t>
  </si>
  <si>
    <t xml:space="preserve">Carlsbad</t>
  </si>
  <si>
    <t xml:space="preserve">San Diego</t>
  </si>
  <si>
    <t xml:space="preserve">(442) 339-2011</t>
  </si>
  <si>
    <t xml:space="preserve">CA0020</t>
  </si>
  <si>
    <t xml:space="preserve">Cerritos Public Library</t>
  </si>
  <si>
    <t xml:space="preserve">Cerritos</t>
  </si>
  <si>
    <t xml:space="preserve">(562) 916-1350</t>
  </si>
  <si>
    <t xml:space="preserve">CA0022</t>
  </si>
  <si>
    <t xml:space="preserve">Chula Vista Public Library</t>
  </si>
  <si>
    <t xml:space="preserve">Chula Vista</t>
  </si>
  <si>
    <t xml:space="preserve">(619) 691-5069</t>
  </si>
  <si>
    <t xml:space="preserve">CA0023</t>
  </si>
  <si>
    <t xml:space="preserve">City Of Commerce Public Library</t>
  </si>
  <si>
    <t xml:space="preserve">Commerce</t>
  </si>
  <si>
    <t xml:space="preserve">(323) 722-6660</t>
  </si>
  <si>
    <t xml:space="preserve">CA0027</t>
  </si>
  <si>
    <t xml:space="preserve">Coalinga-Huron Library District</t>
  </si>
  <si>
    <t xml:space="preserve">Coalinga</t>
  </si>
  <si>
    <t xml:space="preserve">Fresno</t>
  </si>
  <si>
    <t xml:space="preserve">(559) 935-1676</t>
  </si>
  <si>
    <t xml:space="preserve">CA0024</t>
  </si>
  <si>
    <t xml:space="preserve">Colton Public Library</t>
  </si>
  <si>
    <t xml:space="preserve">Colton</t>
  </si>
  <si>
    <t xml:space="preserve">(909) 370-5083</t>
  </si>
  <si>
    <t xml:space="preserve">CA0025</t>
  </si>
  <si>
    <t xml:space="preserve">Colusa County Free Library</t>
  </si>
  <si>
    <t xml:space="preserve">Colusa</t>
  </si>
  <si>
    <t xml:space="preserve">(530) 458-0372</t>
  </si>
  <si>
    <t xml:space="preserve">CA0026</t>
  </si>
  <si>
    <t xml:space="preserve">Contra Costa County Library</t>
  </si>
  <si>
    <t xml:space="preserve">Martinez</t>
  </si>
  <si>
    <t xml:space="preserve">Contra Costa</t>
  </si>
  <si>
    <t xml:space="preserve">(925) 608-7700</t>
  </si>
  <si>
    <t xml:space="preserve">CA0028</t>
  </si>
  <si>
    <t xml:space="preserve">Corona Public Library</t>
  </si>
  <si>
    <t xml:space="preserve">Corona</t>
  </si>
  <si>
    <t xml:space="preserve">(951) 736-2381</t>
  </si>
  <si>
    <t xml:space="preserve">CA0029</t>
  </si>
  <si>
    <t xml:space="preserve">Coronado Public Library</t>
  </si>
  <si>
    <t xml:space="preserve">Coronado</t>
  </si>
  <si>
    <t xml:space="preserve">(619) 522-2475</t>
  </si>
  <si>
    <t xml:space="preserve">CA0160</t>
  </si>
  <si>
    <t xml:space="preserve">Covina Public Library</t>
  </si>
  <si>
    <t xml:space="preserve">Covina</t>
  </si>
  <si>
    <t xml:space="preserve">(626) 384-5297</t>
  </si>
  <si>
    <t xml:space="preserve">CA0030</t>
  </si>
  <si>
    <t xml:space="preserve">Crowell Public Library</t>
  </si>
  <si>
    <t xml:space="preserve">San Marino</t>
  </si>
  <si>
    <t xml:space="preserve">(626) 300-0779</t>
  </si>
  <si>
    <t xml:space="preserve">CA0119</t>
  </si>
  <si>
    <t xml:space="preserve">Daly City Public Library</t>
  </si>
  <si>
    <t xml:space="preserve">Daly City</t>
  </si>
  <si>
    <t xml:space="preserve">(650) 991-8023</t>
  </si>
  <si>
    <t xml:space="preserve">CA0031</t>
  </si>
  <si>
    <t xml:space="preserve">Del Norte County Library District</t>
  </si>
  <si>
    <t xml:space="preserve">Crescent City</t>
  </si>
  <si>
    <t xml:space="preserve">Del Norte</t>
  </si>
  <si>
    <t xml:space="preserve">(707) 464-9793</t>
  </si>
  <si>
    <t xml:space="preserve">CA0032</t>
  </si>
  <si>
    <t xml:space="preserve">Downey City Library</t>
  </si>
  <si>
    <t xml:space="preserve">Downey</t>
  </si>
  <si>
    <t xml:space="preserve">(562) 904-7365</t>
  </si>
  <si>
    <t xml:space="preserve">CA0034</t>
  </si>
  <si>
    <t xml:space="preserve">El Centro Public Library</t>
  </si>
  <si>
    <t xml:space="preserve">El Centro</t>
  </si>
  <si>
    <t xml:space="preserve">(760) 337-4565</t>
  </si>
  <si>
    <t xml:space="preserve">CA0035</t>
  </si>
  <si>
    <t xml:space="preserve">El Dorado County Library</t>
  </si>
  <si>
    <t xml:space="preserve">Placerville</t>
  </si>
  <si>
    <t xml:space="preserve">(530) 621-5540</t>
  </si>
  <si>
    <t xml:space="preserve">CA0036</t>
  </si>
  <si>
    <t xml:space="preserve">El Segundo Public Library</t>
  </si>
  <si>
    <t xml:space="preserve">El Segundo</t>
  </si>
  <si>
    <t xml:space="preserve">(310) 524-2722</t>
  </si>
  <si>
    <t xml:space="preserve">CA0037</t>
  </si>
  <si>
    <t xml:space="preserve">Escondido Public Library</t>
  </si>
  <si>
    <t xml:space="preserve">Escondido</t>
  </si>
  <si>
    <t xml:space="preserve">(760) 839-4601</t>
  </si>
  <si>
    <t xml:space="preserve">CA0038</t>
  </si>
  <si>
    <t xml:space="preserve">Folsom Public Library</t>
  </si>
  <si>
    <t xml:space="preserve">Folsom</t>
  </si>
  <si>
    <t xml:space="preserve">Sacramento</t>
  </si>
  <si>
    <t xml:space="preserve">(916) 461-6137</t>
  </si>
  <si>
    <t xml:space="preserve">CA0193</t>
  </si>
  <si>
    <t xml:space="preserve">Fresno County Public Library</t>
  </si>
  <si>
    <t xml:space="preserve">(559) 600-6237</t>
  </si>
  <si>
    <t xml:space="preserve">CA0040</t>
  </si>
  <si>
    <t xml:space="preserve">Fullerton Public Library</t>
  </si>
  <si>
    <t xml:space="preserve">Fullerton</t>
  </si>
  <si>
    <t xml:space="preserve">(714) 738-6380</t>
  </si>
  <si>
    <t xml:space="preserve">CA0041</t>
  </si>
  <si>
    <t xml:space="preserve">Glendale Library, Arts &amp; Culture</t>
  </si>
  <si>
    <t xml:space="preserve">(818) 548-2030</t>
  </si>
  <si>
    <t xml:space="preserve">CA0042</t>
  </si>
  <si>
    <t xml:space="preserve">Glendora Library &amp; Cultural Center</t>
  </si>
  <si>
    <t xml:space="preserve">Glendora</t>
  </si>
  <si>
    <t xml:space="preserve">(626) 852-4891</t>
  </si>
  <si>
    <t xml:space="preserve">CA0043</t>
  </si>
  <si>
    <t xml:space="preserve">Goleta Valley Library</t>
  </si>
  <si>
    <t xml:space="preserve">Goleta</t>
  </si>
  <si>
    <t xml:space="preserve">Santa Barbara</t>
  </si>
  <si>
    <t xml:space="preserve">(805) 964-7878</t>
  </si>
  <si>
    <t xml:space="preserve">CA0271</t>
  </si>
  <si>
    <t xml:space="preserve">Hayward Public Library</t>
  </si>
  <si>
    <t xml:space="preserve">Hayward</t>
  </si>
  <si>
    <t xml:space="preserve">(510) 881-7954</t>
  </si>
  <si>
    <t xml:space="preserve">CA0044</t>
  </si>
  <si>
    <t xml:space="preserve">Hemet Public Library</t>
  </si>
  <si>
    <t xml:space="preserve">Hemet</t>
  </si>
  <si>
    <t xml:space="preserve">(951) 765-2440</t>
  </si>
  <si>
    <t xml:space="preserve">CA0045</t>
  </si>
  <si>
    <t xml:space="preserve">Humboldt County Library</t>
  </si>
  <si>
    <t xml:space="preserve">Eureka</t>
  </si>
  <si>
    <t xml:space="preserve">Humboldt</t>
  </si>
  <si>
    <t xml:space="preserve">(707) 269-1918</t>
  </si>
  <si>
    <t xml:space="preserve">CA0039</t>
  </si>
  <si>
    <t xml:space="preserve">Huntington Beach Public Library</t>
  </si>
  <si>
    <t xml:space="preserve">Huntington Beach</t>
  </si>
  <si>
    <t xml:space="preserve">(714) 960-8836</t>
  </si>
  <si>
    <t xml:space="preserve">CA0046</t>
  </si>
  <si>
    <t xml:space="preserve">Imperial County Library</t>
  </si>
  <si>
    <t xml:space="preserve">(442) 265-7100</t>
  </si>
  <si>
    <t xml:space="preserve">CA0047</t>
  </si>
  <si>
    <t xml:space="preserve">Imperial Public Library</t>
  </si>
  <si>
    <t xml:space="preserve">(760) 355-1332</t>
  </si>
  <si>
    <t xml:space="preserve">CA0048</t>
  </si>
  <si>
    <t xml:space="preserve">Inglewood Public Library</t>
  </si>
  <si>
    <t xml:space="preserve">Inglewood</t>
  </si>
  <si>
    <t xml:space="preserve">(310) 412-5397</t>
  </si>
  <si>
    <t xml:space="preserve">CA0049</t>
  </si>
  <si>
    <t xml:space="preserve">Inyo County Free Library</t>
  </si>
  <si>
    <t xml:space="preserve">Inyo</t>
  </si>
  <si>
    <t xml:space="preserve">(760) 878-0260</t>
  </si>
  <si>
    <t xml:space="preserve">CA0050</t>
  </si>
  <si>
    <t xml:space="preserve">Kern County Library</t>
  </si>
  <si>
    <t xml:space="preserve">Bakersfield</t>
  </si>
  <si>
    <t xml:space="preserve">Kern</t>
  </si>
  <si>
    <t xml:space="preserve">(661) 868-0700</t>
  </si>
  <si>
    <t xml:space="preserve">CA0051</t>
  </si>
  <si>
    <t xml:space="preserve">Kings County Library</t>
  </si>
  <si>
    <t xml:space="preserve">Hanford</t>
  </si>
  <si>
    <t xml:space="preserve">Kings</t>
  </si>
  <si>
    <t xml:space="preserve">(559) 852-4005</t>
  </si>
  <si>
    <t xml:space="preserve">CA0053</t>
  </si>
  <si>
    <t xml:space="preserve">La County Library</t>
  </si>
  <si>
    <t xml:space="preserve">(562) 940-8462</t>
  </si>
  <si>
    <t xml:space="preserve">CA0062</t>
  </si>
  <si>
    <t xml:space="preserve">Lake County Library</t>
  </si>
  <si>
    <t xml:space="preserve">Lakeport</t>
  </si>
  <si>
    <t xml:space="preserve">Lake</t>
  </si>
  <si>
    <t xml:space="preserve">(707) 263-8817</t>
  </si>
  <si>
    <t xml:space="preserve">CA0054</t>
  </si>
  <si>
    <t xml:space="preserve">Larkspur Public Library</t>
  </si>
  <si>
    <t xml:space="preserve">Larkspur</t>
  </si>
  <si>
    <t xml:space="preserve">(415) 927-5005</t>
  </si>
  <si>
    <t xml:space="preserve">CA0055</t>
  </si>
  <si>
    <t xml:space="preserve">Lassen Library District</t>
  </si>
  <si>
    <t xml:space="preserve">Susanville</t>
  </si>
  <si>
    <t xml:space="preserve">Lassen</t>
  </si>
  <si>
    <t xml:space="preserve">(530) 257-8113</t>
  </si>
  <si>
    <t xml:space="preserve">CA0195</t>
  </si>
  <si>
    <t xml:space="preserve">Lincoln Public Library</t>
  </si>
  <si>
    <t xml:space="preserve">Lincoln</t>
  </si>
  <si>
    <t xml:space="preserve">Placer</t>
  </si>
  <si>
    <t xml:space="preserve">(916) 434-2410</t>
  </si>
  <si>
    <t xml:space="preserve">CA0057</t>
  </si>
  <si>
    <t xml:space="preserve">Livermore Public Library</t>
  </si>
  <si>
    <t xml:space="preserve">Livermore</t>
  </si>
  <si>
    <t xml:space="preserve">(925) 373-5500</t>
  </si>
  <si>
    <t xml:space="preserve">CA0058</t>
  </si>
  <si>
    <t xml:space="preserve">Lodi Public Library</t>
  </si>
  <si>
    <t xml:space="preserve">Lodi</t>
  </si>
  <si>
    <t xml:space="preserve">San Joaquin</t>
  </si>
  <si>
    <t xml:space="preserve">(209) 333-5554</t>
  </si>
  <si>
    <t xml:space="preserve">CA0059</t>
  </si>
  <si>
    <t xml:space="preserve">Lompoc Public Library</t>
  </si>
  <si>
    <t xml:space="preserve">Lompoc</t>
  </si>
  <si>
    <t xml:space="preserve">(805) 875-8787</t>
  </si>
  <si>
    <t xml:space="preserve">CA0060</t>
  </si>
  <si>
    <t xml:space="preserve">Long Beach Public Library</t>
  </si>
  <si>
    <t xml:space="preserve">Long Beach</t>
  </si>
  <si>
    <t xml:space="preserve">(562) 570-6291</t>
  </si>
  <si>
    <t xml:space="preserve">CA0061</t>
  </si>
  <si>
    <t xml:space="preserve">Los Angeles Public Library</t>
  </si>
  <si>
    <t xml:space="preserve">(213) 228-7515</t>
  </si>
  <si>
    <t xml:space="preserve">CA0063</t>
  </si>
  <si>
    <t xml:space="preserve">Los Gatos Library</t>
  </si>
  <si>
    <t xml:space="preserve">Los Gatos</t>
  </si>
  <si>
    <t xml:space="preserve">Santa Clara</t>
  </si>
  <si>
    <t xml:space="preserve">(408) 354-6891</t>
  </si>
  <si>
    <t xml:space="preserve">CA0164</t>
  </si>
  <si>
    <t xml:space="preserve">Madera County Library</t>
  </si>
  <si>
    <t xml:space="preserve">Madera</t>
  </si>
  <si>
    <t xml:space="preserve">(559) 675-7871</t>
  </si>
  <si>
    <t xml:space="preserve">CA0064</t>
  </si>
  <si>
    <t xml:space="preserve">Marin County Free Library</t>
  </si>
  <si>
    <t xml:space="preserve">San Rafael</t>
  </si>
  <si>
    <t xml:space="preserve">(415) 473-3220</t>
  </si>
  <si>
    <t xml:space="preserve">CA0065</t>
  </si>
  <si>
    <t xml:space="preserve">Mariposa County Library</t>
  </si>
  <si>
    <t xml:space="preserve">Mariposa</t>
  </si>
  <si>
    <t xml:space="preserve">(209) 966-2140</t>
  </si>
  <si>
    <t xml:space="preserve">CA0192</t>
  </si>
  <si>
    <t xml:space="preserve">Mendocino County Library</t>
  </si>
  <si>
    <t xml:space="preserve">Ukiah</t>
  </si>
  <si>
    <t xml:space="preserve">Mendocino</t>
  </si>
  <si>
    <t xml:space="preserve">(707) 234-2873</t>
  </si>
  <si>
    <t xml:space="preserve">CA0066</t>
  </si>
  <si>
    <t xml:space="preserve">Menlo Park Public Library</t>
  </si>
  <si>
    <t xml:space="preserve">Menlo Park</t>
  </si>
  <si>
    <t xml:space="preserve">(650) 330-2500</t>
  </si>
  <si>
    <t xml:space="preserve">CA0067</t>
  </si>
  <si>
    <t xml:space="preserve">Merced County Library</t>
  </si>
  <si>
    <t xml:space="preserve">Merced</t>
  </si>
  <si>
    <t xml:space="preserve">(209) 385-7485</t>
  </si>
  <si>
    <t xml:space="preserve">CA0068</t>
  </si>
  <si>
    <t xml:space="preserve">Mill Valley Public Library</t>
  </si>
  <si>
    <t xml:space="preserve">Mill Valley</t>
  </si>
  <si>
    <t xml:space="preserve">(415) 389-4292</t>
  </si>
  <si>
    <t xml:space="preserve">CA0069</t>
  </si>
  <si>
    <t xml:space="preserve">Mission Viejo Library</t>
  </si>
  <si>
    <t xml:space="preserve">Mission Viejo</t>
  </si>
  <si>
    <t xml:space="preserve">(949) 830-7100</t>
  </si>
  <si>
    <t xml:space="preserve">CA0198</t>
  </si>
  <si>
    <t xml:space="preserve">Mono County Free Library</t>
  </si>
  <si>
    <t xml:space="preserve">Mammoth Lakes</t>
  </si>
  <si>
    <t xml:space="preserve">Mono</t>
  </si>
  <si>
    <t xml:space="preserve">(760) 934-8670</t>
  </si>
  <si>
    <t xml:space="preserve">CA0071</t>
  </si>
  <si>
    <t xml:space="preserve">Monrovia Public Library</t>
  </si>
  <si>
    <t xml:space="preserve">Monrovia</t>
  </si>
  <si>
    <t xml:space="preserve">(626) 256-8274</t>
  </si>
  <si>
    <t xml:space="preserve">CA0072</t>
  </si>
  <si>
    <t xml:space="preserve">Monterey County Free Libraries</t>
  </si>
  <si>
    <t xml:space="preserve">Marina</t>
  </si>
  <si>
    <t xml:space="preserve">Monterey</t>
  </si>
  <si>
    <t xml:space="preserve">(831) 883-7573</t>
  </si>
  <si>
    <t xml:space="preserve">CA0073</t>
  </si>
  <si>
    <t xml:space="preserve">Monterey Park Bruggemeyer Library</t>
  </si>
  <si>
    <t xml:space="preserve">Monterey Park</t>
  </si>
  <si>
    <t xml:space="preserve">(626) 307-1269</t>
  </si>
  <si>
    <t xml:space="preserve">CA0075</t>
  </si>
  <si>
    <t xml:space="preserve">Monterey Public Library</t>
  </si>
  <si>
    <t xml:space="preserve">(831) 646-5669</t>
  </si>
  <si>
    <t xml:space="preserve">CA0074</t>
  </si>
  <si>
    <t xml:space="preserve">Moorpark City Library</t>
  </si>
  <si>
    <t xml:space="preserve">Moorpark</t>
  </si>
  <si>
    <t xml:space="preserve">(805) 517-6370</t>
  </si>
  <si>
    <t xml:space="preserve">CA0208</t>
  </si>
  <si>
    <t xml:space="preserve">Moreno Valley Public Library</t>
  </si>
  <si>
    <t xml:space="preserve">Moreno Valley</t>
  </si>
  <si>
    <t xml:space="preserve">(951) 413-3880</t>
  </si>
  <si>
    <t xml:space="preserve">CA0200</t>
  </si>
  <si>
    <t xml:space="preserve">Mountain View Public Library</t>
  </si>
  <si>
    <t xml:space="preserve">(650) 903-6887</t>
  </si>
  <si>
    <t xml:space="preserve">CA0076</t>
  </si>
  <si>
    <t xml:space="preserve">Murrieta Public Library</t>
  </si>
  <si>
    <t xml:space="preserve">Murrieta</t>
  </si>
  <si>
    <t xml:space="preserve">(951) 304-2665</t>
  </si>
  <si>
    <t xml:space="preserve">CA0202</t>
  </si>
  <si>
    <t xml:space="preserve">Napa County Library</t>
  </si>
  <si>
    <t xml:space="preserve">Napa</t>
  </si>
  <si>
    <t xml:space="preserve">(707) 253-4241</t>
  </si>
  <si>
    <t xml:space="preserve">CA0077</t>
  </si>
  <si>
    <t xml:space="preserve">National City Public Library</t>
  </si>
  <si>
    <t xml:space="preserve">National City</t>
  </si>
  <si>
    <t xml:space="preserve">(619) 470-5800</t>
  </si>
  <si>
    <t xml:space="preserve">CA0078</t>
  </si>
  <si>
    <t xml:space="preserve">Nevada County Library</t>
  </si>
  <si>
    <t xml:space="preserve">Nevada City</t>
  </si>
  <si>
    <t xml:space="preserve">(530) 265-1407</t>
  </si>
  <si>
    <t xml:space="preserve">CA0079</t>
  </si>
  <si>
    <t xml:space="preserve">Newport Beach Public Library</t>
  </si>
  <si>
    <t xml:space="preserve">Newport Beach</t>
  </si>
  <si>
    <t xml:space="preserve">(949) 717-3800</t>
  </si>
  <si>
    <t xml:space="preserve">CA0080</t>
  </si>
  <si>
    <t xml:space="preserve">Oakland Public Library</t>
  </si>
  <si>
    <t xml:space="preserve">Oakland</t>
  </si>
  <si>
    <t xml:space="preserve">(510) 238-3281</t>
  </si>
  <si>
    <t xml:space="preserve">CA0081</t>
  </si>
  <si>
    <t xml:space="preserve">Oceanside Public Library</t>
  </si>
  <si>
    <t xml:space="preserve">Oceanside</t>
  </si>
  <si>
    <t xml:space="preserve">(760) 435-5560</t>
  </si>
  <si>
    <t xml:space="preserve">CA0082</t>
  </si>
  <si>
    <t xml:space="preserve">Ontario City Library</t>
  </si>
  <si>
    <t xml:space="preserve">Ontario</t>
  </si>
  <si>
    <t xml:space="preserve">(909) 395-2216</t>
  </si>
  <si>
    <t xml:space="preserve">CA0083</t>
  </si>
  <si>
    <t xml:space="preserve">Orange County Public Libraries</t>
  </si>
  <si>
    <t xml:space="preserve">Santa Ana</t>
  </si>
  <si>
    <t xml:space="preserve">(714) 566-3000</t>
  </si>
  <si>
    <t xml:space="preserve">CA0084</t>
  </si>
  <si>
    <t xml:space="preserve">Orange Public Library</t>
  </si>
  <si>
    <t xml:space="preserve">(714) 288-2471</t>
  </si>
  <si>
    <t xml:space="preserve">CA0085</t>
  </si>
  <si>
    <t xml:space="preserve">Orland Free Library</t>
  </si>
  <si>
    <t xml:space="preserve">Orland</t>
  </si>
  <si>
    <t xml:space="preserve">Glenn</t>
  </si>
  <si>
    <t xml:space="preserve">(530) 865-1640</t>
  </si>
  <si>
    <t xml:space="preserve">CA0086</t>
  </si>
  <si>
    <t xml:space="preserve">Oxnard Public Library</t>
  </si>
  <si>
    <t xml:space="preserve">Oxnard</t>
  </si>
  <si>
    <t xml:space="preserve">(805) 385-7500</t>
  </si>
  <si>
    <t xml:space="preserve">CA0087</t>
  </si>
  <si>
    <t xml:space="preserve">Pacific Grove Public Library</t>
  </si>
  <si>
    <t xml:space="preserve">Pacific Grove</t>
  </si>
  <si>
    <t xml:space="preserve">(831) 648-5760</t>
  </si>
  <si>
    <t xml:space="preserve">CA0088</t>
  </si>
  <si>
    <t xml:space="preserve">Palm Springs Public Library</t>
  </si>
  <si>
    <t xml:space="preserve">Palm Springs</t>
  </si>
  <si>
    <t xml:space="preserve">(760) 322-7323</t>
  </si>
  <si>
    <t xml:space="preserve">CA0090</t>
  </si>
  <si>
    <t xml:space="preserve">Palmdale City Library</t>
  </si>
  <si>
    <t xml:space="preserve">Palmdale</t>
  </si>
  <si>
    <t xml:space="preserve">(661) 267-5600</t>
  </si>
  <si>
    <t xml:space="preserve">CA0089</t>
  </si>
  <si>
    <t xml:space="preserve">Palo Alto City Library</t>
  </si>
  <si>
    <t xml:space="preserve">Palo Alto</t>
  </si>
  <si>
    <t xml:space="preserve">(650) 329-2516</t>
  </si>
  <si>
    <t xml:space="preserve">CA0091</t>
  </si>
  <si>
    <t xml:space="preserve">Palo Verde Valley Library District</t>
  </si>
  <si>
    <t xml:space="preserve">Blythe</t>
  </si>
  <si>
    <t xml:space="preserve">(760) 922-5371</t>
  </si>
  <si>
    <t xml:space="preserve">CA0093</t>
  </si>
  <si>
    <t xml:space="preserve">Palos Verdes Library District</t>
  </si>
  <si>
    <t xml:space="preserve">Rolling Hills Estate</t>
  </si>
  <si>
    <t xml:space="preserve">(310) 377-9584</t>
  </si>
  <si>
    <t xml:space="preserve">CA0092</t>
  </si>
  <si>
    <t xml:space="preserve">Pasadena Public Library</t>
  </si>
  <si>
    <t xml:space="preserve">Pasadena</t>
  </si>
  <si>
    <t xml:space="preserve">(626) 744-4066</t>
  </si>
  <si>
    <t xml:space="preserve">CA0094</t>
  </si>
  <si>
    <t xml:space="preserve">Paso Robles City Library</t>
  </si>
  <si>
    <t xml:space="preserve">Paso Robles</t>
  </si>
  <si>
    <t xml:space="preserve">San Luis Obispo</t>
  </si>
  <si>
    <t xml:space="preserve">(805) 237-3870</t>
  </si>
  <si>
    <t xml:space="preserve">CA0095</t>
  </si>
  <si>
    <t xml:space="preserve">Placentia Library District</t>
  </si>
  <si>
    <t xml:space="preserve">Placentia</t>
  </si>
  <si>
    <t xml:space="preserve">(714) 528-1925</t>
  </si>
  <si>
    <t xml:space="preserve">CA0096</t>
  </si>
  <si>
    <t xml:space="preserve">Placer County Library</t>
  </si>
  <si>
    <t xml:space="preserve">(530) 886-4501</t>
  </si>
  <si>
    <t xml:space="preserve">CA0009</t>
  </si>
  <si>
    <t xml:space="preserve">Pleasanton Public Library</t>
  </si>
  <si>
    <t xml:space="preserve">Pleasanton</t>
  </si>
  <si>
    <t xml:space="preserve">(925) 931-3400</t>
  </si>
  <si>
    <t xml:space="preserve">CA0206</t>
  </si>
  <si>
    <t xml:space="preserve">Plumas County Library</t>
  </si>
  <si>
    <t xml:space="preserve">Quincy</t>
  </si>
  <si>
    <t xml:space="preserve">Plumas</t>
  </si>
  <si>
    <t xml:space="preserve">(530) 283-6310</t>
  </si>
  <si>
    <t xml:space="preserve">CA0097</t>
  </si>
  <si>
    <t xml:space="preserve">Pomona Public Library</t>
  </si>
  <si>
    <t xml:space="preserve">Pomona</t>
  </si>
  <si>
    <t xml:space="preserve">(909) 620-2035</t>
  </si>
  <si>
    <t xml:space="preserve">CA0098</t>
  </si>
  <si>
    <t xml:space="preserve">Porterville Public Library</t>
  </si>
  <si>
    <t xml:space="preserve">Porterville</t>
  </si>
  <si>
    <t xml:space="preserve">Tulare</t>
  </si>
  <si>
    <t xml:space="preserve">(559) 784-0177</t>
  </si>
  <si>
    <t xml:space="preserve">CA0099</t>
  </si>
  <si>
    <t xml:space="preserve">Rancho Cucamonga Public Library</t>
  </si>
  <si>
    <t xml:space="preserve">Rancho Cucamonga</t>
  </si>
  <si>
    <t xml:space="preserve">(909) 477-2720</t>
  </si>
  <si>
    <t xml:space="preserve">CA0194</t>
  </si>
  <si>
    <t xml:space="preserve">Rancho Mirage Public Library</t>
  </si>
  <si>
    <t xml:space="preserve">Rancho Mirage</t>
  </si>
  <si>
    <t xml:space="preserve">(760) 341-7323</t>
  </si>
  <si>
    <t xml:space="preserve">CA0196</t>
  </si>
  <si>
    <t xml:space="preserve">Redondo Beach Public Library</t>
  </si>
  <si>
    <t xml:space="preserve">Redondo Beach</t>
  </si>
  <si>
    <t xml:space="preserve">(310) 318-0676</t>
  </si>
  <si>
    <t xml:space="preserve">CA0100</t>
  </si>
  <si>
    <t xml:space="preserve">Redwood City Public Library</t>
  </si>
  <si>
    <t xml:space="preserve">Redwood City</t>
  </si>
  <si>
    <t xml:space="preserve">(650) 780-7061</t>
  </si>
  <si>
    <t xml:space="preserve">CA0101</t>
  </si>
  <si>
    <t xml:space="preserve">Richmond Public Library</t>
  </si>
  <si>
    <t xml:space="preserve">Richmond</t>
  </si>
  <si>
    <t xml:space="preserve">(510) 620-6555</t>
  </si>
  <si>
    <t xml:space="preserve">CA0102</t>
  </si>
  <si>
    <t xml:space="preserve">Riverside County Library System</t>
  </si>
  <si>
    <t xml:space="preserve">Jurupa Valley</t>
  </si>
  <si>
    <t xml:space="preserve">(951) 274-4512</t>
  </si>
  <si>
    <t xml:space="preserve">CA0199</t>
  </si>
  <si>
    <t xml:space="preserve">Riverside Public Library</t>
  </si>
  <si>
    <t xml:space="preserve">(951) 826-5213</t>
  </si>
  <si>
    <t xml:space="preserve">CA0103</t>
  </si>
  <si>
    <t xml:space="preserve">Roseville Public Library</t>
  </si>
  <si>
    <t xml:space="preserve">Roseville</t>
  </si>
  <si>
    <t xml:space="preserve">(916) 774-5221</t>
  </si>
  <si>
    <t xml:space="preserve">CA0104</t>
  </si>
  <si>
    <t xml:space="preserve">Sacramento Public Library</t>
  </si>
  <si>
    <t xml:space="preserve">(916) 264-2965</t>
  </si>
  <si>
    <t xml:space="preserve">CA0105</t>
  </si>
  <si>
    <t xml:space="preserve">Salinas Public Library</t>
  </si>
  <si>
    <t xml:space="preserve">Salinas</t>
  </si>
  <si>
    <t xml:space="preserve">(831) 758-7458</t>
  </si>
  <si>
    <t xml:space="preserve">CA0106</t>
  </si>
  <si>
    <t xml:space="preserve">San Anselmo Public Library</t>
  </si>
  <si>
    <t xml:space="preserve">San Anselmo</t>
  </si>
  <si>
    <t xml:space="preserve">(415) 258-4656</t>
  </si>
  <si>
    <t xml:space="preserve">CA0107</t>
  </si>
  <si>
    <t xml:space="preserve">San Benito County Free Library</t>
  </si>
  <si>
    <t xml:space="preserve">Hollister</t>
  </si>
  <si>
    <t xml:space="preserve">San Benito</t>
  </si>
  <si>
    <t xml:space="preserve">(831) 636-4097</t>
  </si>
  <si>
    <t xml:space="preserve">CA0108</t>
  </si>
  <si>
    <t xml:space="preserve">San Bernardino County Library</t>
  </si>
  <si>
    <t xml:space="preserve">(909) 387-2220</t>
  </si>
  <si>
    <t xml:space="preserve">CA0109</t>
  </si>
  <si>
    <t xml:space="preserve">San Bernardino Public Library</t>
  </si>
  <si>
    <t xml:space="preserve">(909) 381-8215</t>
  </si>
  <si>
    <t xml:space="preserve">CA0110</t>
  </si>
  <si>
    <t xml:space="preserve">San Bruno Public Library</t>
  </si>
  <si>
    <t xml:space="preserve">San Bruno</t>
  </si>
  <si>
    <t xml:space="preserve">(650) 616-7078</t>
  </si>
  <si>
    <t xml:space="preserve">CA0111</t>
  </si>
  <si>
    <t xml:space="preserve">San Diego County Library</t>
  </si>
  <si>
    <t xml:space="preserve">(858) 694-2415</t>
  </si>
  <si>
    <t xml:space="preserve">CA0112</t>
  </si>
  <si>
    <t xml:space="preserve">San Diego Public Library</t>
  </si>
  <si>
    <t xml:space="preserve">(619) 236-5870</t>
  </si>
  <si>
    <t xml:space="preserve">CA0113</t>
  </si>
  <si>
    <t xml:space="preserve">San Francisco Public Library</t>
  </si>
  <si>
    <t xml:space="preserve">San Francisco</t>
  </si>
  <si>
    <t xml:space="preserve">(415) 557-4400</t>
  </si>
  <si>
    <t xml:space="preserve">CA0114</t>
  </si>
  <si>
    <t xml:space="preserve">San Jose Public Library</t>
  </si>
  <si>
    <t xml:space="preserve">San Jose</t>
  </si>
  <si>
    <t xml:space="preserve">(408) 808-2000</t>
  </si>
  <si>
    <t xml:space="preserve">CA0115</t>
  </si>
  <si>
    <t xml:space="preserve">San Leandro Public Library</t>
  </si>
  <si>
    <t xml:space="preserve">San Leandro</t>
  </si>
  <si>
    <t xml:space="preserve">(510) 577-3980</t>
  </si>
  <si>
    <t xml:space="preserve">CA0117</t>
  </si>
  <si>
    <t xml:space="preserve">San Luis Obispo City-County Library</t>
  </si>
  <si>
    <t xml:space="preserve">(805) 781-5784</t>
  </si>
  <si>
    <t xml:space="preserve">CA0118</t>
  </si>
  <si>
    <t xml:space="preserve">San Mateo County Libraries</t>
  </si>
  <si>
    <t xml:space="preserve">(650) 312-5258</t>
  </si>
  <si>
    <t xml:space="preserve">CA0120</t>
  </si>
  <si>
    <t xml:space="preserve">San Mateo Public Library</t>
  </si>
  <si>
    <t xml:space="preserve">(650) 522-7802</t>
  </si>
  <si>
    <t xml:space="preserve">CA0121</t>
  </si>
  <si>
    <t xml:space="preserve">San Rafael Public Library</t>
  </si>
  <si>
    <t xml:space="preserve">(415) 485-3323</t>
  </si>
  <si>
    <t xml:space="preserve">CA0122</t>
  </si>
  <si>
    <t xml:space="preserve">Santa Ana Public Library</t>
  </si>
  <si>
    <t xml:space="preserve">(714) 647-5265</t>
  </si>
  <si>
    <t xml:space="preserve">CA0123</t>
  </si>
  <si>
    <t xml:space="preserve">Santa Barbara Public Library</t>
  </si>
  <si>
    <t xml:space="preserve">(805) 564-5608</t>
  </si>
  <si>
    <t xml:space="preserve">CA0124</t>
  </si>
  <si>
    <t xml:space="preserve">Santa Clara City Library</t>
  </si>
  <si>
    <t xml:space="preserve">(408) 615-2930</t>
  </si>
  <si>
    <t xml:space="preserve">CA0125</t>
  </si>
  <si>
    <t xml:space="preserve">Santa Clara County Library</t>
  </si>
  <si>
    <t xml:space="preserve">Campbell</t>
  </si>
  <si>
    <t xml:space="preserve">(408) 293-2326</t>
  </si>
  <si>
    <t xml:space="preserve">CA0126</t>
  </si>
  <si>
    <t xml:space="preserve">Santa Clarita Public Library</t>
  </si>
  <si>
    <t xml:space="preserve">Santa Clarita</t>
  </si>
  <si>
    <t xml:space="preserve">(661) 799-6132</t>
  </si>
  <si>
    <t xml:space="preserve">CA0210</t>
  </si>
  <si>
    <t xml:space="preserve">Santa Cruz Public Libraries</t>
  </si>
  <si>
    <t xml:space="preserve">(831) 427-7706</t>
  </si>
  <si>
    <t xml:space="preserve">CA0127</t>
  </si>
  <si>
    <t xml:space="preserve">Santa Fe Springs City Library</t>
  </si>
  <si>
    <t xml:space="preserve">Santa Fe Springs</t>
  </si>
  <si>
    <t xml:space="preserve">(562) 868-7738</t>
  </si>
  <si>
    <t xml:space="preserve">CA0128</t>
  </si>
  <si>
    <t xml:space="preserve">Santa Maria Public Library</t>
  </si>
  <si>
    <t xml:space="preserve">Santa Maria</t>
  </si>
  <si>
    <t xml:space="preserve">(805) 925-0994</t>
  </si>
  <si>
    <t xml:space="preserve">CA0129</t>
  </si>
  <si>
    <t xml:space="preserve">Santa Monica Public Library</t>
  </si>
  <si>
    <t xml:space="preserve">Santa Monica</t>
  </si>
  <si>
    <t xml:space="preserve">(310) 458-8600</t>
  </si>
  <si>
    <t xml:space="preserve">CA0130</t>
  </si>
  <si>
    <t xml:space="preserve">Shafter Library</t>
  </si>
  <si>
    <t xml:space="preserve">Shafter</t>
  </si>
  <si>
    <t xml:space="preserve">(661) 746-5055</t>
  </si>
  <si>
    <t xml:space="preserve">CA0272</t>
  </si>
  <si>
    <t xml:space="preserve">Shasta Public Libraries</t>
  </si>
  <si>
    <t xml:space="preserve">Redding</t>
  </si>
  <si>
    <t xml:space="preserve">Shasta</t>
  </si>
  <si>
    <t xml:space="preserve">(530) 245-7260</t>
  </si>
  <si>
    <t xml:space="preserve">CA0133</t>
  </si>
  <si>
    <t xml:space="preserve">Sierra Madre Public Library</t>
  </si>
  <si>
    <t xml:space="preserve">Sierra Madre</t>
  </si>
  <si>
    <t xml:space="preserve">(626) 355-7186</t>
  </si>
  <si>
    <t xml:space="preserve">CA0134</t>
  </si>
  <si>
    <t xml:space="preserve">Signal Hill Public Library</t>
  </si>
  <si>
    <t xml:space="preserve">Signal Hill</t>
  </si>
  <si>
    <t xml:space="preserve">(562) 989-7323</t>
  </si>
  <si>
    <t xml:space="preserve">CA0166</t>
  </si>
  <si>
    <t xml:space="preserve">Simi Valley Public Library</t>
  </si>
  <si>
    <t xml:space="preserve">Simi Valley</t>
  </si>
  <si>
    <t xml:space="preserve">(805) 526-1735</t>
  </si>
  <si>
    <t xml:space="preserve">CA0211</t>
  </si>
  <si>
    <t xml:space="preserve">Siskiyou County Free Library</t>
  </si>
  <si>
    <t xml:space="preserve">Yreka</t>
  </si>
  <si>
    <t xml:space="preserve">Siskiyou</t>
  </si>
  <si>
    <t xml:space="preserve">(530) 842-8807</t>
  </si>
  <si>
    <t xml:space="preserve">CA0135</t>
  </si>
  <si>
    <t xml:space="preserve">Solano County Library</t>
  </si>
  <si>
    <t xml:space="preserve">(707) 784-1500</t>
  </si>
  <si>
    <t xml:space="preserve">CA0136</t>
  </si>
  <si>
    <t xml:space="preserve">Sonoma County Library</t>
  </si>
  <si>
    <t xml:space="preserve">Rohnert Park</t>
  </si>
  <si>
    <t xml:space="preserve">Sonoma</t>
  </si>
  <si>
    <t xml:space="preserve">(707) 545-0831</t>
  </si>
  <si>
    <t xml:space="preserve">CA0137</t>
  </si>
  <si>
    <t xml:space="preserve">South Pasadena Public Library</t>
  </si>
  <si>
    <t xml:space="preserve">South Pasadena</t>
  </si>
  <si>
    <t xml:space="preserve">(626) 403-7330</t>
  </si>
  <si>
    <t xml:space="preserve">CA0138</t>
  </si>
  <si>
    <t xml:space="preserve">South San Francisco Public Library</t>
  </si>
  <si>
    <t xml:space="preserve">South San Francisco</t>
  </si>
  <si>
    <t xml:space="preserve">(650) 829-3860</t>
  </si>
  <si>
    <t xml:space="preserve">CA0139</t>
  </si>
  <si>
    <t xml:space="preserve">Stanislaus County Free Library</t>
  </si>
  <si>
    <t xml:space="preserve">Modesto</t>
  </si>
  <si>
    <t xml:space="preserve">Stanislaus</t>
  </si>
  <si>
    <t xml:space="preserve">(209) 558-7801</t>
  </si>
  <si>
    <t xml:space="preserve">CA0140</t>
  </si>
  <si>
    <t xml:space="preserve">Stockton-San Joaquin County Public Library</t>
  </si>
  <si>
    <t xml:space="preserve">Stockton</t>
  </si>
  <si>
    <t xml:space="preserve">(209) 937-8362</t>
  </si>
  <si>
    <t xml:space="preserve">CA0142</t>
  </si>
  <si>
    <t xml:space="preserve">Sunnyvale Public Library</t>
  </si>
  <si>
    <t xml:space="preserve">Sunnyvale</t>
  </si>
  <si>
    <t xml:space="preserve">(408) 730-7314</t>
  </si>
  <si>
    <t xml:space="preserve">CA0143</t>
  </si>
  <si>
    <t xml:space="preserve">Sutter County Library</t>
  </si>
  <si>
    <t xml:space="preserve">Yuba City</t>
  </si>
  <si>
    <t xml:space="preserve">Sutter</t>
  </si>
  <si>
    <t xml:space="preserve">(530) 822-7137</t>
  </si>
  <si>
    <t xml:space="preserve">CA0144</t>
  </si>
  <si>
    <t xml:space="preserve">Tehama County Library</t>
  </si>
  <si>
    <t xml:space="preserve">Red Bluff</t>
  </si>
  <si>
    <t xml:space="preserve">Tehama</t>
  </si>
  <si>
    <t xml:space="preserve">(530) 527-0604</t>
  </si>
  <si>
    <t xml:space="preserve">CA0145</t>
  </si>
  <si>
    <t xml:space="preserve">Thousand Oaks Library</t>
  </si>
  <si>
    <t xml:space="preserve">Thousand Oaks</t>
  </si>
  <si>
    <t xml:space="preserve">(805) 449-2660</t>
  </si>
  <si>
    <t xml:space="preserve">CA0169</t>
  </si>
  <si>
    <t xml:space="preserve">Torrance Public Library</t>
  </si>
  <si>
    <t xml:space="preserve">Torrance</t>
  </si>
  <si>
    <t xml:space="preserve">(310) 618-5950</t>
  </si>
  <si>
    <t xml:space="preserve">CA0146</t>
  </si>
  <si>
    <t xml:space="preserve">Trinity County Free Library</t>
  </si>
  <si>
    <t xml:space="preserve">Weaverville</t>
  </si>
  <si>
    <t xml:space="preserve">Trinity</t>
  </si>
  <si>
    <t xml:space="preserve">(530) 623-1373</t>
  </si>
  <si>
    <t xml:space="preserve">CA0147</t>
  </si>
  <si>
    <t xml:space="preserve">Tulare County Free Library</t>
  </si>
  <si>
    <t xml:space="preserve">Visalia</t>
  </si>
  <si>
    <t xml:space="preserve">(559) 713-2720</t>
  </si>
  <si>
    <t xml:space="preserve">CA0148</t>
  </si>
  <si>
    <t xml:space="preserve">Tulare Public Library</t>
  </si>
  <si>
    <t xml:space="preserve">(559) 685-4505</t>
  </si>
  <si>
    <t xml:space="preserve">CA0149</t>
  </si>
  <si>
    <t xml:space="preserve">Tuolumne County Library</t>
  </si>
  <si>
    <t xml:space="preserve">Sonora</t>
  </si>
  <si>
    <t xml:space="preserve">Tuolumne</t>
  </si>
  <si>
    <t xml:space="preserve">(209) 533-5507</t>
  </si>
  <si>
    <t xml:space="preserve">CA0150</t>
  </si>
  <si>
    <t xml:space="preserve">Upland Public Library</t>
  </si>
  <si>
    <t xml:space="preserve">Upland</t>
  </si>
  <si>
    <t xml:space="preserve">(909) 931-4200</t>
  </si>
  <si>
    <t xml:space="preserve">CA0151</t>
  </si>
  <si>
    <t xml:space="preserve">Ventura County Library</t>
  </si>
  <si>
    <t xml:space="preserve">(805) 677-7150</t>
  </si>
  <si>
    <t xml:space="preserve">CA0152</t>
  </si>
  <si>
    <t xml:space="preserve">Victorville City Library</t>
  </si>
  <si>
    <t xml:space="preserve">Victorville</t>
  </si>
  <si>
    <t xml:space="preserve">(760) 245-4222</t>
  </si>
  <si>
    <t xml:space="preserve">CA0207</t>
  </si>
  <si>
    <t xml:space="preserve">Watsonville Public Library</t>
  </si>
  <si>
    <t xml:space="preserve">Watsonville</t>
  </si>
  <si>
    <t xml:space="preserve">(831) 768-3400</t>
  </si>
  <si>
    <t xml:space="preserve">CA0153</t>
  </si>
  <si>
    <t xml:space="preserve">Whittier Public Library</t>
  </si>
  <si>
    <t xml:space="preserve">Whittier</t>
  </si>
  <si>
    <t xml:space="preserve">(562) 567-9920</t>
  </si>
  <si>
    <t xml:space="preserve">CA0154</t>
  </si>
  <si>
    <t xml:space="preserve">Willows Public Library</t>
  </si>
  <si>
    <t xml:space="preserve">Willows</t>
  </si>
  <si>
    <t xml:space="preserve">(530) 934-5156</t>
  </si>
  <si>
    <t xml:space="preserve">CA0155</t>
  </si>
  <si>
    <t xml:space="preserve">Woodland Public Library</t>
  </si>
  <si>
    <t xml:space="preserve">Woodland</t>
  </si>
  <si>
    <t xml:space="preserve">Yolo</t>
  </si>
  <si>
    <t xml:space="preserve">(530) 661-5980</t>
  </si>
  <si>
    <t xml:space="preserve">CA0156</t>
  </si>
  <si>
    <t xml:space="preserve">Yolo County Library</t>
  </si>
  <si>
    <t xml:space="preserve">(530) 666-8005</t>
  </si>
  <si>
    <t xml:space="preserve">CA0157</t>
  </si>
  <si>
    <t xml:space="preserve">Yorba Linda Public Library</t>
  </si>
  <si>
    <t xml:space="preserve">Yorba Linda</t>
  </si>
  <si>
    <t xml:space="preserve">(714) 777-2466</t>
  </si>
  <si>
    <t xml:space="preserve">CA0158</t>
  </si>
  <si>
    <t xml:space="preserve">Yuba County Library</t>
  </si>
  <si>
    <t xml:space="preserve">Marysville</t>
  </si>
  <si>
    <t xml:space="preserve">Yuba</t>
  </si>
  <si>
    <t xml:space="preserve">(530) 749-7380</t>
  </si>
  <si>
    <t xml:space="preserve">CA0159</t>
  </si>
  <si>
    <t xml:space="preserve">CO</t>
  </si>
  <si>
    <t xml:space="preserve">Arapahoe Library District</t>
  </si>
  <si>
    <t xml:space="preserve">Englewood</t>
  </si>
  <si>
    <t xml:space="preserve">Arapahoe</t>
  </si>
  <si>
    <t xml:space="preserve">(303) 542-7279</t>
  </si>
  <si>
    <t xml:space="preserve">CO0005</t>
  </si>
  <si>
    <t xml:space="preserve">Aurora Public Library</t>
  </si>
  <si>
    <t xml:space="preserve">Aurora</t>
  </si>
  <si>
    <t xml:space="preserve">(303) 739-6640</t>
  </si>
  <si>
    <t xml:space="preserve">CO0007</t>
  </si>
  <si>
    <t xml:space="preserve">Basalt Regional Library District</t>
  </si>
  <si>
    <t xml:space="preserve">Basalt</t>
  </si>
  <si>
    <t xml:space="preserve">Eagle</t>
  </si>
  <si>
    <t xml:space="preserve">(970) 927-4311</t>
  </si>
  <si>
    <t xml:space="preserve">CO0009</t>
  </si>
  <si>
    <t xml:space="preserve">Berthoud Community Library District</t>
  </si>
  <si>
    <t xml:space="preserve">Berthoud</t>
  </si>
  <si>
    <t xml:space="preserve">Larimer</t>
  </si>
  <si>
    <t xml:space="preserve">(970) 532-2757</t>
  </si>
  <si>
    <t xml:space="preserve">CO0011</t>
  </si>
  <si>
    <t xml:space="preserve">Boulder Public Library</t>
  </si>
  <si>
    <t xml:space="preserve">Boulder</t>
  </si>
  <si>
    <t xml:space="preserve">(303) 441-3100</t>
  </si>
  <si>
    <t xml:space="preserve">CO0012</t>
  </si>
  <si>
    <t xml:space="preserve">Broomfield/Eisenhower Public Library</t>
  </si>
  <si>
    <t xml:space="preserve">Broomfield</t>
  </si>
  <si>
    <t xml:space="preserve">(720) 887-2300</t>
  </si>
  <si>
    <t xml:space="preserve">CO0013</t>
  </si>
  <si>
    <t xml:space="preserve">Canon City Public Library</t>
  </si>
  <si>
    <t xml:space="preserve">Canon City</t>
  </si>
  <si>
    <t xml:space="preserve">(719) 269-9020</t>
  </si>
  <si>
    <t xml:space="preserve">CO0017</t>
  </si>
  <si>
    <t xml:space="preserve">Clearview Library District</t>
  </si>
  <si>
    <t xml:space="preserve">Windsor</t>
  </si>
  <si>
    <t xml:space="preserve">Weld</t>
  </si>
  <si>
    <t xml:space="preserve">(970) 686-5603</t>
  </si>
  <si>
    <t xml:space="preserve">CO0131</t>
  </si>
  <si>
    <t xml:space="preserve">Delta County Public Library District</t>
  </si>
  <si>
    <t xml:space="preserve">Hotchkiss</t>
  </si>
  <si>
    <t xml:space="preserve">Delta</t>
  </si>
  <si>
    <t xml:space="preserve">(970) 399-7878</t>
  </si>
  <si>
    <t xml:space="preserve">CO0144</t>
  </si>
  <si>
    <t xml:space="preserve">Denver Public Library</t>
  </si>
  <si>
    <t xml:space="preserve">Denver</t>
  </si>
  <si>
    <t xml:space="preserve">(720) 865-1111</t>
  </si>
  <si>
    <t xml:space="preserve">CO0034</t>
  </si>
  <si>
    <t xml:space="preserve">Douglas County Libraries</t>
  </si>
  <si>
    <t xml:space="preserve">Castle Rock</t>
  </si>
  <si>
    <t xml:space="preserve">(303) 791-7323</t>
  </si>
  <si>
    <t xml:space="preserve">CO0037</t>
  </si>
  <si>
    <t xml:space="preserve">Durango Public Library</t>
  </si>
  <si>
    <t xml:space="preserve">Durango</t>
  </si>
  <si>
    <t xml:space="preserve">La Plata</t>
  </si>
  <si>
    <t xml:space="preserve">(970) 375-3380</t>
  </si>
  <si>
    <t xml:space="preserve">CO0038</t>
  </si>
  <si>
    <t xml:space="preserve">Eagle Valley Library District</t>
  </si>
  <si>
    <t xml:space="preserve">(970) 328-8800</t>
  </si>
  <si>
    <t xml:space="preserve">CO0039</t>
  </si>
  <si>
    <t xml:space="preserve">East Routt Library District</t>
  </si>
  <si>
    <t xml:space="preserve">Steamboat Springs</t>
  </si>
  <si>
    <t xml:space="preserve">Routt</t>
  </si>
  <si>
    <t xml:space="preserve">(970) 879-0240</t>
  </si>
  <si>
    <t xml:space="preserve">CO0112</t>
  </si>
  <si>
    <t xml:space="preserve">Elbert County Library District</t>
  </si>
  <si>
    <t xml:space="preserve">Elizabeth</t>
  </si>
  <si>
    <t xml:space="preserve">Elbert</t>
  </si>
  <si>
    <t xml:space="preserve">(303) 646-3792</t>
  </si>
  <si>
    <t xml:space="preserve">CO0040</t>
  </si>
  <si>
    <t xml:space="preserve">Englewood Public Library</t>
  </si>
  <si>
    <t xml:space="preserve">(303) 762-2560</t>
  </si>
  <si>
    <t xml:space="preserve">CO0041</t>
  </si>
  <si>
    <t xml:space="preserve">Estes Valley Public Library District</t>
  </si>
  <si>
    <t xml:space="preserve">Estes Park</t>
  </si>
  <si>
    <t xml:space="preserve">(970) 586-8116</t>
  </si>
  <si>
    <t xml:space="preserve">CO0042</t>
  </si>
  <si>
    <t xml:space="preserve">Fort Morgan Public Library</t>
  </si>
  <si>
    <t xml:space="preserve">Fort Morgan</t>
  </si>
  <si>
    <t xml:space="preserve">(970) 542-4000</t>
  </si>
  <si>
    <t xml:space="preserve">CO0047</t>
  </si>
  <si>
    <t xml:space="preserve">Garfield County Public Library District</t>
  </si>
  <si>
    <t xml:space="preserve">Rifle</t>
  </si>
  <si>
    <t xml:space="preserve">Garfield</t>
  </si>
  <si>
    <t xml:space="preserve">(970) 625-4270</t>
  </si>
  <si>
    <t xml:space="preserve">CO0049</t>
  </si>
  <si>
    <t xml:space="preserve">Grand County Library District</t>
  </si>
  <si>
    <t xml:space="preserve">Granby</t>
  </si>
  <si>
    <t xml:space="preserve">Grand</t>
  </si>
  <si>
    <t xml:space="preserve">(970) 887-9411</t>
  </si>
  <si>
    <t xml:space="preserve">CO0051</t>
  </si>
  <si>
    <t xml:space="preserve">Gunnison County Library District</t>
  </si>
  <si>
    <t xml:space="preserve">Gunnison</t>
  </si>
  <si>
    <t xml:space="preserve">(970) 641-3485</t>
  </si>
  <si>
    <t xml:space="preserve">CO0052</t>
  </si>
  <si>
    <t xml:space="preserve">High Plains Library District</t>
  </si>
  <si>
    <t xml:space="preserve">Greeley</t>
  </si>
  <si>
    <t xml:space="preserve">(888) 861-7323</t>
  </si>
  <si>
    <t xml:space="preserve">CO0145</t>
  </si>
  <si>
    <t xml:space="preserve">Jefferson County Public Library</t>
  </si>
  <si>
    <t xml:space="preserve">Lakewood</t>
  </si>
  <si>
    <t xml:space="preserve">(303) 235-5275</t>
  </si>
  <si>
    <t xml:space="preserve">CO0060</t>
  </si>
  <si>
    <t xml:space="preserve">Lafayette Public Library</t>
  </si>
  <si>
    <t xml:space="preserve">Lafayette</t>
  </si>
  <si>
    <t xml:space="preserve">(303) 665-5200</t>
  </si>
  <si>
    <t xml:space="preserve">CO0065</t>
  </si>
  <si>
    <t xml:space="preserve">Lamar Public Library</t>
  </si>
  <si>
    <t xml:space="preserve">Lamar</t>
  </si>
  <si>
    <t xml:space="preserve">Prowers</t>
  </si>
  <si>
    <t xml:space="preserve">(719) 336-4632</t>
  </si>
  <si>
    <t xml:space="preserve">CO0068</t>
  </si>
  <si>
    <t xml:space="preserve">Littleton/Bemis Public Library</t>
  </si>
  <si>
    <t xml:space="preserve">Littleton</t>
  </si>
  <si>
    <t xml:space="preserve">(303) 795-3961</t>
  </si>
  <si>
    <t xml:space="preserve">CO0072</t>
  </si>
  <si>
    <t xml:space="preserve">Longmont Public Library</t>
  </si>
  <si>
    <t xml:space="preserve">Longmont</t>
  </si>
  <si>
    <t xml:space="preserve">(303) 651-8470</t>
  </si>
  <si>
    <t xml:space="preserve">CO0073</t>
  </si>
  <si>
    <t xml:space="preserve">Louisville Public Library</t>
  </si>
  <si>
    <t xml:space="preserve">Louisville</t>
  </si>
  <si>
    <t xml:space="preserve">(303) 335-4849</t>
  </si>
  <si>
    <t xml:space="preserve">CO0074</t>
  </si>
  <si>
    <t xml:space="preserve">Loveland Public Library</t>
  </si>
  <si>
    <t xml:space="preserve">Loveland</t>
  </si>
  <si>
    <t xml:space="preserve">(970) 962-2665</t>
  </si>
  <si>
    <t xml:space="preserve">CO0075</t>
  </si>
  <si>
    <t xml:space="preserve">Mesa County Public Library District</t>
  </si>
  <si>
    <t xml:space="preserve">Grand Junction</t>
  </si>
  <si>
    <t xml:space="preserve">(970) 243-4442</t>
  </si>
  <si>
    <t xml:space="preserve">CO0082</t>
  </si>
  <si>
    <t xml:space="preserve">Moffat County Library</t>
  </si>
  <si>
    <t xml:space="preserve">Craig</t>
  </si>
  <si>
    <t xml:space="preserve">Moffat</t>
  </si>
  <si>
    <t xml:space="preserve">(970) 824-5116</t>
  </si>
  <si>
    <t xml:space="preserve">CO0024</t>
  </si>
  <si>
    <t xml:space="preserve">Montrose Regional Library District</t>
  </si>
  <si>
    <t xml:space="preserve">Montrose</t>
  </si>
  <si>
    <t xml:space="preserve">(970) 249-9656</t>
  </si>
  <si>
    <t xml:space="preserve">CO0085</t>
  </si>
  <si>
    <t xml:space="preserve">Park County Public Library</t>
  </si>
  <si>
    <t xml:space="preserve">Fairplay</t>
  </si>
  <si>
    <t xml:space="preserve">Park</t>
  </si>
  <si>
    <t xml:space="preserve">(719) 836-4297</t>
  </si>
  <si>
    <t xml:space="preserve">CO0094</t>
  </si>
  <si>
    <t xml:space="preserve">Pikes Peak Library District</t>
  </si>
  <si>
    <t xml:space="preserve">Colorado Springs</t>
  </si>
  <si>
    <t xml:space="preserve">El Paso</t>
  </si>
  <si>
    <t xml:space="preserve">(719) 531-6333</t>
  </si>
  <si>
    <t xml:space="preserve">CO0096</t>
  </si>
  <si>
    <t xml:space="preserve">Pitkin County Library</t>
  </si>
  <si>
    <t xml:space="preserve">Aspen</t>
  </si>
  <si>
    <t xml:space="preserve">Pitkin</t>
  </si>
  <si>
    <t xml:space="preserve">(970) 429-1900</t>
  </si>
  <si>
    <t xml:space="preserve">CO0098</t>
  </si>
  <si>
    <t xml:space="preserve">Poudre River Public Library District</t>
  </si>
  <si>
    <t xml:space="preserve">Fort Collins</t>
  </si>
  <si>
    <t xml:space="preserve">(970) 221-6740</t>
  </si>
  <si>
    <t xml:space="preserve">CO0046</t>
  </si>
  <si>
    <t xml:space="preserve">Pueblo City-County Library District</t>
  </si>
  <si>
    <t xml:space="preserve">Pueblo</t>
  </si>
  <si>
    <t xml:space="preserve">(719) 562-5600</t>
  </si>
  <si>
    <t xml:space="preserve">CO0099</t>
  </si>
  <si>
    <t xml:space="preserve">Rampart Regional Library District</t>
  </si>
  <si>
    <t xml:space="preserve">Woodland Park</t>
  </si>
  <si>
    <t xml:space="preserve">Teller</t>
  </si>
  <si>
    <t xml:space="preserve">(719) 687-9281</t>
  </si>
  <si>
    <t xml:space="preserve">CO0132</t>
  </si>
  <si>
    <t xml:space="preserve">Rangeview Library District</t>
  </si>
  <si>
    <t xml:space="preserve">Thornton</t>
  </si>
  <si>
    <t xml:space="preserve">Adams</t>
  </si>
  <si>
    <t xml:space="preserve">(303) 288-2001</t>
  </si>
  <si>
    <t xml:space="preserve">CO0001</t>
  </si>
  <si>
    <t xml:space="preserve">Rio Grande County Library District</t>
  </si>
  <si>
    <t xml:space="preserve">Monte Vista</t>
  </si>
  <si>
    <t xml:space="preserve">Rio Grande</t>
  </si>
  <si>
    <t xml:space="preserve">(719) 852-3931</t>
  </si>
  <si>
    <t xml:space="preserve">CO0146</t>
  </si>
  <si>
    <t xml:space="preserve">Security Public Library</t>
  </si>
  <si>
    <t xml:space="preserve">Security</t>
  </si>
  <si>
    <t xml:space="preserve">(719) 391-3191</t>
  </si>
  <si>
    <t xml:space="preserve">CO0110</t>
  </si>
  <si>
    <t xml:space="preserve">Sterling Public Library</t>
  </si>
  <si>
    <t xml:space="preserve">Sterling</t>
  </si>
  <si>
    <t xml:space="preserve">Logan</t>
  </si>
  <si>
    <t xml:space="preserve">(970) 522-2023</t>
  </si>
  <si>
    <t xml:space="preserve">CO0113</t>
  </si>
  <si>
    <t xml:space="preserve">Summit County Library</t>
  </si>
  <si>
    <t xml:space="preserve">Frisco</t>
  </si>
  <si>
    <t xml:space="preserve">Summit</t>
  </si>
  <si>
    <t xml:space="preserve">(970) 668-4138</t>
  </si>
  <si>
    <t xml:space="preserve">CO0115</t>
  </si>
  <si>
    <t xml:space="preserve">Trinidad Carnegie Public Library</t>
  </si>
  <si>
    <t xml:space="preserve">Trinidad</t>
  </si>
  <si>
    <t xml:space="preserve">Las Animas</t>
  </si>
  <si>
    <t xml:space="preserve">(719) 846-6841</t>
  </si>
  <si>
    <t xml:space="preserve">CO0118</t>
  </si>
  <si>
    <t xml:space="preserve">Upper San Juan Library District</t>
  </si>
  <si>
    <t xml:space="preserve">Pagosa Springs</t>
  </si>
  <si>
    <t xml:space="preserve">Archuleta</t>
  </si>
  <si>
    <t xml:space="preserve">(970) 264-2209</t>
  </si>
  <si>
    <t xml:space="preserve">CO0006</t>
  </si>
  <si>
    <t xml:space="preserve">Wellington Public Library</t>
  </si>
  <si>
    <t xml:space="preserve">Wellington</t>
  </si>
  <si>
    <t xml:space="preserve">(970) 568-3040</t>
  </si>
  <si>
    <t xml:space="preserve">CO0129</t>
  </si>
  <si>
    <t xml:space="preserve">Westminster Public Library</t>
  </si>
  <si>
    <t xml:space="preserve">Westminster</t>
  </si>
  <si>
    <t xml:space="preserve">(303) 404-5555</t>
  </si>
  <si>
    <t xml:space="preserve">CO0130</t>
  </si>
  <si>
    <t xml:space="preserve">CT</t>
  </si>
  <si>
    <t xml:space="preserve">Acton Public Library</t>
  </si>
  <si>
    <t xml:space="preserve">Old Saybrook</t>
  </si>
  <si>
    <t xml:space="preserve">Middlesex</t>
  </si>
  <si>
    <t xml:space="preserve">(860) 395-3185</t>
  </si>
  <si>
    <t xml:space="preserve">CT0118</t>
  </si>
  <si>
    <t xml:space="preserve">Aldrich Free Public Library</t>
  </si>
  <si>
    <t xml:space="preserve">Moosup</t>
  </si>
  <si>
    <t xml:space="preserve">Windham</t>
  </si>
  <si>
    <t xml:space="preserve">(860) 564-8760</t>
  </si>
  <si>
    <t xml:space="preserve">CT0121</t>
  </si>
  <si>
    <t xml:space="preserve">Ansonia Library</t>
  </si>
  <si>
    <t xml:space="preserve">Ansonia</t>
  </si>
  <si>
    <t xml:space="preserve">New Haven</t>
  </si>
  <si>
    <t xml:space="preserve">(203) 734-6275</t>
  </si>
  <si>
    <t xml:space="preserve">CT0002</t>
  </si>
  <si>
    <t xml:space="preserve">Avon Free Public Library</t>
  </si>
  <si>
    <t xml:space="preserve">Avon</t>
  </si>
  <si>
    <t xml:space="preserve">Hartford</t>
  </si>
  <si>
    <t xml:space="preserve">(860) 673-9712</t>
  </si>
  <si>
    <t xml:space="preserve">CT0004</t>
  </si>
  <si>
    <t xml:space="preserve">Beardsley &amp; Memorial Library</t>
  </si>
  <si>
    <t xml:space="preserve">Winchester</t>
  </si>
  <si>
    <t xml:space="preserve">Litchfield</t>
  </si>
  <si>
    <t xml:space="preserve">(860) 379-6043</t>
  </si>
  <si>
    <t xml:space="preserve">CT0178</t>
  </si>
  <si>
    <t xml:space="preserve">Berlin Free Library Association</t>
  </si>
  <si>
    <t xml:space="preserve">Berlin</t>
  </si>
  <si>
    <t xml:space="preserve">(860) 828-3344</t>
  </si>
  <si>
    <t xml:space="preserve">CT0008</t>
  </si>
  <si>
    <t xml:space="preserve">Berlin-Peck Memorial Library</t>
  </si>
  <si>
    <t xml:space="preserve">(860) 828-7125</t>
  </si>
  <si>
    <t xml:space="preserve">CT0007</t>
  </si>
  <si>
    <t xml:space="preserve">Bethel Public Library</t>
  </si>
  <si>
    <t xml:space="preserve">Bethel</t>
  </si>
  <si>
    <t xml:space="preserve">(203) 794-8756</t>
  </si>
  <si>
    <t xml:space="preserve">CT0010</t>
  </si>
  <si>
    <t xml:space="preserve">Bill Memorial Library</t>
  </si>
  <si>
    <t xml:space="preserve">Groton</t>
  </si>
  <si>
    <t xml:space="preserve">New London</t>
  </si>
  <si>
    <t xml:space="preserve">(860) 445-0392</t>
  </si>
  <si>
    <t xml:space="preserve">CT0067</t>
  </si>
  <si>
    <t xml:space="preserve">Bloomfield Public Library</t>
  </si>
  <si>
    <t xml:space="preserve">Bloomfield</t>
  </si>
  <si>
    <t xml:space="preserve">(860) 243-9721</t>
  </si>
  <si>
    <t xml:space="preserve">CT0012</t>
  </si>
  <si>
    <t xml:space="preserve">Booth &amp; Dimock Memorial Library</t>
  </si>
  <si>
    <t xml:space="preserve">Coventry</t>
  </si>
  <si>
    <t xml:space="preserve">Tolland</t>
  </si>
  <si>
    <t xml:space="preserve">(860) 742-7606</t>
  </si>
  <si>
    <t xml:space="preserve">CT0192</t>
  </si>
  <si>
    <t xml:space="preserve">Bridgeport Public Library</t>
  </si>
  <si>
    <t xml:space="preserve">Bridgeport</t>
  </si>
  <si>
    <t xml:space="preserve">(203) 576-7400</t>
  </si>
  <si>
    <t xml:space="preserve">CT0016</t>
  </si>
  <si>
    <t xml:space="preserve">Bristol Public Library</t>
  </si>
  <si>
    <t xml:space="preserve">Bristol</t>
  </si>
  <si>
    <t xml:space="preserve">(860) 584-7787</t>
  </si>
  <si>
    <t xml:space="preserve">CT0018</t>
  </si>
  <si>
    <t xml:space="preserve">Brookfield Library</t>
  </si>
  <si>
    <t xml:space="preserve">Brookfield</t>
  </si>
  <si>
    <t xml:space="preserve">(203) 775-6241</t>
  </si>
  <si>
    <t xml:space="preserve">CT0019</t>
  </si>
  <si>
    <t xml:space="preserve">Canton Public Library</t>
  </si>
  <si>
    <t xml:space="preserve">Canton</t>
  </si>
  <si>
    <t xml:space="preserve">(860) 693-5800</t>
  </si>
  <si>
    <t xml:space="preserve">CT0024</t>
  </si>
  <si>
    <t xml:space="preserve">Case Memorial Library</t>
  </si>
  <si>
    <t xml:space="preserve">(203) 891-2170</t>
  </si>
  <si>
    <t xml:space="preserve">CT0119</t>
  </si>
  <si>
    <t xml:space="preserve">Cheshire Public Library</t>
  </si>
  <si>
    <t xml:space="preserve">Cheshire</t>
  </si>
  <si>
    <t xml:space="preserve">(203) 272-2245</t>
  </si>
  <si>
    <t xml:space="preserve">CT0191</t>
  </si>
  <si>
    <t xml:space="preserve">Cora J. Belden Library</t>
  </si>
  <si>
    <t xml:space="preserve">Rocky Hill</t>
  </si>
  <si>
    <t xml:space="preserve">(860) 258-7621</t>
  </si>
  <si>
    <t xml:space="preserve">CT0135</t>
  </si>
  <si>
    <t xml:space="preserve">Cragin Memorial Library</t>
  </si>
  <si>
    <t xml:space="preserve">Colchester</t>
  </si>
  <si>
    <t xml:space="preserve">(860) 537-5752</t>
  </si>
  <si>
    <t xml:space="preserve">CT0028</t>
  </si>
  <si>
    <t xml:space="preserve">Cromwell Belden Public Library</t>
  </si>
  <si>
    <t xml:space="preserve">Cromwell</t>
  </si>
  <si>
    <t xml:space="preserve">(860) 632-3460</t>
  </si>
  <si>
    <t xml:space="preserve">CT0032</t>
  </si>
  <si>
    <t xml:space="preserve">Cyrenius H. Booth Library</t>
  </si>
  <si>
    <t xml:space="preserve">Newtown</t>
  </si>
  <si>
    <t xml:space="preserve">(203) 426-4533</t>
  </si>
  <si>
    <t xml:space="preserve">CT0107</t>
  </si>
  <si>
    <t xml:space="preserve">Danbury Public Library</t>
  </si>
  <si>
    <t xml:space="preserve">Danbury</t>
  </si>
  <si>
    <t xml:space="preserve">(203) 797-4505</t>
  </si>
  <si>
    <t xml:space="preserve">CT0033</t>
  </si>
  <si>
    <t xml:space="preserve">Darien Library</t>
  </si>
  <si>
    <t xml:space="preserve">Darien</t>
  </si>
  <si>
    <t xml:space="preserve">(203) 655-1234</t>
  </si>
  <si>
    <t xml:space="preserve">CT0035</t>
  </si>
  <si>
    <t xml:space="preserve">Derby Neck Library</t>
  </si>
  <si>
    <t xml:space="preserve">Derby</t>
  </si>
  <si>
    <t xml:space="preserve">(203) 734-1492</t>
  </si>
  <si>
    <t xml:space="preserve">CT0037</t>
  </si>
  <si>
    <t xml:space="preserve">Derby Public Library</t>
  </si>
  <si>
    <t xml:space="preserve">(203) 736-1482</t>
  </si>
  <si>
    <t xml:space="preserve">CT0038</t>
  </si>
  <si>
    <t xml:space="preserve">E.C. Scranton Memorial Library</t>
  </si>
  <si>
    <t xml:space="preserve">(203) 245-7365</t>
  </si>
  <si>
    <t xml:space="preserve">CT0085</t>
  </si>
  <si>
    <t xml:space="preserve">East Berlin Library Association</t>
  </si>
  <si>
    <t xml:space="preserve">(860) 828-3123</t>
  </si>
  <si>
    <t xml:space="preserve">CT0006</t>
  </si>
  <si>
    <t xml:space="preserve">East Hampton Public Library</t>
  </si>
  <si>
    <t xml:space="preserve">East Hampton</t>
  </si>
  <si>
    <t xml:space="preserve">(860) 267-6621</t>
  </si>
  <si>
    <t xml:space="preserve">CT0043</t>
  </si>
  <si>
    <t xml:space="preserve">East Hartford Public Library</t>
  </si>
  <si>
    <t xml:space="preserve">East Hartford</t>
  </si>
  <si>
    <t xml:space="preserve">(860) 290-4340</t>
  </si>
  <si>
    <t xml:space="preserve">CT0045</t>
  </si>
  <si>
    <t xml:space="preserve">East Lyme Public Library</t>
  </si>
  <si>
    <t xml:space="preserve">Niantic</t>
  </si>
  <si>
    <t xml:space="preserve">(860) 739-6926</t>
  </si>
  <si>
    <t xml:space="preserve">CT0047</t>
  </si>
  <si>
    <t xml:space="preserve">Edith Wheeler Memorial Library</t>
  </si>
  <si>
    <t xml:space="preserve">(203) 452-2850</t>
  </si>
  <si>
    <t xml:space="preserve">CT0094</t>
  </si>
  <si>
    <t xml:space="preserve">Enfield Public Library</t>
  </si>
  <si>
    <t xml:space="preserve">Enfield</t>
  </si>
  <si>
    <t xml:space="preserve">(860) 763-7510</t>
  </si>
  <si>
    <t xml:space="preserve">CT0052</t>
  </si>
  <si>
    <t xml:space="preserve">Fairfield Public Library</t>
  </si>
  <si>
    <t xml:space="preserve">(203) 256-3155</t>
  </si>
  <si>
    <t xml:space="preserve">CT0055</t>
  </si>
  <si>
    <t xml:space="preserve">Farmington Libraries</t>
  </si>
  <si>
    <t xml:space="preserve">Farmington</t>
  </si>
  <si>
    <t xml:space="preserve">(860) 673-6791</t>
  </si>
  <si>
    <t xml:space="preserve">CT0057</t>
  </si>
  <si>
    <t xml:space="preserve">Ferguson Library</t>
  </si>
  <si>
    <t xml:space="preserve">Stamford</t>
  </si>
  <si>
    <t xml:space="preserve">(203) 964-1000</t>
  </si>
  <si>
    <t xml:space="preserve">CT0151</t>
  </si>
  <si>
    <t xml:space="preserve">Granby Public Library</t>
  </si>
  <si>
    <t xml:space="preserve">(860) 844-5275</t>
  </si>
  <si>
    <t xml:space="preserve">CT0062</t>
  </si>
  <si>
    <t xml:space="preserve">Greenwich Library</t>
  </si>
  <si>
    <t xml:space="preserve">Greenwich</t>
  </si>
  <si>
    <t xml:space="preserve">(203) 622-7900</t>
  </si>
  <si>
    <t xml:space="preserve">CT0063</t>
  </si>
  <si>
    <t xml:space="preserve">Groton Public Library</t>
  </si>
  <si>
    <t xml:space="preserve">(860) 441-6750</t>
  </si>
  <si>
    <t xml:space="preserve">CT0068</t>
  </si>
  <si>
    <t xml:space="preserve">Guilford Free Library</t>
  </si>
  <si>
    <t xml:space="preserve">Guilford</t>
  </si>
  <si>
    <t xml:space="preserve">(203) 453-8282</t>
  </si>
  <si>
    <t xml:space="preserve">CT0070</t>
  </si>
  <si>
    <t xml:space="preserve">Guilford Smith Memorial Library, Inc.</t>
  </si>
  <si>
    <t xml:space="preserve">South Windham</t>
  </si>
  <si>
    <t xml:space="preserve">(860) 423-5159</t>
  </si>
  <si>
    <t xml:space="preserve">CT0179</t>
  </si>
  <si>
    <t xml:space="preserve">Hagaman Memorial Library</t>
  </si>
  <si>
    <t xml:space="preserve">East Haven</t>
  </si>
  <si>
    <t xml:space="preserve">(203) 468-3890</t>
  </si>
  <si>
    <t xml:space="preserve">CT0046</t>
  </si>
  <si>
    <t xml:space="preserve">Hall Memorial Library</t>
  </si>
  <si>
    <t xml:space="preserve">Ellington</t>
  </si>
  <si>
    <t xml:space="preserve">(860) 870-3160</t>
  </si>
  <si>
    <t xml:space="preserve">CT0051</t>
  </si>
  <si>
    <t xml:space="preserve">Hamden Public Library</t>
  </si>
  <si>
    <t xml:space="preserve">Hamden</t>
  </si>
  <si>
    <t xml:space="preserve">(203) 287-2686</t>
  </si>
  <si>
    <t xml:space="preserve">CT0072</t>
  </si>
  <si>
    <t xml:space="preserve">Hartford Public Library</t>
  </si>
  <si>
    <t xml:space="preserve">(860) 695-6300</t>
  </si>
  <si>
    <t xml:space="preserve">CT0073</t>
  </si>
  <si>
    <t xml:space="preserve">Henry Carter Hull Library</t>
  </si>
  <si>
    <t xml:space="preserve">Clinton</t>
  </si>
  <si>
    <t xml:space="preserve">(860) 669-2342</t>
  </si>
  <si>
    <t xml:space="preserve">CT0027</t>
  </si>
  <si>
    <t xml:space="preserve">Howard Whittemore Memorial Library</t>
  </si>
  <si>
    <t xml:space="preserve">Naugatuck</t>
  </si>
  <si>
    <t xml:space="preserve">(203) 729-4591</t>
  </si>
  <si>
    <t xml:space="preserve">CT0097</t>
  </si>
  <si>
    <t xml:space="preserve">James Blackstone Memorial Library</t>
  </si>
  <si>
    <t xml:space="preserve">Branford</t>
  </si>
  <si>
    <t xml:space="preserve">(203) 488-1441</t>
  </si>
  <si>
    <t xml:space="preserve">CT0014</t>
  </si>
  <si>
    <t xml:space="preserve">Kent Memorial Library</t>
  </si>
  <si>
    <t xml:space="preserve">Suffield</t>
  </si>
  <si>
    <t xml:space="preserve">(860) 668-3896</t>
  </si>
  <si>
    <t xml:space="preserve">CT0155</t>
  </si>
  <si>
    <t xml:space="preserve">Killingly Public Library</t>
  </si>
  <si>
    <t xml:space="preserve">Danielson</t>
  </si>
  <si>
    <t xml:space="preserve">(860) 779-5383</t>
  </si>
  <si>
    <t xml:space="preserve">CT0078</t>
  </si>
  <si>
    <t xml:space="preserve">Ledyard Public Libraries</t>
  </si>
  <si>
    <t xml:space="preserve">Ledyard</t>
  </si>
  <si>
    <t xml:space="preserve">(860) 464-9912</t>
  </si>
  <si>
    <t xml:space="preserve">CT0081</t>
  </si>
  <si>
    <t xml:space="preserve">Library Association Of Warehouse Point</t>
  </si>
  <si>
    <t xml:space="preserve">East Windsor</t>
  </si>
  <si>
    <t xml:space="preserve">(860) 623-5482</t>
  </si>
  <si>
    <t xml:space="preserve">CT0050</t>
  </si>
  <si>
    <t xml:space="preserve">Lucy Robbins Welles Library</t>
  </si>
  <si>
    <t xml:space="preserve">Newington</t>
  </si>
  <si>
    <t xml:space="preserve">(860) 665-8700</t>
  </si>
  <si>
    <t xml:space="preserve">CT0104</t>
  </si>
  <si>
    <t xml:space="preserve">Manchester Public Library</t>
  </si>
  <si>
    <t xml:space="preserve">Manchester</t>
  </si>
  <si>
    <t xml:space="preserve">(860) 643-2471</t>
  </si>
  <si>
    <t xml:space="preserve">CT0086</t>
  </si>
  <si>
    <t xml:space="preserve">Mansfield Public Library</t>
  </si>
  <si>
    <t xml:space="preserve">Mansfield</t>
  </si>
  <si>
    <t xml:space="preserve">(860) 423-2501</t>
  </si>
  <si>
    <t xml:space="preserve">CT0087</t>
  </si>
  <si>
    <t xml:space="preserve">Meriden Public Library</t>
  </si>
  <si>
    <t xml:space="preserve">Meriden</t>
  </si>
  <si>
    <t xml:space="preserve">(203) 630-4621</t>
  </si>
  <si>
    <t xml:space="preserve">CT0089</t>
  </si>
  <si>
    <t xml:space="preserve">Milford Public Library</t>
  </si>
  <si>
    <t xml:space="preserve">Milford</t>
  </si>
  <si>
    <t xml:space="preserve">(203) 783-3399</t>
  </si>
  <si>
    <t xml:space="preserve">CT0093</t>
  </si>
  <si>
    <t xml:space="preserve">Mystic &amp; Noank Library</t>
  </si>
  <si>
    <t xml:space="preserve">Mystic</t>
  </si>
  <si>
    <t xml:space="preserve">(860) 536-7721</t>
  </si>
  <si>
    <t xml:space="preserve">CT0069</t>
  </si>
  <si>
    <t xml:space="preserve">New Britain Public Library</t>
  </si>
  <si>
    <t xml:space="preserve">New Britain</t>
  </si>
  <si>
    <t xml:space="preserve">(860) 224-3155</t>
  </si>
  <si>
    <t xml:space="preserve">CT0098</t>
  </si>
  <si>
    <t xml:space="preserve">New Canaan Library</t>
  </si>
  <si>
    <t xml:space="preserve">New Canaan</t>
  </si>
  <si>
    <t xml:space="preserve">(203) 594-5000</t>
  </si>
  <si>
    <t xml:space="preserve">CT0099</t>
  </si>
  <si>
    <t xml:space="preserve">New Fairfield Free Public Library</t>
  </si>
  <si>
    <t xml:space="preserve">New Fairfield</t>
  </si>
  <si>
    <t xml:space="preserve">(203) 312-5679</t>
  </si>
  <si>
    <t xml:space="preserve">CT0100</t>
  </si>
  <si>
    <t xml:space="preserve">New Haven Free Public Library</t>
  </si>
  <si>
    <t xml:space="preserve">(203) 946-8130</t>
  </si>
  <si>
    <t xml:space="preserve">CT0103</t>
  </si>
  <si>
    <t xml:space="preserve">New Milford Public Library</t>
  </si>
  <si>
    <t xml:space="preserve">New Milford</t>
  </si>
  <si>
    <t xml:space="preserve">(860) 355-1191</t>
  </si>
  <si>
    <t xml:space="preserve">CT0106</t>
  </si>
  <si>
    <t xml:space="preserve">North Branford Library Department</t>
  </si>
  <si>
    <t xml:space="preserve">North Branford</t>
  </si>
  <si>
    <t xml:space="preserve">(203) 315-6020</t>
  </si>
  <si>
    <t xml:space="preserve">CT0109</t>
  </si>
  <si>
    <t xml:space="preserve">North Haven Memorial Library</t>
  </si>
  <si>
    <t xml:space="preserve">North Haven</t>
  </si>
  <si>
    <t xml:space="preserve">(203) 239-5803</t>
  </si>
  <si>
    <t xml:space="preserve">CT0111</t>
  </si>
  <si>
    <t xml:space="preserve">Norwalk Public Library</t>
  </si>
  <si>
    <t xml:space="preserve">Norwalk</t>
  </si>
  <si>
    <t xml:space="preserve">(203) 899-2780</t>
  </si>
  <si>
    <t xml:space="preserve">CT0114</t>
  </si>
  <si>
    <t xml:space="preserve">Otis Library</t>
  </si>
  <si>
    <t xml:space="preserve">Norwich</t>
  </si>
  <si>
    <t xml:space="preserve">(860) 889-2365</t>
  </si>
  <si>
    <t xml:space="preserve">CT0116</t>
  </si>
  <si>
    <t xml:space="preserve">(203) 888-6944</t>
  </si>
  <si>
    <t xml:space="preserve">CT0120</t>
  </si>
  <si>
    <t xml:space="preserve">Pequot Library Association</t>
  </si>
  <si>
    <t xml:space="preserve">Southport</t>
  </si>
  <si>
    <t xml:space="preserve">(203) 259-0346</t>
  </si>
  <si>
    <t xml:space="preserve">CT0056</t>
  </si>
  <si>
    <t xml:space="preserve">Perrot Memorial Library</t>
  </si>
  <si>
    <t xml:space="preserve">Old Greenwich</t>
  </si>
  <si>
    <t xml:space="preserve">(203) 637-1066</t>
  </si>
  <si>
    <t xml:space="preserve">CT0064</t>
  </si>
  <si>
    <t xml:space="preserve">Plainville Public Library</t>
  </si>
  <si>
    <t xml:space="preserve">Plainville</t>
  </si>
  <si>
    <t xml:space="preserve">(860) 793-1446</t>
  </si>
  <si>
    <t xml:space="preserve">CT0124</t>
  </si>
  <si>
    <t xml:space="preserve">Plumb Memorial Library</t>
  </si>
  <si>
    <t xml:space="preserve">Shelton</t>
  </si>
  <si>
    <t xml:space="preserve">(203) 924-1580</t>
  </si>
  <si>
    <t xml:space="preserve">CT0142</t>
  </si>
  <si>
    <t xml:space="preserve">Public Library Of New London</t>
  </si>
  <si>
    <t xml:space="preserve">(860) 447-1411</t>
  </si>
  <si>
    <t xml:space="preserve">CT0105</t>
  </si>
  <si>
    <t xml:space="preserve">Raymond Library</t>
  </si>
  <si>
    <t xml:space="preserve">Oakdale</t>
  </si>
  <si>
    <t xml:space="preserve">(860) 848-9943</t>
  </si>
  <si>
    <t xml:space="preserve">CT0095</t>
  </si>
  <si>
    <t xml:space="preserve">Ridgefield Library</t>
  </si>
  <si>
    <t xml:space="preserve">Ridgefield</t>
  </si>
  <si>
    <t xml:space="preserve">(203) 438-2282</t>
  </si>
  <si>
    <t xml:space="preserve">CT0134</t>
  </si>
  <si>
    <t xml:space="preserve">Rockville Public Library, Inc.</t>
  </si>
  <si>
    <t xml:space="preserve">Vernon</t>
  </si>
  <si>
    <t xml:space="preserve">(860) 875-5892</t>
  </si>
  <si>
    <t xml:space="preserve">CT0162</t>
  </si>
  <si>
    <t xml:space="preserve">Rowayton Library</t>
  </si>
  <si>
    <t xml:space="preserve">(203) 838-5038</t>
  </si>
  <si>
    <t xml:space="preserve">CT0115</t>
  </si>
  <si>
    <t xml:space="preserve">Russell Library</t>
  </si>
  <si>
    <t xml:space="preserve">Middletown</t>
  </si>
  <si>
    <t xml:space="preserve">(860) 347-2528</t>
  </si>
  <si>
    <t xml:space="preserve">CT0092</t>
  </si>
  <si>
    <t xml:space="preserve">Seymour Public Library</t>
  </si>
  <si>
    <t xml:space="preserve">Seymour</t>
  </si>
  <si>
    <t xml:space="preserve">(203) 888-3903</t>
  </si>
  <si>
    <t xml:space="preserve">CT0140</t>
  </si>
  <si>
    <t xml:space="preserve">Silas Bronson Library</t>
  </si>
  <si>
    <t xml:space="preserve">Waterbury</t>
  </si>
  <si>
    <t xml:space="preserve">(203) 574-8221</t>
  </si>
  <si>
    <t xml:space="preserve">CT0167</t>
  </si>
  <si>
    <t xml:space="preserve">Simsbury Public Library</t>
  </si>
  <si>
    <t xml:space="preserve">Simsbury</t>
  </si>
  <si>
    <t xml:space="preserve">(860) 658-7663</t>
  </si>
  <si>
    <t xml:space="preserve">CT0144</t>
  </si>
  <si>
    <t xml:space="preserve">Slater Library</t>
  </si>
  <si>
    <t xml:space="preserve">Griswold</t>
  </si>
  <si>
    <t xml:space="preserve">(860) 376-0024</t>
  </si>
  <si>
    <t xml:space="preserve">CT0066</t>
  </si>
  <si>
    <t xml:space="preserve">Somers Public Library</t>
  </si>
  <si>
    <t xml:space="preserve">Somers</t>
  </si>
  <si>
    <t xml:space="preserve">(860) 763-3501</t>
  </si>
  <si>
    <t xml:space="preserve">CT0145</t>
  </si>
  <si>
    <t xml:space="preserve">South Windsor Public Library</t>
  </si>
  <si>
    <t xml:space="preserve">South Windsor</t>
  </si>
  <si>
    <t xml:space="preserve">(860) 644-1541</t>
  </si>
  <si>
    <t xml:space="preserve">CT0148</t>
  </si>
  <si>
    <t xml:space="preserve">Southbury Public Library</t>
  </si>
  <si>
    <t xml:space="preserve">Southbury</t>
  </si>
  <si>
    <t xml:space="preserve">(203) 262-0626</t>
  </si>
  <si>
    <t xml:space="preserve">CT0146</t>
  </si>
  <si>
    <t xml:space="preserve">Southington Public Library</t>
  </si>
  <si>
    <t xml:space="preserve">Southington</t>
  </si>
  <si>
    <t xml:space="preserve">(860) 628-0947</t>
  </si>
  <si>
    <t xml:space="preserve">CT0147</t>
  </si>
  <si>
    <t xml:space="preserve">Stafford Library</t>
  </si>
  <si>
    <t xml:space="preserve">Stafford Springs</t>
  </si>
  <si>
    <t xml:space="preserve">(860) 684-2852</t>
  </si>
  <si>
    <t xml:space="preserve">CT0150</t>
  </si>
  <si>
    <t xml:space="preserve">Stonington Free Library</t>
  </si>
  <si>
    <t xml:space="preserve">Stonington</t>
  </si>
  <si>
    <t xml:space="preserve">(860) 535-0268</t>
  </si>
  <si>
    <t xml:space="preserve">CT0153</t>
  </si>
  <si>
    <t xml:space="preserve">Stratford Library Association</t>
  </si>
  <si>
    <t xml:space="preserve">Stratford</t>
  </si>
  <si>
    <t xml:space="preserve">(203) 385-4166</t>
  </si>
  <si>
    <t xml:space="preserve">CT0154</t>
  </si>
  <si>
    <t xml:space="preserve">Terryville Public Library</t>
  </si>
  <si>
    <t xml:space="preserve">Terryville</t>
  </si>
  <si>
    <t xml:space="preserve">(860) 582-3121</t>
  </si>
  <si>
    <t xml:space="preserve">CT0126</t>
  </si>
  <si>
    <t xml:space="preserve">Tolland Public Library</t>
  </si>
  <si>
    <t xml:space="preserve">(860) 871-3620</t>
  </si>
  <si>
    <t xml:space="preserve">CT0158</t>
  </si>
  <si>
    <t xml:space="preserve">Torrington Library</t>
  </si>
  <si>
    <t xml:space="preserve">Torrington</t>
  </si>
  <si>
    <t xml:space="preserve">(860) 489-6684</t>
  </si>
  <si>
    <t xml:space="preserve">CT0159</t>
  </si>
  <si>
    <t xml:space="preserve">Trumbull Library</t>
  </si>
  <si>
    <t xml:space="preserve">Trumbull</t>
  </si>
  <si>
    <t xml:space="preserve">(203) 452-5197</t>
  </si>
  <si>
    <t xml:space="preserve">CT0160</t>
  </si>
  <si>
    <t xml:space="preserve">Wallingford Public Library</t>
  </si>
  <si>
    <t xml:space="preserve">Wallingford</t>
  </si>
  <si>
    <t xml:space="preserve">(203) 265-6754</t>
  </si>
  <si>
    <t xml:space="preserve">CT0164</t>
  </si>
  <si>
    <t xml:space="preserve">Waterford Public Library</t>
  </si>
  <si>
    <t xml:space="preserve">Waterford</t>
  </si>
  <si>
    <t xml:space="preserve">(860) 444-5805</t>
  </si>
  <si>
    <t xml:space="preserve">CT0168</t>
  </si>
  <si>
    <t xml:space="preserve">Watertown Library Association</t>
  </si>
  <si>
    <t xml:space="preserve">Watertown</t>
  </si>
  <si>
    <t xml:space="preserve">(860) 945-5360</t>
  </si>
  <si>
    <t xml:space="preserve">CT0169</t>
  </si>
  <si>
    <t xml:space="preserve">Welles-Turner Memorial Library</t>
  </si>
  <si>
    <t xml:space="preserve">Glastonbury</t>
  </si>
  <si>
    <t xml:space="preserve">(860) 652-7719</t>
  </si>
  <si>
    <t xml:space="preserve">CT0059</t>
  </si>
  <si>
    <t xml:space="preserve">West Hartford Public Library</t>
  </si>
  <si>
    <t xml:space="preserve">West Hartford</t>
  </si>
  <si>
    <t xml:space="preserve">(860) 561-6950</t>
  </si>
  <si>
    <t xml:space="preserve">CT0171</t>
  </si>
  <si>
    <t xml:space="preserve">West Haven Public Library</t>
  </si>
  <si>
    <t xml:space="preserve">West Haven</t>
  </si>
  <si>
    <t xml:space="preserve">(203) 937-4233</t>
  </si>
  <si>
    <t xml:space="preserve">CT0172</t>
  </si>
  <si>
    <t xml:space="preserve">Weston Public Library</t>
  </si>
  <si>
    <t xml:space="preserve">Weston</t>
  </si>
  <si>
    <t xml:space="preserve">(203) 222-2665</t>
  </si>
  <si>
    <t xml:space="preserve">CT0173</t>
  </si>
  <si>
    <t xml:space="preserve">Westport Library</t>
  </si>
  <si>
    <t xml:space="preserve">Westport</t>
  </si>
  <si>
    <t xml:space="preserve">(203) 291-4800</t>
  </si>
  <si>
    <t xml:space="preserve">CT0174</t>
  </si>
  <si>
    <t xml:space="preserve">Wethersfield Public Library</t>
  </si>
  <si>
    <t xml:space="preserve">Wethersfield</t>
  </si>
  <si>
    <t xml:space="preserve">(860) 529-2665</t>
  </si>
  <si>
    <t xml:space="preserve">CT0175</t>
  </si>
  <si>
    <t xml:space="preserve">Willimantic Public Library</t>
  </si>
  <si>
    <t xml:space="preserve">Willimantic</t>
  </si>
  <si>
    <t xml:space="preserve">(860) 465-3079</t>
  </si>
  <si>
    <t xml:space="preserve">CT0180</t>
  </si>
  <si>
    <t xml:space="preserve">Willoughby Wallace Memorial Library</t>
  </si>
  <si>
    <t xml:space="preserve">Stony Creek</t>
  </si>
  <si>
    <t xml:space="preserve">(203) 488-8702</t>
  </si>
  <si>
    <t xml:space="preserve">CT0015</t>
  </si>
  <si>
    <t xml:space="preserve">Wilton Library Association</t>
  </si>
  <si>
    <t xml:space="preserve">Wilton</t>
  </si>
  <si>
    <t xml:space="preserve">(203) 762-3950</t>
  </si>
  <si>
    <t xml:space="preserve">CT0177</t>
  </si>
  <si>
    <t xml:space="preserve">Windham Free Library</t>
  </si>
  <si>
    <t xml:space="preserve">(860) 423-0636</t>
  </si>
  <si>
    <t xml:space="preserve">CT0181</t>
  </si>
  <si>
    <t xml:space="preserve">Windsor Locks Public Library</t>
  </si>
  <si>
    <t xml:space="preserve">Windsor Locks</t>
  </si>
  <si>
    <t xml:space="preserve">(860) 627-1495</t>
  </si>
  <si>
    <t xml:space="preserve">CT0183</t>
  </si>
  <si>
    <t xml:space="preserve">Windsor Public Library</t>
  </si>
  <si>
    <t xml:space="preserve">(860) 285-1910</t>
  </si>
  <si>
    <t xml:space="preserve">CT0182</t>
  </si>
  <si>
    <t xml:space="preserve">Wolcott Public Library</t>
  </si>
  <si>
    <t xml:space="preserve">Wolcott</t>
  </si>
  <si>
    <t xml:space="preserve">(203) 879-8110</t>
  </si>
  <si>
    <t xml:space="preserve">CT0184</t>
  </si>
  <si>
    <t xml:space="preserve">Wood Memorial Library And Museum</t>
  </si>
  <si>
    <t xml:space="preserve">(860) 289-1783</t>
  </si>
  <si>
    <t xml:space="preserve">CT0199</t>
  </si>
  <si>
    <t xml:space="preserve">DC</t>
  </si>
  <si>
    <t xml:space="preserve">District Of Columbia Public Library</t>
  </si>
  <si>
    <t xml:space="preserve">Dist Of Columbia</t>
  </si>
  <si>
    <t xml:space="preserve">(202) 727-1101</t>
  </si>
  <si>
    <t xml:space="preserve">DC0001</t>
  </si>
  <si>
    <t xml:space="preserve">DE</t>
  </si>
  <si>
    <t xml:space="preserve">Corbit-Calloway Memorial Library</t>
  </si>
  <si>
    <t xml:space="preserve">Odessa</t>
  </si>
  <si>
    <t xml:space="preserve">New Castle</t>
  </si>
  <si>
    <t xml:space="preserve">(302) 378-8838</t>
  </si>
  <si>
    <t xml:space="preserve">DE0026</t>
  </si>
  <si>
    <t xml:space="preserve">Department Of Community Services</t>
  </si>
  <si>
    <t xml:space="preserve">(302) 395-5617</t>
  </si>
  <si>
    <t xml:space="preserve">DE0046</t>
  </si>
  <si>
    <t xml:space="preserve">Dover Public Library</t>
  </si>
  <si>
    <t xml:space="preserve">Dover</t>
  </si>
  <si>
    <t xml:space="preserve">Kent</t>
  </si>
  <si>
    <t xml:space="preserve">(302) 736-7032</t>
  </si>
  <si>
    <t xml:space="preserve">DE0029</t>
  </si>
  <si>
    <t xml:space="preserve">Georgetown Public Library</t>
  </si>
  <si>
    <t xml:space="preserve">Georgetown</t>
  </si>
  <si>
    <t xml:space="preserve">Sussex</t>
  </si>
  <si>
    <t xml:space="preserve">(302) 856-7958</t>
  </si>
  <si>
    <t xml:space="preserve">DE0003</t>
  </si>
  <si>
    <t xml:space="preserve">Harrington Public Library</t>
  </si>
  <si>
    <t xml:space="preserve">Harrington</t>
  </si>
  <si>
    <t xml:space="preserve">(302) 398-4647</t>
  </si>
  <si>
    <t xml:space="preserve">DE0005</t>
  </si>
  <si>
    <t xml:space="preserve">Kent County Public Library</t>
  </si>
  <si>
    <t xml:space="preserve">(302) 744-9435</t>
  </si>
  <si>
    <t xml:space="preserve">DE0032</t>
  </si>
  <si>
    <t xml:space="preserve">Laurel Public Library</t>
  </si>
  <si>
    <t xml:space="preserve">Laurel</t>
  </si>
  <si>
    <t xml:space="preserve">(302) 874-3184</t>
  </si>
  <si>
    <t xml:space="preserve">DE0009</t>
  </si>
  <si>
    <t xml:space="preserve">Lewes Public Library</t>
  </si>
  <si>
    <t xml:space="preserve">Lewes</t>
  </si>
  <si>
    <t xml:space="preserve">(302) 645-2733</t>
  </si>
  <si>
    <t xml:space="preserve">DE0010</t>
  </si>
  <si>
    <t xml:space="preserve">(302) 422-8996</t>
  </si>
  <si>
    <t xml:space="preserve">DE0011</t>
  </si>
  <si>
    <t xml:space="preserve">Millsboro Public Library</t>
  </si>
  <si>
    <t xml:space="preserve">Millsboro</t>
  </si>
  <si>
    <t xml:space="preserve">(302) 934-8743</t>
  </si>
  <si>
    <t xml:space="preserve">DE0013</t>
  </si>
  <si>
    <t xml:space="preserve">New Castle Public Library</t>
  </si>
  <si>
    <t xml:space="preserve">(302) 328-1995</t>
  </si>
  <si>
    <t xml:space="preserve">DE0015</t>
  </si>
  <si>
    <t xml:space="preserve">Rehoboth Beach Public Library</t>
  </si>
  <si>
    <t xml:space="preserve">Rehoboth Beach</t>
  </si>
  <si>
    <t xml:space="preserve">(302) 227-8044</t>
  </si>
  <si>
    <t xml:space="preserve">DE0017</t>
  </si>
  <si>
    <t xml:space="preserve">Seaford District Library</t>
  </si>
  <si>
    <t xml:space="preserve">Seaford</t>
  </si>
  <si>
    <t xml:space="preserve">(302) 629-2524</t>
  </si>
  <si>
    <t xml:space="preserve">DE0018</t>
  </si>
  <si>
    <t xml:space="preserve">Smyrna Public Library</t>
  </si>
  <si>
    <t xml:space="preserve">Smyrna</t>
  </si>
  <si>
    <t xml:space="preserve">(302) 653-4579</t>
  </si>
  <si>
    <t xml:space="preserve">DE0020</t>
  </si>
  <si>
    <t xml:space="preserve">Sussex County Dept. Of Libraries</t>
  </si>
  <si>
    <t xml:space="preserve">(302) 855-7890</t>
  </si>
  <si>
    <t xml:space="preserve">DE0030</t>
  </si>
  <si>
    <t xml:space="preserve">Wilmington Institute Library</t>
  </si>
  <si>
    <t xml:space="preserve">Wilmington</t>
  </si>
  <si>
    <t xml:space="preserve">(302) 571-7400</t>
  </si>
  <si>
    <t xml:space="preserve">DE0022</t>
  </si>
  <si>
    <t xml:space="preserve">FL</t>
  </si>
  <si>
    <t xml:space="preserve">Altamonte Springs City Library</t>
  </si>
  <si>
    <t xml:space="preserve">Altamonte Springs</t>
  </si>
  <si>
    <t xml:space="preserve">Seminole</t>
  </si>
  <si>
    <t xml:space="preserve">(407) 571-8830</t>
  </si>
  <si>
    <t xml:space="preserve">FL0094</t>
  </si>
  <si>
    <t xml:space="preserve">Boca Raton Public Library</t>
  </si>
  <si>
    <t xml:space="preserve">Boca Raton</t>
  </si>
  <si>
    <t xml:space="preserve">Palm Beach</t>
  </si>
  <si>
    <t xml:space="preserve">(561) 393-7852</t>
  </si>
  <si>
    <t xml:space="preserve">FL0056</t>
  </si>
  <si>
    <t xml:space="preserve">Boynton Beach City Library</t>
  </si>
  <si>
    <t xml:space="preserve">Boynton Beach</t>
  </si>
  <si>
    <t xml:space="preserve">(561) 742-6380</t>
  </si>
  <si>
    <t xml:space="preserve">FL0247</t>
  </si>
  <si>
    <t xml:space="preserve">Brevard County Library System</t>
  </si>
  <si>
    <t xml:space="preserve">Cocoa</t>
  </si>
  <si>
    <t xml:space="preserve">Brevard</t>
  </si>
  <si>
    <t xml:space="preserve">(321) 633-1801</t>
  </si>
  <si>
    <t xml:space="preserve">FL0011</t>
  </si>
  <si>
    <t xml:space="preserve">Brockway Memorial Library</t>
  </si>
  <si>
    <t xml:space="preserve">Miami Shores</t>
  </si>
  <si>
    <t xml:space="preserve">Miami-Dade</t>
  </si>
  <si>
    <t xml:space="preserve">(305) 758-8107</t>
  </si>
  <si>
    <t xml:space="preserve">FL0022</t>
  </si>
  <si>
    <t xml:space="preserve">Broward County Libraries Division</t>
  </si>
  <si>
    <t xml:space="preserve">Fort Lauderdale</t>
  </si>
  <si>
    <t xml:space="preserve">Broward</t>
  </si>
  <si>
    <t xml:space="preserve">(954) 357-7531</t>
  </si>
  <si>
    <t xml:space="preserve">FL0012</t>
  </si>
  <si>
    <t xml:space="preserve">Charlotte County Public Library</t>
  </si>
  <si>
    <t xml:space="preserve">Port Charlotte</t>
  </si>
  <si>
    <t xml:space="preserve">Charlotte</t>
  </si>
  <si>
    <t xml:space="preserve">(941) 613-3200</t>
  </si>
  <si>
    <t xml:space="preserve">FL0258</t>
  </si>
  <si>
    <t xml:space="preserve">Citrus County Library System</t>
  </si>
  <si>
    <t xml:space="preserve">Citrus</t>
  </si>
  <si>
    <t xml:space="preserve">(352) 746-9077</t>
  </si>
  <si>
    <t xml:space="preserve">FL0018</t>
  </si>
  <si>
    <t xml:space="preserve">Clay County Public Library System</t>
  </si>
  <si>
    <t xml:space="preserve">Fleming Island</t>
  </si>
  <si>
    <t xml:space="preserve">Clay</t>
  </si>
  <si>
    <t xml:space="preserve">(904) 278-4745</t>
  </si>
  <si>
    <t xml:space="preserve">FL0019</t>
  </si>
  <si>
    <t xml:space="preserve">Collier County Public Library</t>
  </si>
  <si>
    <t xml:space="preserve">Naples</t>
  </si>
  <si>
    <t xml:space="preserve">Collier</t>
  </si>
  <si>
    <t xml:space="preserve">(239) 252-7311</t>
  </si>
  <si>
    <t xml:space="preserve">FL0020</t>
  </si>
  <si>
    <t xml:space="preserve">Columbia County Public Library</t>
  </si>
  <si>
    <t xml:space="preserve">Lake City</t>
  </si>
  <si>
    <t xml:space="preserve">(386) 758-1018</t>
  </si>
  <si>
    <t xml:space="preserve">FL0021</t>
  </si>
  <si>
    <t xml:space="preserve">Delray Beach Library</t>
  </si>
  <si>
    <t xml:space="preserve">Delray Beach</t>
  </si>
  <si>
    <t xml:space="preserve">(561) 266-0194</t>
  </si>
  <si>
    <t xml:space="preserve">FL0248</t>
  </si>
  <si>
    <t xml:space="preserve">Doreen Gauthier Lighthouse Point Library</t>
  </si>
  <si>
    <t xml:space="preserve">Lighthouse Point</t>
  </si>
  <si>
    <t xml:space="preserve">(954) 946-6398</t>
  </si>
  <si>
    <t xml:space="preserve">FL0013</t>
  </si>
  <si>
    <t xml:space="preserve">Ethel M. Gordon Oakland Park Library</t>
  </si>
  <si>
    <t xml:space="preserve">Oakland Park</t>
  </si>
  <si>
    <t xml:space="preserve">(954) 630-4510</t>
  </si>
  <si>
    <t xml:space="preserve">FL0014</t>
  </si>
  <si>
    <t xml:space="preserve">Flagler County Public Library</t>
  </si>
  <si>
    <t xml:space="preserve">Palm Coast</t>
  </si>
  <si>
    <t xml:space="preserve">Flagler</t>
  </si>
  <si>
    <t xml:space="preserve">(386) 446-6763</t>
  </si>
  <si>
    <t xml:space="preserve">FL0029</t>
  </si>
  <si>
    <t xml:space="preserve">Fort Myers Beach Public Library</t>
  </si>
  <si>
    <t xml:space="preserve">Fort Myers Beach</t>
  </si>
  <si>
    <t xml:space="preserve">(239) 463-9691</t>
  </si>
  <si>
    <t xml:space="preserve">FL0041</t>
  </si>
  <si>
    <t xml:space="preserve">Gadsden County Public Library</t>
  </si>
  <si>
    <t xml:space="preserve">(850) 627-7106</t>
  </si>
  <si>
    <t xml:space="preserve">FL0030</t>
  </si>
  <si>
    <t xml:space="preserve">Heartland Library Cooperative</t>
  </si>
  <si>
    <t xml:space="preserve">Sebring</t>
  </si>
  <si>
    <t xml:space="preserve">Highlands</t>
  </si>
  <si>
    <t xml:space="preserve">(863) 402-6719</t>
  </si>
  <si>
    <t xml:space="preserve">FL0150</t>
  </si>
  <si>
    <t xml:space="preserve">Helen B. Hoffman Plantation Library</t>
  </si>
  <si>
    <t xml:space="preserve">Plantation</t>
  </si>
  <si>
    <t xml:space="preserve">(954) 797-2140</t>
  </si>
  <si>
    <t xml:space="preserve">FL0257</t>
  </si>
  <si>
    <t xml:space="preserve">Hendry County Library System</t>
  </si>
  <si>
    <t xml:space="preserve">Clewiston</t>
  </si>
  <si>
    <t xml:space="preserve">Hendry</t>
  </si>
  <si>
    <t xml:space="preserve">(863) 983-1493</t>
  </si>
  <si>
    <t xml:space="preserve">FL0032</t>
  </si>
  <si>
    <t xml:space="preserve">Hernando County Public Library System</t>
  </si>
  <si>
    <t xml:space="preserve">Brooksville</t>
  </si>
  <si>
    <t xml:space="preserve">Hernando</t>
  </si>
  <si>
    <t xml:space="preserve">(352) 754-4043</t>
  </si>
  <si>
    <t xml:space="preserve">FL0106</t>
  </si>
  <si>
    <t xml:space="preserve">Hialeah Public Libraries</t>
  </si>
  <si>
    <t xml:space="preserve">Hialeah</t>
  </si>
  <si>
    <t xml:space="preserve">(305) 821-2700</t>
  </si>
  <si>
    <t xml:space="preserve">FL0023</t>
  </si>
  <si>
    <t xml:space="preserve">Hillsborough County Public Library Cooperative</t>
  </si>
  <si>
    <t xml:space="preserve">Tampa</t>
  </si>
  <si>
    <t xml:space="preserve">Hillsborough</t>
  </si>
  <si>
    <t xml:space="preserve">(813) 273-3660</t>
  </si>
  <si>
    <t xml:space="preserve">FL0035</t>
  </si>
  <si>
    <t xml:space="preserve">Homestead Cybrarium</t>
  </si>
  <si>
    <t xml:space="preserve">Homestead</t>
  </si>
  <si>
    <t xml:space="preserve">(305) 224-4410</t>
  </si>
  <si>
    <t xml:space="preserve">FL8010</t>
  </si>
  <si>
    <t xml:space="preserve">Indian River County Library</t>
  </si>
  <si>
    <t xml:space="preserve">Vero Beach</t>
  </si>
  <si>
    <t xml:space="preserve">Indian River</t>
  </si>
  <si>
    <t xml:space="preserve">(772) 400-6335</t>
  </si>
  <si>
    <t xml:space="preserve">FL0036</t>
  </si>
  <si>
    <t xml:space="preserve">Duval</t>
  </si>
  <si>
    <t xml:space="preserve">(904) 255-2665</t>
  </si>
  <si>
    <t xml:space="preserve">FL0003</t>
  </si>
  <si>
    <t xml:space="preserve">Lake County Library System</t>
  </si>
  <si>
    <t xml:space="preserve">Tavares</t>
  </si>
  <si>
    <t xml:space="preserve">(352) 253-6180</t>
  </si>
  <si>
    <t xml:space="preserve">FL0039</t>
  </si>
  <si>
    <t xml:space="preserve">Lake Worth Beach Public Library</t>
  </si>
  <si>
    <t xml:space="preserve">Lake Worth</t>
  </si>
  <si>
    <t xml:space="preserve">(561) 533-7354</t>
  </si>
  <si>
    <t xml:space="preserve">FL0250</t>
  </si>
  <si>
    <t xml:space="preserve">Lantana Public Library</t>
  </si>
  <si>
    <t xml:space="preserve">Lantana</t>
  </si>
  <si>
    <t xml:space="preserve">(561) 540-5740</t>
  </si>
  <si>
    <t xml:space="preserve">FL0251</t>
  </si>
  <si>
    <t xml:space="preserve">Lee County Library System</t>
  </si>
  <si>
    <t xml:space="preserve">Fort Myers</t>
  </si>
  <si>
    <t xml:space="preserve">(239) 533-4800</t>
  </si>
  <si>
    <t xml:space="preserve">FL0042</t>
  </si>
  <si>
    <t xml:space="preserve">Leroy Collins Leon County Public Library Syst</t>
  </si>
  <si>
    <t xml:space="preserve">Tallahassee</t>
  </si>
  <si>
    <t xml:space="preserve">Leon</t>
  </si>
  <si>
    <t xml:space="preserve">(850) 606-2665</t>
  </si>
  <si>
    <t xml:space="preserve">FL0044</t>
  </si>
  <si>
    <t xml:space="preserve">Maitland Public Library</t>
  </si>
  <si>
    <t xml:space="preserve">Maitland</t>
  </si>
  <si>
    <t xml:space="preserve">(407) 647-7700</t>
  </si>
  <si>
    <t xml:space="preserve">FL0053</t>
  </si>
  <si>
    <t xml:space="preserve">Manatee County Public Library System</t>
  </si>
  <si>
    <t xml:space="preserve">Bradenton</t>
  </si>
  <si>
    <t xml:space="preserve">Manatee</t>
  </si>
  <si>
    <t xml:space="preserve">(941) 748-5555</t>
  </si>
  <si>
    <t xml:space="preserve">FL0046</t>
  </si>
  <si>
    <t xml:space="preserve">Mandel Public Library Of West Palm Beach</t>
  </si>
  <si>
    <t xml:space="preserve">West Palm Beach</t>
  </si>
  <si>
    <t xml:space="preserve">(561) 868-7700</t>
  </si>
  <si>
    <t xml:space="preserve">FL0254</t>
  </si>
  <si>
    <t xml:space="preserve">Marion County Public Library System</t>
  </si>
  <si>
    <t xml:space="preserve">Ocala</t>
  </si>
  <si>
    <t xml:space="preserve">(352) 671-8551</t>
  </si>
  <si>
    <t xml:space="preserve">FL0001</t>
  </si>
  <si>
    <t xml:space="preserve">Martin County Library System</t>
  </si>
  <si>
    <t xml:space="preserve">Stuart</t>
  </si>
  <si>
    <t xml:space="preserve">Martin</t>
  </si>
  <si>
    <t xml:space="preserve">(772) 219-4964</t>
  </si>
  <si>
    <t xml:space="preserve">FL0047</t>
  </si>
  <si>
    <t xml:space="preserve">Miami-Dade Public Library System</t>
  </si>
  <si>
    <t xml:space="preserve">Miami</t>
  </si>
  <si>
    <t xml:space="preserve">(305) 375-5026</t>
  </si>
  <si>
    <t xml:space="preserve">FL0025</t>
  </si>
  <si>
    <t xml:space="preserve">Monroe County Public Library System</t>
  </si>
  <si>
    <t xml:space="preserve">Key West</t>
  </si>
  <si>
    <t xml:space="preserve">(305) 809-5256</t>
  </si>
  <si>
    <t xml:space="preserve">FL0048</t>
  </si>
  <si>
    <t xml:space="preserve">Nassau County Public Library System</t>
  </si>
  <si>
    <t xml:space="preserve">Fernandina Beach</t>
  </si>
  <si>
    <t xml:space="preserve">Nassau</t>
  </si>
  <si>
    <t xml:space="preserve">(904) 530-6500</t>
  </si>
  <si>
    <t xml:space="preserve">FL8005</t>
  </si>
  <si>
    <t xml:space="preserve">New Port Richey Public Library</t>
  </si>
  <si>
    <t xml:space="preserve">New Port Richey</t>
  </si>
  <si>
    <t xml:space="preserve">Pasco</t>
  </si>
  <si>
    <t xml:space="preserve">(727) 853-1279</t>
  </si>
  <si>
    <t xml:space="preserve">FL0064</t>
  </si>
  <si>
    <t xml:space="preserve">New River Public Library Cooperative</t>
  </si>
  <si>
    <t xml:space="preserve">Lake Butler</t>
  </si>
  <si>
    <t xml:space="preserve">(386) 496-2526</t>
  </si>
  <si>
    <t xml:space="preserve">FL0149</t>
  </si>
  <si>
    <t xml:space="preserve">North Miami Beach Public Library</t>
  </si>
  <si>
    <t xml:space="preserve">North Miami Beach</t>
  </si>
  <si>
    <t xml:space="preserve">(305) 948-2970</t>
  </si>
  <si>
    <t xml:space="preserve">FL0024</t>
  </si>
  <si>
    <t xml:space="preserve">North Miami Public Library</t>
  </si>
  <si>
    <t xml:space="preserve">North Miami</t>
  </si>
  <si>
    <t xml:space="preserve">(305) 891-5535</t>
  </si>
  <si>
    <t xml:space="preserve">FL0103</t>
  </si>
  <si>
    <t xml:space="preserve">North Palm Beach Public Library</t>
  </si>
  <si>
    <t xml:space="preserve">North Palm Beach</t>
  </si>
  <si>
    <t xml:space="preserve">(561) 841-3383</t>
  </si>
  <si>
    <t xml:space="preserve">FL0058</t>
  </si>
  <si>
    <t xml:space="preserve">Northwest Regional Library System</t>
  </si>
  <si>
    <t xml:space="preserve">Panama City</t>
  </si>
  <si>
    <t xml:space="preserve">Bay</t>
  </si>
  <si>
    <t xml:space="preserve">(850) 522-2100</t>
  </si>
  <si>
    <t xml:space="preserve">FL0004</t>
  </si>
  <si>
    <t xml:space="preserve">Okaloosa County Public Library Cooperative</t>
  </si>
  <si>
    <t xml:space="preserve">Niceville</t>
  </si>
  <si>
    <t xml:space="preserve">Okaloosa</t>
  </si>
  <si>
    <t xml:space="preserve">(850) 609-5102</t>
  </si>
  <si>
    <t xml:space="preserve">FL8003</t>
  </si>
  <si>
    <t xml:space="preserve">Orange County Library District</t>
  </si>
  <si>
    <t xml:space="preserve">Orlando</t>
  </si>
  <si>
    <t xml:space="preserve">(407) 835-7323</t>
  </si>
  <si>
    <t xml:space="preserve">FL0005</t>
  </si>
  <si>
    <t xml:space="preserve">Osceola Library System</t>
  </si>
  <si>
    <t xml:space="preserve">Kissimmee</t>
  </si>
  <si>
    <t xml:space="preserve">Osceola</t>
  </si>
  <si>
    <t xml:space="preserve">(407) 742-8888</t>
  </si>
  <si>
    <t xml:space="preserve">FL0109</t>
  </si>
  <si>
    <t xml:space="preserve">Pal Public Library Cooperative</t>
  </si>
  <si>
    <t xml:space="preserve">Bronson</t>
  </si>
  <si>
    <t xml:space="preserve">Levy</t>
  </si>
  <si>
    <t xml:space="preserve">(352) 486-5552</t>
  </si>
  <si>
    <t xml:space="preserve">FL0259</t>
  </si>
  <si>
    <t xml:space="preserve">Palm Beach County Library System</t>
  </si>
  <si>
    <t xml:space="preserve">(561) 233-2601</t>
  </si>
  <si>
    <t xml:space="preserve">FL0246</t>
  </si>
  <si>
    <t xml:space="preserve">(561) 584-8350</t>
  </si>
  <si>
    <t xml:space="preserve">FL0252</t>
  </si>
  <si>
    <t xml:space="preserve">Panhandle Public Library Cooperative System</t>
  </si>
  <si>
    <t xml:space="preserve">Marianna</t>
  </si>
  <si>
    <t xml:space="preserve">(850) 482-9296</t>
  </si>
  <si>
    <t xml:space="preserve">FL0136</t>
  </si>
  <si>
    <t xml:space="preserve">Parkland Library</t>
  </si>
  <si>
    <t xml:space="preserve">Parkland</t>
  </si>
  <si>
    <t xml:space="preserve">(954) 757-4200</t>
  </si>
  <si>
    <t xml:space="preserve">FL0240</t>
  </si>
  <si>
    <t xml:space="preserve">Pasco County Public Library Cooperative</t>
  </si>
  <si>
    <t xml:space="preserve">Hudson</t>
  </si>
  <si>
    <t xml:space="preserve">(727) 861-3020</t>
  </si>
  <si>
    <t xml:space="preserve">FL0065</t>
  </si>
  <si>
    <t xml:space="preserve">Pinellas Public Library Cooperative</t>
  </si>
  <si>
    <t xml:space="preserve">Clearwater</t>
  </si>
  <si>
    <t xml:space="preserve">Pinellas</t>
  </si>
  <si>
    <t xml:space="preserve">(727) 441-8408</t>
  </si>
  <si>
    <t xml:space="preserve">FL0127</t>
  </si>
  <si>
    <t xml:space="preserve">Polk County Library Cooperative</t>
  </si>
  <si>
    <t xml:space="preserve">Bartow</t>
  </si>
  <si>
    <t xml:space="preserve">Polk</t>
  </si>
  <si>
    <t xml:space="preserve">(863) 519-7958</t>
  </si>
  <si>
    <t xml:space="preserve">FL8001</t>
  </si>
  <si>
    <t xml:space="preserve">Richard C. Sullivan Public Library Of Wilton Manors</t>
  </si>
  <si>
    <t xml:space="preserve">Wilton Manors</t>
  </si>
  <si>
    <t xml:space="preserve">(954) 390-2195</t>
  </si>
  <si>
    <t xml:space="preserve">FL0016</t>
  </si>
  <si>
    <t xml:space="preserve">Riviera Beach Public Library</t>
  </si>
  <si>
    <t xml:space="preserve">Riviera Beach</t>
  </si>
  <si>
    <t xml:space="preserve">(561) 845-4195</t>
  </si>
  <si>
    <t xml:space="preserve">FL0253</t>
  </si>
  <si>
    <t xml:space="preserve">Santa Rosa County Library System</t>
  </si>
  <si>
    <t xml:space="preserve">Milton</t>
  </si>
  <si>
    <t xml:space="preserve">Santa Rosa</t>
  </si>
  <si>
    <t xml:space="preserve">(850) 981-7323</t>
  </si>
  <si>
    <t xml:space="preserve">FL0255</t>
  </si>
  <si>
    <t xml:space="preserve">Sarasota County Public Libraries</t>
  </si>
  <si>
    <t xml:space="preserve">Sarasota</t>
  </si>
  <si>
    <t xml:space="preserve">(941) 861-5450</t>
  </si>
  <si>
    <t xml:space="preserve">FL0093</t>
  </si>
  <si>
    <t xml:space="preserve">Seminole County Public Library System</t>
  </si>
  <si>
    <t xml:space="preserve">Casselberry</t>
  </si>
  <si>
    <t xml:space="preserve">(407) 665-1505</t>
  </si>
  <si>
    <t xml:space="preserve">FL0095</t>
  </si>
  <si>
    <t xml:space="preserve">St. Johns County Public Library System</t>
  </si>
  <si>
    <t xml:space="preserve">St. Augustine</t>
  </si>
  <si>
    <t xml:space="preserve">(904) 827-6925</t>
  </si>
  <si>
    <t xml:space="preserve">FL0091</t>
  </si>
  <si>
    <t xml:space="preserve">St. Lucie County Library System</t>
  </si>
  <si>
    <t xml:space="preserve">Fort Pierce</t>
  </si>
  <si>
    <t xml:space="preserve">St. Lucie</t>
  </si>
  <si>
    <t xml:space="preserve">(772) 462-1615</t>
  </si>
  <si>
    <t xml:space="preserve">FL0092</t>
  </si>
  <si>
    <t xml:space="preserve">Sumter County Library System</t>
  </si>
  <si>
    <t xml:space="preserve">Wildwood</t>
  </si>
  <si>
    <t xml:space="preserve">Sumter</t>
  </si>
  <si>
    <t xml:space="preserve">(352) 689-4400</t>
  </si>
  <si>
    <t xml:space="preserve">FL0146</t>
  </si>
  <si>
    <t xml:space="preserve">Suwannee River Regional Library System</t>
  </si>
  <si>
    <t xml:space="preserve">Live Oak</t>
  </si>
  <si>
    <t xml:space="preserve">Suwannee</t>
  </si>
  <si>
    <t xml:space="preserve">(386) 362-2317</t>
  </si>
  <si>
    <t xml:space="preserve">FL0007</t>
  </si>
  <si>
    <t xml:space="preserve">Three Rivers Regional Library System</t>
  </si>
  <si>
    <t xml:space="preserve">Mayo</t>
  </si>
  <si>
    <t xml:space="preserve">(386) 294-3856</t>
  </si>
  <si>
    <t xml:space="preserve">FL0147</t>
  </si>
  <si>
    <t xml:space="preserve">Volusia County Public Library</t>
  </si>
  <si>
    <t xml:space="preserve">Daytona Beach</t>
  </si>
  <si>
    <t xml:space="preserve">Volusia</t>
  </si>
  <si>
    <t xml:space="preserve">(386) 248-1745</t>
  </si>
  <si>
    <t xml:space="preserve">FL0099</t>
  </si>
  <si>
    <t xml:space="preserve">Walton County Public Library System</t>
  </si>
  <si>
    <t xml:space="preserve">Defuniak Springs</t>
  </si>
  <si>
    <t xml:space="preserve">Walton</t>
  </si>
  <si>
    <t xml:space="preserve">(850) 892-3624</t>
  </si>
  <si>
    <t xml:space="preserve">FL0101</t>
  </si>
  <si>
    <t xml:space="preserve">Chipley</t>
  </si>
  <si>
    <t xml:space="preserve">(850) 638-1314</t>
  </si>
  <si>
    <t xml:space="preserve">FL8009</t>
  </si>
  <si>
    <t xml:space="preserve">West Florida Public Libraries</t>
  </si>
  <si>
    <t xml:space="preserve">Pensacola</t>
  </si>
  <si>
    <t xml:space="preserve">Escambia</t>
  </si>
  <si>
    <t xml:space="preserve">(850) 530-0116</t>
  </si>
  <si>
    <t xml:space="preserve">FL0008</t>
  </si>
  <si>
    <t xml:space="preserve">Wilderness Coast Public Libraries</t>
  </si>
  <si>
    <t xml:space="preserve">(850) 997-7400</t>
  </si>
  <si>
    <t xml:space="preserve">FL0135</t>
  </si>
  <si>
    <t xml:space="preserve">Winter Park Public Library</t>
  </si>
  <si>
    <t xml:space="preserve">Winter Park</t>
  </si>
  <si>
    <t xml:space="preserve">(407) 623-3300</t>
  </si>
  <si>
    <t xml:space="preserve">FL0054</t>
  </si>
  <si>
    <t xml:space="preserve">GA</t>
  </si>
  <si>
    <t xml:space="preserve">Athens Regional Library System</t>
  </si>
  <si>
    <t xml:space="preserve">Clarke</t>
  </si>
  <si>
    <t xml:space="preserve">(706) 613-3650</t>
  </si>
  <si>
    <t xml:space="preserve">GA0011</t>
  </si>
  <si>
    <t xml:space="preserve">Augusta-Richmond County Public Library System</t>
  </si>
  <si>
    <t xml:space="preserve">Augusta</t>
  </si>
  <si>
    <t xml:space="preserve">(706) 821-2600</t>
  </si>
  <si>
    <t xml:space="preserve">GA0039</t>
  </si>
  <si>
    <t xml:space="preserve">Azalea Regional Library System</t>
  </si>
  <si>
    <t xml:space="preserve">(706) 342-4974</t>
  </si>
  <si>
    <t xml:space="preserve">GA0035</t>
  </si>
  <si>
    <t xml:space="preserve">Bartow County Library System</t>
  </si>
  <si>
    <t xml:space="preserve">Cartersville</t>
  </si>
  <si>
    <t xml:space="preserve">(770) 382-4203</t>
  </si>
  <si>
    <t xml:space="preserve">GA0002</t>
  </si>
  <si>
    <t xml:space="preserve">Bartram Trail Regional Library System</t>
  </si>
  <si>
    <t xml:space="preserve">Wilkes</t>
  </si>
  <si>
    <t xml:space="preserve">(706) 678-7736</t>
  </si>
  <si>
    <t xml:space="preserve">GA0051</t>
  </si>
  <si>
    <t xml:space="preserve">Brooks County Public Library</t>
  </si>
  <si>
    <t xml:space="preserve">Quitman</t>
  </si>
  <si>
    <t xml:space="preserve">Brooks</t>
  </si>
  <si>
    <t xml:space="preserve">(229) 263-4412</t>
  </si>
  <si>
    <t xml:space="preserve">GA0005</t>
  </si>
  <si>
    <t xml:space="preserve">Catoosa County Library</t>
  </si>
  <si>
    <t xml:space="preserve">Ringgold</t>
  </si>
  <si>
    <t xml:space="preserve">Catoosa</t>
  </si>
  <si>
    <t xml:space="preserve">(706) 965-3600</t>
  </si>
  <si>
    <t xml:space="preserve">GA0064</t>
  </si>
  <si>
    <t xml:space="preserve">Chattahoochee Valley Libraries</t>
  </si>
  <si>
    <t xml:space="preserve">Columbus</t>
  </si>
  <si>
    <t xml:space="preserve">Muscogee</t>
  </si>
  <si>
    <t xml:space="preserve">(706) 243-2669</t>
  </si>
  <si>
    <t xml:space="preserve">GA0036</t>
  </si>
  <si>
    <t xml:space="preserve">Cherokee Regional Library System</t>
  </si>
  <si>
    <t xml:space="preserve">(706) 638-2992</t>
  </si>
  <si>
    <t xml:space="preserve">GA0049</t>
  </si>
  <si>
    <t xml:space="preserve">Chestatee Regional Library System</t>
  </si>
  <si>
    <t xml:space="preserve">Dahlonega</t>
  </si>
  <si>
    <t xml:space="preserve">Lumpkin</t>
  </si>
  <si>
    <t xml:space="preserve">(706) 864-3668</t>
  </si>
  <si>
    <t xml:space="preserve">GA0027</t>
  </si>
  <si>
    <t xml:space="preserve">Clayton County Library System</t>
  </si>
  <si>
    <t xml:space="preserve">Clayton</t>
  </si>
  <si>
    <t xml:space="preserve">(770) 473-3850</t>
  </si>
  <si>
    <t xml:space="preserve">GA0012</t>
  </si>
  <si>
    <t xml:space="preserve">Coastal Plain Regional Library</t>
  </si>
  <si>
    <t xml:space="preserve">Tifton</t>
  </si>
  <si>
    <t xml:space="preserve">Tift</t>
  </si>
  <si>
    <t xml:space="preserve">(229) 386-3400</t>
  </si>
  <si>
    <t xml:space="preserve">GA0046</t>
  </si>
  <si>
    <t xml:space="preserve">Cobb County Public Library System</t>
  </si>
  <si>
    <t xml:space="preserve">Marietta</t>
  </si>
  <si>
    <t xml:space="preserve">Cobb</t>
  </si>
  <si>
    <t xml:space="preserve">(770) 528-2320</t>
  </si>
  <si>
    <t xml:space="preserve">GA0013</t>
  </si>
  <si>
    <t xml:space="preserve">Conyers-Rockdale Library System</t>
  </si>
  <si>
    <t xml:space="preserve">Conyers</t>
  </si>
  <si>
    <t xml:space="preserve">Rockdale</t>
  </si>
  <si>
    <t xml:space="preserve">(770) 388-5040</t>
  </si>
  <si>
    <t xml:space="preserve">GA0040</t>
  </si>
  <si>
    <t xml:space="preserve">Coweta County Public Library System</t>
  </si>
  <si>
    <t xml:space="preserve">Newnan</t>
  </si>
  <si>
    <t xml:space="preserve">Coweta</t>
  </si>
  <si>
    <t xml:space="preserve">(770) 683-2052</t>
  </si>
  <si>
    <t xml:space="preserve">GA0063</t>
  </si>
  <si>
    <t xml:space="preserve">De Soto Trail Regional Library System</t>
  </si>
  <si>
    <t xml:space="preserve">Camilla</t>
  </si>
  <si>
    <t xml:space="preserve">Mitchell</t>
  </si>
  <si>
    <t xml:space="preserve">(229) 336-8372</t>
  </si>
  <si>
    <t xml:space="preserve">GA0034</t>
  </si>
  <si>
    <t xml:space="preserve">Dekalb County Public Library</t>
  </si>
  <si>
    <t xml:space="preserve">(404) 508-7190</t>
  </si>
  <si>
    <t xml:space="preserve">GA0017</t>
  </si>
  <si>
    <t xml:space="preserve">Dougherty County Public Library</t>
  </si>
  <si>
    <t xml:space="preserve">Albany</t>
  </si>
  <si>
    <t xml:space="preserve">Dougherty</t>
  </si>
  <si>
    <t xml:space="preserve">(229) 420-3200</t>
  </si>
  <si>
    <t xml:space="preserve">GA0019</t>
  </si>
  <si>
    <t xml:space="preserve">Elbert County Public Library System</t>
  </si>
  <si>
    <t xml:space="preserve">Elberton</t>
  </si>
  <si>
    <t xml:space="preserve">(706) 283-5375</t>
  </si>
  <si>
    <t xml:space="preserve">GA0020</t>
  </si>
  <si>
    <t xml:space="preserve">Flint River Regional Library System</t>
  </si>
  <si>
    <t xml:space="preserve">Griffin</t>
  </si>
  <si>
    <t xml:space="preserve">Spalding</t>
  </si>
  <si>
    <t xml:space="preserve">(770) 412-4770</t>
  </si>
  <si>
    <t xml:space="preserve">GA0042</t>
  </si>
  <si>
    <t xml:space="preserve">Forsyth County Public Library</t>
  </si>
  <si>
    <t xml:space="preserve">Cumming</t>
  </si>
  <si>
    <t xml:space="preserve">Forsyth</t>
  </si>
  <si>
    <t xml:space="preserve">(770) 781-9840</t>
  </si>
  <si>
    <t xml:space="preserve">GA0058</t>
  </si>
  <si>
    <t xml:space="preserve">Fulton County Library System</t>
  </si>
  <si>
    <t xml:space="preserve">Atlanta</t>
  </si>
  <si>
    <t xml:space="preserve">Fulton</t>
  </si>
  <si>
    <t xml:space="preserve">(404) 730-1700</t>
  </si>
  <si>
    <t xml:space="preserve">GA0022</t>
  </si>
  <si>
    <t xml:space="preserve">Greater Clarks Hill Regional Library</t>
  </si>
  <si>
    <t xml:space="preserve">Evans</t>
  </si>
  <si>
    <t xml:space="preserve">(706) 863-1946</t>
  </si>
  <si>
    <t xml:space="preserve">GA0066</t>
  </si>
  <si>
    <t xml:space="preserve">Gwinnett County Public Library System</t>
  </si>
  <si>
    <t xml:space="preserve">Lawrenceville</t>
  </si>
  <si>
    <t xml:space="preserve">Gwinnett</t>
  </si>
  <si>
    <t xml:space="preserve">(770) 822-4522</t>
  </si>
  <si>
    <t xml:space="preserve">GA0025</t>
  </si>
  <si>
    <t xml:space="preserve">Hall County Library System</t>
  </si>
  <si>
    <t xml:space="preserve">Gainesville</t>
  </si>
  <si>
    <t xml:space="preserve">Hall</t>
  </si>
  <si>
    <t xml:space="preserve">(770) 532-3311</t>
  </si>
  <si>
    <t xml:space="preserve">GA0060</t>
  </si>
  <si>
    <t xml:space="preserve">Hart County Library System</t>
  </si>
  <si>
    <t xml:space="preserve">Hartwell</t>
  </si>
  <si>
    <t xml:space="preserve">Hart</t>
  </si>
  <si>
    <t xml:space="preserve">(706) 376-4655</t>
  </si>
  <si>
    <t xml:space="preserve">GA0028</t>
  </si>
  <si>
    <t xml:space="preserve">Henry County Library System</t>
  </si>
  <si>
    <t xml:space="preserve">Mcdonough</t>
  </si>
  <si>
    <t xml:space="preserve">Henry</t>
  </si>
  <si>
    <t xml:space="preserve">(678) 432-5353</t>
  </si>
  <si>
    <t xml:space="preserve">GA0054</t>
  </si>
  <si>
    <t xml:space="preserve">Houston County Public Library</t>
  </si>
  <si>
    <t xml:space="preserve">Perry</t>
  </si>
  <si>
    <t xml:space="preserve">(478) 987-3050</t>
  </si>
  <si>
    <t xml:space="preserve">GA0029</t>
  </si>
  <si>
    <t xml:space="preserve">Jefferson County Library System</t>
  </si>
  <si>
    <t xml:space="preserve">(478) 625-3751</t>
  </si>
  <si>
    <t xml:space="preserve">GA0030</t>
  </si>
  <si>
    <t xml:space="preserve">Kinchafoonee Regional Library System</t>
  </si>
  <si>
    <t xml:space="preserve">Dawson</t>
  </si>
  <si>
    <t xml:space="preserve">Terrell</t>
  </si>
  <si>
    <t xml:space="preserve">(229) 995-6331</t>
  </si>
  <si>
    <t xml:space="preserve">GA0044</t>
  </si>
  <si>
    <t xml:space="preserve">Lake Blackshear Regional Library System</t>
  </si>
  <si>
    <t xml:space="preserve">Americus</t>
  </si>
  <si>
    <t xml:space="preserve">(229) 924-8091</t>
  </si>
  <si>
    <t xml:space="preserve">GA0043</t>
  </si>
  <si>
    <t xml:space="preserve">Lee County Public Library</t>
  </si>
  <si>
    <t xml:space="preserve">Leesburg</t>
  </si>
  <si>
    <t xml:space="preserve">(229) 809-0300</t>
  </si>
  <si>
    <t xml:space="preserve">GA0056</t>
  </si>
  <si>
    <t xml:space="preserve">Live Oak Public Libraries</t>
  </si>
  <si>
    <t xml:space="preserve">Savannah</t>
  </si>
  <si>
    <t xml:space="preserve">Chatham</t>
  </si>
  <si>
    <t xml:space="preserve">(912) 652-3600</t>
  </si>
  <si>
    <t xml:space="preserve">GA0008</t>
  </si>
  <si>
    <t xml:space="preserve">Marshes Of Glynn Libraries</t>
  </si>
  <si>
    <t xml:space="preserve">Brunswick</t>
  </si>
  <si>
    <t xml:space="preserve">Glynn</t>
  </si>
  <si>
    <t xml:space="preserve">(912) 279-3740</t>
  </si>
  <si>
    <t xml:space="preserve">GA0067</t>
  </si>
  <si>
    <t xml:space="preserve">Middle Georgia Regional Library System</t>
  </si>
  <si>
    <t xml:space="preserve">(478) 744-0800</t>
  </si>
  <si>
    <t xml:space="preserve">GA0004</t>
  </si>
  <si>
    <t xml:space="preserve">Moultrie-Colquitt County Library System</t>
  </si>
  <si>
    <t xml:space="preserve">Moultrie</t>
  </si>
  <si>
    <t xml:space="preserve">Colquitt</t>
  </si>
  <si>
    <t xml:space="preserve">(229) 985-6540</t>
  </si>
  <si>
    <t xml:space="preserve">GA0015</t>
  </si>
  <si>
    <t xml:space="preserve">Mountain Regional Library System</t>
  </si>
  <si>
    <t xml:space="preserve">Young Harris</t>
  </si>
  <si>
    <t xml:space="preserve">Towns</t>
  </si>
  <si>
    <t xml:space="preserve">(706) 379-1327</t>
  </si>
  <si>
    <t xml:space="preserve">GA0047</t>
  </si>
  <si>
    <t xml:space="preserve">Newton County Library System</t>
  </si>
  <si>
    <t xml:space="preserve">Newton</t>
  </si>
  <si>
    <t xml:space="preserve">(770) 787-3231</t>
  </si>
  <si>
    <t xml:space="preserve">GA0037</t>
  </si>
  <si>
    <t xml:space="preserve">Northeast Georgia Regional Library System</t>
  </si>
  <si>
    <t xml:space="preserve">Clarkesville</t>
  </si>
  <si>
    <t xml:space="preserve">Habersham</t>
  </si>
  <si>
    <t xml:space="preserve">(706) 754-0416</t>
  </si>
  <si>
    <t xml:space="preserve">GA0026</t>
  </si>
  <si>
    <t xml:space="preserve">Northwest Georgia Regional Library System</t>
  </si>
  <si>
    <t xml:space="preserve">Dalton</t>
  </si>
  <si>
    <t xml:space="preserve">Whitfield</t>
  </si>
  <si>
    <t xml:space="preserve">(706) 876-1360</t>
  </si>
  <si>
    <t xml:space="preserve">GA0050</t>
  </si>
  <si>
    <t xml:space="preserve">Ocmulgee Regional Library System</t>
  </si>
  <si>
    <t xml:space="preserve">Eastman</t>
  </si>
  <si>
    <t xml:space="preserve">Dodge</t>
  </si>
  <si>
    <t xml:space="preserve">(478) 374-5182</t>
  </si>
  <si>
    <t xml:space="preserve">GA0018</t>
  </si>
  <si>
    <t xml:space="preserve">Oconee Regional Library System</t>
  </si>
  <si>
    <t xml:space="preserve">Dublin</t>
  </si>
  <si>
    <t xml:space="preserve">Laurens</t>
  </si>
  <si>
    <t xml:space="preserve">(478) 272-5710</t>
  </si>
  <si>
    <t xml:space="preserve">GA0031</t>
  </si>
  <si>
    <t xml:space="preserve">Ohoopee Regional Library System</t>
  </si>
  <si>
    <t xml:space="preserve">Vidalia</t>
  </si>
  <si>
    <t xml:space="preserve">Toombs</t>
  </si>
  <si>
    <t xml:space="preserve">(912) 537-9283</t>
  </si>
  <si>
    <t xml:space="preserve">GA0052</t>
  </si>
  <si>
    <t xml:space="preserve">Okefenokee Regional Library System</t>
  </si>
  <si>
    <t xml:space="preserve">Waycross</t>
  </si>
  <si>
    <t xml:space="preserve">Ware</t>
  </si>
  <si>
    <t xml:space="preserve">(912) 287-4980</t>
  </si>
  <si>
    <t xml:space="preserve">GA0053</t>
  </si>
  <si>
    <t xml:space="preserve">Peach Public Libraries</t>
  </si>
  <si>
    <t xml:space="preserve">Fort Valley</t>
  </si>
  <si>
    <t xml:space="preserve">Peach</t>
  </si>
  <si>
    <t xml:space="preserve">(478) 825-1640</t>
  </si>
  <si>
    <t xml:space="preserve">GA0038</t>
  </si>
  <si>
    <t xml:space="preserve">Piedmont Regional Library System</t>
  </si>
  <si>
    <t xml:space="preserve">(706) 367-9399</t>
  </si>
  <si>
    <t xml:space="preserve">GA0001</t>
  </si>
  <si>
    <t xml:space="preserve">Pine Mountain Regional Library System</t>
  </si>
  <si>
    <t xml:space="preserve">Meriwether</t>
  </si>
  <si>
    <t xml:space="preserve">(706) 846-2186</t>
  </si>
  <si>
    <t xml:space="preserve">GA0033</t>
  </si>
  <si>
    <t xml:space="preserve">Roddenbery Memorial Library</t>
  </si>
  <si>
    <t xml:space="preserve">Cairo</t>
  </si>
  <si>
    <t xml:space="preserve">Grady</t>
  </si>
  <si>
    <t xml:space="preserve">(229) 377-3632</t>
  </si>
  <si>
    <t xml:space="preserve">GA0024</t>
  </si>
  <si>
    <t xml:space="preserve">Sara Hightower Regional Library System</t>
  </si>
  <si>
    <t xml:space="preserve">Rome</t>
  </si>
  <si>
    <t xml:space="preserve">Floyd</t>
  </si>
  <si>
    <t xml:space="preserve">(706) 236-4630</t>
  </si>
  <si>
    <t xml:space="preserve">GA0021</t>
  </si>
  <si>
    <t xml:space="preserve">Satilla Regional Library System</t>
  </si>
  <si>
    <t xml:space="preserve">(912) 384-4667</t>
  </si>
  <si>
    <t xml:space="preserve">GA0014</t>
  </si>
  <si>
    <t xml:space="preserve">Screven-Jenkins Regional Library System</t>
  </si>
  <si>
    <t xml:space="preserve">Sylvania</t>
  </si>
  <si>
    <t xml:space="preserve">Screven</t>
  </si>
  <si>
    <t xml:space="preserve">(912) 564-7526</t>
  </si>
  <si>
    <t xml:space="preserve">GA0041</t>
  </si>
  <si>
    <t xml:space="preserve">Sequoyah Regional Library System</t>
  </si>
  <si>
    <t xml:space="preserve">Cherokee</t>
  </si>
  <si>
    <t xml:space="preserve">(770) 479-3090</t>
  </si>
  <si>
    <t xml:space="preserve">GA0010</t>
  </si>
  <si>
    <t xml:space="preserve">South Georgia Regional Library</t>
  </si>
  <si>
    <t xml:space="preserve">Valdosta</t>
  </si>
  <si>
    <t xml:space="preserve">Lowndes</t>
  </si>
  <si>
    <t xml:space="preserve">(229) 333-0086</t>
  </si>
  <si>
    <t xml:space="preserve">GA0032</t>
  </si>
  <si>
    <t xml:space="preserve">Southwest Georgia Regional Library System</t>
  </si>
  <si>
    <t xml:space="preserve">Bainbridge</t>
  </si>
  <si>
    <t xml:space="preserve">(229) 248-2665</t>
  </si>
  <si>
    <t xml:space="preserve">GA0016</t>
  </si>
  <si>
    <t xml:space="preserve">Statesboro Regional Public Libraries</t>
  </si>
  <si>
    <t xml:space="preserve">Statesboro</t>
  </si>
  <si>
    <t xml:space="preserve">Bulloch</t>
  </si>
  <si>
    <t xml:space="preserve">(912) 764-1341</t>
  </si>
  <si>
    <t xml:space="preserve">GA0006</t>
  </si>
  <si>
    <t xml:space="preserve">Thomas County Public Library System</t>
  </si>
  <si>
    <t xml:space="preserve">Thomasville</t>
  </si>
  <si>
    <t xml:space="preserve">Thomas</t>
  </si>
  <si>
    <t xml:space="preserve">(229) 225-5252</t>
  </si>
  <si>
    <t xml:space="preserve">GA0045</t>
  </si>
  <si>
    <t xml:space="preserve">Jesup</t>
  </si>
  <si>
    <t xml:space="preserve">Wayne</t>
  </si>
  <si>
    <t xml:space="preserve">(912) 559-2391</t>
  </si>
  <si>
    <t xml:space="preserve">GA0023</t>
  </si>
  <si>
    <t xml:space="preserve">Troup-Harris Regional Library</t>
  </si>
  <si>
    <t xml:space="preserve">Lagrange</t>
  </si>
  <si>
    <t xml:space="preserve">Troup</t>
  </si>
  <si>
    <t xml:space="preserve">(706) 882-7784</t>
  </si>
  <si>
    <t xml:space="preserve">GA0048</t>
  </si>
  <si>
    <t xml:space="preserve">West Georgia Regional Library</t>
  </si>
  <si>
    <t xml:space="preserve">(770) 830-2233</t>
  </si>
  <si>
    <t xml:space="preserve">GA0007</t>
  </si>
  <si>
    <t xml:space="preserve">Worth County Library System</t>
  </si>
  <si>
    <t xml:space="preserve">Sylvester</t>
  </si>
  <si>
    <t xml:space="preserve">Worth</t>
  </si>
  <si>
    <t xml:space="preserve">(229) 776-2096</t>
  </si>
  <si>
    <t xml:space="preserve">GA0065</t>
  </si>
  <si>
    <t xml:space="preserve">HI</t>
  </si>
  <si>
    <t xml:space="preserve">Hawaii State Public Library System</t>
  </si>
  <si>
    <t xml:space="preserve">Honolulu</t>
  </si>
  <si>
    <t xml:space="preserve">(808) 586-3704</t>
  </si>
  <si>
    <t xml:space="preserve">HI0001</t>
  </si>
  <si>
    <t xml:space="preserve">IA</t>
  </si>
  <si>
    <t xml:space="preserve">Adel Public Library</t>
  </si>
  <si>
    <t xml:space="preserve">Adel</t>
  </si>
  <si>
    <t xml:space="preserve">(515) 993-3512</t>
  </si>
  <si>
    <t xml:space="preserve">IA0044</t>
  </si>
  <si>
    <t xml:space="preserve">Altoona Public Library</t>
  </si>
  <si>
    <t xml:space="preserve">Altoona</t>
  </si>
  <si>
    <t xml:space="preserve">(515) 967-3881</t>
  </si>
  <si>
    <t xml:space="preserve">IA0154</t>
  </si>
  <si>
    <t xml:space="preserve">Ames Public Library</t>
  </si>
  <si>
    <t xml:space="preserve">Ames</t>
  </si>
  <si>
    <t xml:space="preserve">Story</t>
  </si>
  <si>
    <t xml:space="preserve">(515) 239-5646</t>
  </si>
  <si>
    <t xml:space="preserve">IA0041</t>
  </si>
  <si>
    <t xml:space="preserve">Anamosa Library &amp; Learning Center</t>
  </si>
  <si>
    <t xml:space="preserve">Anamosa</t>
  </si>
  <si>
    <t xml:space="preserve">Jones</t>
  </si>
  <si>
    <t xml:space="preserve">(319) 462-2183</t>
  </si>
  <si>
    <t xml:space="preserve">IA0464</t>
  </si>
  <si>
    <t xml:space="preserve">Ankeny Kirkendall Public Library</t>
  </si>
  <si>
    <t xml:space="preserve">Ankeny</t>
  </si>
  <si>
    <t xml:space="preserve">(515) 965-6460</t>
  </si>
  <si>
    <t xml:space="preserve">IA0150</t>
  </si>
  <si>
    <t xml:space="preserve">Bettendorf Public Library Information Center</t>
  </si>
  <si>
    <t xml:space="preserve">Bettendorf</t>
  </si>
  <si>
    <t xml:space="preserve">Scott</t>
  </si>
  <si>
    <t xml:space="preserve">(563) 344-4175</t>
  </si>
  <si>
    <t xml:space="preserve">IA0354</t>
  </si>
  <si>
    <t xml:space="preserve">Bondurant Community Library</t>
  </si>
  <si>
    <t xml:space="preserve">Bondurant</t>
  </si>
  <si>
    <t xml:space="preserve">(515) 967-4790</t>
  </si>
  <si>
    <t xml:space="preserve">IA0456</t>
  </si>
  <si>
    <t xml:space="preserve">Burlington Public Library</t>
  </si>
  <si>
    <t xml:space="preserve">Burlington</t>
  </si>
  <si>
    <t xml:space="preserve">Des Moines</t>
  </si>
  <si>
    <t xml:space="preserve">(319) 753-1647</t>
  </si>
  <si>
    <t xml:space="preserve">IA0219</t>
  </si>
  <si>
    <t xml:space="preserve">Carnegie-Stout Public Library</t>
  </si>
  <si>
    <t xml:space="preserve">Dubuque</t>
  </si>
  <si>
    <t xml:space="preserve">(563) 589-4225</t>
  </si>
  <si>
    <t xml:space="preserve">IA0147</t>
  </si>
  <si>
    <t xml:space="preserve">Carroll Public Library</t>
  </si>
  <si>
    <t xml:space="preserve">(712) 792-3432</t>
  </si>
  <si>
    <t xml:space="preserve">IA0325</t>
  </si>
  <si>
    <t xml:space="preserve">Cedar Falls Public Library</t>
  </si>
  <si>
    <t xml:space="preserve">Cedar Falls</t>
  </si>
  <si>
    <t xml:space="preserve">Black Hawk</t>
  </si>
  <si>
    <t xml:space="preserve">(319) 273-8643</t>
  </si>
  <si>
    <t xml:space="preserve">IA0326</t>
  </si>
  <si>
    <t xml:space="preserve">Cedar Rapids Public Library</t>
  </si>
  <si>
    <t xml:space="preserve">Cedar Rapids</t>
  </si>
  <si>
    <t xml:space="preserve">Linn</t>
  </si>
  <si>
    <t xml:space="preserve">(319) 261-7323</t>
  </si>
  <si>
    <t xml:space="preserve">IA0373</t>
  </si>
  <si>
    <t xml:space="preserve">Charles City Public Library</t>
  </si>
  <si>
    <t xml:space="preserve">Charles City</t>
  </si>
  <si>
    <t xml:space="preserve">(641) 257-6319</t>
  </si>
  <si>
    <t xml:space="preserve">IA0288</t>
  </si>
  <si>
    <t xml:space="preserve">Clear Lake Public Library</t>
  </si>
  <si>
    <t xml:space="preserve">Clear Lake</t>
  </si>
  <si>
    <t xml:space="preserve">Cerro Gordo</t>
  </si>
  <si>
    <t xml:space="preserve">(641) 357-6133</t>
  </si>
  <si>
    <t xml:space="preserve">IA0077</t>
  </si>
  <si>
    <t xml:space="preserve">Clinton Public Library</t>
  </si>
  <si>
    <t xml:space="preserve">(563) 242-8441</t>
  </si>
  <si>
    <t xml:space="preserve">IA0473</t>
  </si>
  <si>
    <t xml:space="preserve">Clive Public Library</t>
  </si>
  <si>
    <t xml:space="preserve">Clive</t>
  </si>
  <si>
    <t xml:space="preserve">(515) 453-2221</t>
  </si>
  <si>
    <t xml:space="preserve">IA0571</t>
  </si>
  <si>
    <t xml:space="preserve">Coralville Public Library</t>
  </si>
  <si>
    <t xml:space="preserve">Coralville</t>
  </si>
  <si>
    <t xml:space="preserve">Johnson</t>
  </si>
  <si>
    <t xml:space="preserve">(319) 248-1850</t>
  </si>
  <si>
    <t xml:space="preserve">IA0053</t>
  </si>
  <si>
    <t xml:space="preserve">Council Bluffs Public Library</t>
  </si>
  <si>
    <t xml:space="preserve">Council Bluffs</t>
  </si>
  <si>
    <t xml:space="preserve">Pottawattamie</t>
  </si>
  <si>
    <t xml:space="preserve">(712) 323-7553</t>
  </si>
  <si>
    <t xml:space="preserve">IA0453</t>
  </si>
  <si>
    <t xml:space="preserve">Davenport Public Library</t>
  </si>
  <si>
    <t xml:space="preserve">Davenport</t>
  </si>
  <si>
    <t xml:space="preserve">(563) 326-7832</t>
  </si>
  <si>
    <t xml:space="preserve">IA0355</t>
  </si>
  <si>
    <t xml:space="preserve">Decorah Public Library</t>
  </si>
  <si>
    <t xml:space="preserve">Decorah</t>
  </si>
  <si>
    <t xml:space="preserve">Winneshiek</t>
  </si>
  <si>
    <t xml:space="preserve">(563) 382-3717</t>
  </si>
  <si>
    <t xml:space="preserve">IA0404</t>
  </si>
  <si>
    <t xml:space="preserve">Des Moines Public Library</t>
  </si>
  <si>
    <t xml:space="preserve">(515) 283-4152</t>
  </si>
  <si>
    <t xml:space="preserve">IA0027</t>
  </si>
  <si>
    <t xml:space="preserve">Dewitt Community Library</t>
  </si>
  <si>
    <t xml:space="preserve">Dewitt</t>
  </si>
  <si>
    <t xml:space="preserve">(563) 659-5523</t>
  </si>
  <si>
    <t xml:space="preserve">IA0474</t>
  </si>
  <si>
    <t xml:space="preserve">Drake Community Library</t>
  </si>
  <si>
    <t xml:space="preserve">Grinnell</t>
  </si>
  <si>
    <t xml:space="preserve">Poweshiek</t>
  </si>
  <si>
    <t xml:space="preserve">(641) 236-2661</t>
  </si>
  <si>
    <t xml:space="preserve">IA0061</t>
  </si>
  <si>
    <t xml:space="preserve">Dubuque County Library</t>
  </si>
  <si>
    <t xml:space="preserve">Asbury</t>
  </si>
  <si>
    <t xml:space="preserve">(563) 582-0008</t>
  </si>
  <si>
    <t xml:space="preserve">IA0148</t>
  </si>
  <si>
    <t xml:space="preserve">Ericson Public Library</t>
  </si>
  <si>
    <t xml:space="preserve">(515) 432-3727</t>
  </si>
  <si>
    <t xml:space="preserve">IA0193</t>
  </si>
  <si>
    <t xml:space="preserve">(641) 472-6551</t>
  </si>
  <si>
    <t xml:space="preserve">IA0012</t>
  </si>
  <si>
    <t xml:space="preserve">Fort Dodge Public Library</t>
  </si>
  <si>
    <t xml:space="preserve">Fort Dodge</t>
  </si>
  <si>
    <t xml:space="preserve">Webster</t>
  </si>
  <si>
    <t xml:space="preserve">(515) 573-8167</t>
  </si>
  <si>
    <t xml:space="preserve">IA0262</t>
  </si>
  <si>
    <t xml:space="preserve">Fort Madison Public Library</t>
  </si>
  <si>
    <t xml:space="preserve">Fort Madison</t>
  </si>
  <si>
    <t xml:space="preserve">(391) 372-5721</t>
  </si>
  <si>
    <t xml:space="preserve">IA0211</t>
  </si>
  <si>
    <t xml:space="preserve">Glenwood Public Library</t>
  </si>
  <si>
    <t xml:space="preserve">Glenwood</t>
  </si>
  <si>
    <t xml:space="preserve">Mills</t>
  </si>
  <si>
    <t xml:space="preserve">(712) 527-5252</t>
  </si>
  <si>
    <t xml:space="preserve">IA0438</t>
  </si>
  <si>
    <t xml:space="preserve">Grimes Public Library</t>
  </si>
  <si>
    <t xml:space="preserve">Grimes</t>
  </si>
  <si>
    <t xml:space="preserve">(515) 986-3551</t>
  </si>
  <si>
    <t xml:space="preserve">IA0155</t>
  </si>
  <si>
    <t xml:space="preserve">Harlan Community Library</t>
  </si>
  <si>
    <t xml:space="preserve">Harlan</t>
  </si>
  <si>
    <t xml:space="preserve">(712) 755-5934</t>
  </si>
  <si>
    <t xml:space="preserve">IA0498</t>
  </si>
  <si>
    <t xml:space="preserve">Hiawatha Public Library</t>
  </si>
  <si>
    <t xml:space="preserve">Hiawatha</t>
  </si>
  <si>
    <t xml:space="preserve">(319) 393-1414</t>
  </si>
  <si>
    <t xml:space="preserve">IA0458</t>
  </si>
  <si>
    <t xml:space="preserve">Independence Public Library</t>
  </si>
  <si>
    <t xml:space="preserve">Buchanan</t>
  </si>
  <si>
    <t xml:space="preserve">(319) 334-2470</t>
  </si>
  <si>
    <t xml:space="preserve">IA0340</t>
  </si>
  <si>
    <t xml:space="preserve">Indianola Public Library</t>
  </si>
  <si>
    <t xml:space="preserve">Indianola</t>
  </si>
  <si>
    <t xml:space="preserve">Warren</t>
  </si>
  <si>
    <t xml:space="preserve">(515) 961-9418</t>
  </si>
  <si>
    <t xml:space="preserve">IA0378</t>
  </si>
  <si>
    <t xml:space="preserve">Iowa City Public Library</t>
  </si>
  <si>
    <t xml:space="preserve">Iowa City</t>
  </si>
  <si>
    <t xml:space="preserve">(319) 356-5200</t>
  </si>
  <si>
    <t xml:space="preserve">IA0052</t>
  </si>
  <si>
    <t xml:space="preserve">Johnston Public Library</t>
  </si>
  <si>
    <t xml:space="preserve">Johnston</t>
  </si>
  <si>
    <t xml:space="preserve">(515) 278-5233</t>
  </si>
  <si>
    <t xml:space="preserve">IA0547</t>
  </si>
  <si>
    <t xml:space="preserve">Kendall Young Library</t>
  </si>
  <si>
    <t xml:space="preserve">Webster City</t>
  </si>
  <si>
    <t xml:space="preserve">Hamilton</t>
  </si>
  <si>
    <t xml:space="preserve">(515) 832-9100</t>
  </si>
  <si>
    <t xml:space="preserve">IA0091</t>
  </si>
  <si>
    <t xml:space="preserve">Keokuk Public Library</t>
  </si>
  <si>
    <t xml:space="preserve">Keokuk</t>
  </si>
  <si>
    <t xml:space="preserve">(319) 524-1483</t>
  </si>
  <si>
    <t xml:space="preserve">IA0202</t>
  </si>
  <si>
    <t xml:space="preserve">Knoxville Public Library</t>
  </si>
  <si>
    <t xml:space="preserve">Knoxville</t>
  </si>
  <si>
    <t xml:space="preserve">(641) 828-0585</t>
  </si>
  <si>
    <t xml:space="preserve">IA0166</t>
  </si>
  <si>
    <t xml:space="preserve">Le Mars Public Library</t>
  </si>
  <si>
    <t xml:space="preserve">Le Mars</t>
  </si>
  <si>
    <t xml:space="preserve">Plymouth</t>
  </si>
  <si>
    <t xml:space="preserve">(712) 546-5004</t>
  </si>
  <si>
    <t xml:space="preserve">IA0126</t>
  </si>
  <si>
    <t xml:space="preserve">Delaware</t>
  </si>
  <si>
    <t xml:space="preserve">(563) 927-3719</t>
  </si>
  <si>
    <t xml:space="preserve">IA0146</t>
  </si>
  <si>
    <t xml:space="preserve">Maquoketa Public Library</t>
  </si>
  <si>
    <t xml:space="preserve">Maquoketa</t>
  </si>
  <si>
    <t xml:space="preserve">(563) 652-3874</t>
  </si>
  <si>
    <t xml:space="preserve">IA0359</t>
  </si>
  <si>
    <t xml:space="preserve">Marion Public Library</t>
  </si>
  <si>
    <t xml:space="preserve">(319) 377-3412</t>
  </si>
  <si>
    <t xml:space="preserve">IA0460</t>
  </si>
  <si>
    <t xml:space="preserve">Marshalltown Public Library</t>
  </si>
  <si>
    <t xml:space="preserve">Marshalltown</t>
  </si>
  <si>
    <t xml:space="preserve">(641) 754-5738</t>
  </si>
  <si>
    <t xml:space="preserve">IA0160</t>
  </si>
  <si>
    <t xml:space="preserve">Mason City Public Library</t>
  </si>
  <si>
    <t xml:space="preserve">Mason City</t>
  </si>
  <si>
    <t xml:space="preserve">(641) 421-3668</t>
  </si>
  <si>
    <t xml:space="preserve">IA0076</t>
  </si>
  <si>
    <t xml:space="preserve">Matilda J. Gibson Memorial Library</t>
  </si>
  <si>
    <t xml:space="preserve">Creston</t>
  </si>
  <si>
    <t xml:space="preserve">(641) 782-2277</t>
  </si>
  <si>
    <t xml:space="preserve">IA0010</t>
  </si>
  <si>
    <t xml:space="preserve">Mount Pleasant Public Library</t>
  </si>
  <si>
    <t xml:space="preserve">Mount Pleasant</t>
  </si>
  <si>
    <t xml:space="preserve">(319) 385-1490</t>
  </si>
  <si>
    <t xml:space="preserve">IA0221</t>
  </si>
  <si>
    <t xml:space="preserve">Musser Public Library</t>
  </si>
  <si>
    <t xml:space="preserve">Muscatine</t>
  </si>
  <si>
    <t xml:space="preserve">(563) 263-3065</t>
  </si>
  <si>
    <t xml:space="preserve">IA0071</t>
  </si>
  <si>
    <t xml:space="preserve">Newton Public Library</t>
  </si>
  <si>
    <t xml:space="preserve">(641) 792-4108</t>
  </si>
  <si>
    <t xml:space="preserve">IA0165</t>
  </si>
  <si>
    <t xml:space="preserve">Norelius Community Library</t>
  </si>
  <si>
    <t xml:space="preserve">Denison</t>
  </si>
  <si>
    <t xml:space="preserve">(712) 263-9355</t>
  </si>
  <si>
    <t xml:space="preserve">IA0481</t>
  </si>
  <si>
    <t xml:space="preserve">North Liberty Community Library</t>
  </si>
  <si>
    <t xml:space="preserve">North Liberty</t>
  </si>
  <si>
    <t xml:space="preserve">(319) 626-5701</t>
  </si>
  <si>
    <t xml:space="preserve">IA0075</t>
  </si>
  <si>
    <t xml:space="preserve">Norwalk Easter Public Library</t>
  </si>
  <si>
    <t xml:space="preserve">(515) 981-0217</t>
  </si>
  <si>
    <t xml:space="preserve">IA0380</t>
  </si>
  <si>
    <t xml:space="preserve">Oskaloosa Public Library</t>
  </si>
  <si>
    <t xml:space="preserve">Oskaloosa</t>
  </si>
  <si>
    <t xml:space="preserve">Mahaska</t>
  </si>
  <si>
    <t xml:space="preserve">(641) 673-0441</t>
  </si>
  <si>
    <t xml:space="preserve">IA0024</t>
  </si>
  <si>
    <t xml:space="preserve">Ottumwa Public Library</t>
  </si>
  <si>
    <t xml:space="preserve">Ottumwa</t>
  </si>
  <si>
    <t xml:space="preserve">Wapello</t>
  </si>
  <si>
    <t xml:space="preserve">(641) 682-7563</t>
  </si>
  <si>
    <t xml:space="preserve">IA0002</t>
  </si>
  <si>
    <t xml:space="preserve">Pella Public Library</t>
  </si>
  <si>
    <t xml:space="preserve">Pella</t>
  </si>
  <si>
    <t xml:space="preserve">(641) 628-4268</t>
  </si>
  <si>
    <t xml:space="preserve">IA0167</t>
  </si>
  <si>
    <t xml:space="preserve">Pleasant Hill Public Library</t>
  </si>
  <si>
    <t xml:space="preserve">Pleasant Hill</t>
  </si>
  <si>
    <t xml:space="preserve">(515) 266-7815</t>
  </si>
  <si>
    <t xml:space="preserve">IA0158</t>
  </si>
  <si>
    <t xml:space="preserve">Scott County Library System</t>
  </si>
  <si>
    <t xml:space="preserve">Eldridge</t>
  </si>
  <si>
    <t xml:space="preserve">(563) 285-4794</t>
  </si>
  <si>
    <t xml:space="preserve">IA0356</t>
  </si>
  <si>
    <t xml:space="preserve">Sioux Center Public Library</t>
  </si>
  <si>
    <t xml:space="preserve">Sioux Center</t>
  </si>
  <si>
    <t xml:space="preserve">Sioux</t>
  </si>
  <si>
    <t xml:space="preserve">(712) 722-2138</t>
  </si>
  <si>
    <t xml:space="preserve">IA0184</t>
  </si>
  <si>
    <t xml:space="preserve">Sioux City Public Library</t>
  </si>
  <si>
    <t xml:space="preserve">Sioux City</t>
  </si>
  <si>
    <t xml:space="preserve">Woodbury</t>
  </si>
  <si>
    <t xml:space="preserve">(712) 255-2933</t>
  </si>
  <si>
    <t xml:space="preserve">IA0225</t>
  </si>
  <si>
    <t xml:space="preserve">Spencer Public Library</t>
  </si>
  <si>
    <t xml:space="preserve">Spencer</t>
  </si>
  <si>
    <t xml:space="preserve">(712) 580-7290</t>
  </si>
  <si>
    <t xml:space="preserve">IA0423</t>
  </si>
  <si>
    <t xml:space="preserve">Spirit Lake Public Library</t>
  </si>
  <si>
    <t xml:space="preserve">Spirit Lake</t>
  </si>
  <si>
    <t xml:space="preserve">Dickinson</t>
  </si>
  <si>
    <t xml:space="preserve">(712) 336-2667</t>
  </si>
  <si>
    <t xml:space="preserve">IA0428</t>
  </si>
  <si>
    <t xml:space="preserve">Storm Lake Public Library</t>
  </si>
  <si>
    <t xml:space="preserve">Storm Lake</t>
  </si>
  <si>
    <t xml:space="preserve">Buena Vista</t>
  </si>
  <si>
    <t xml:space="preserve">(712) 732-8026</t>
  </si>
  <si>
    <t xml:space="preserve">IA0414</t>
  </si>
  <si>
    <t xml:space="preserve">Urbandale Public Library</t>
  </si>
  <si>
    <t xml:space="preserve">Urbandale</t>
  </si>
  <si>
    <t xml:space="preserve">(515) 278-3945</t>
  </si>
  <si>
    <t xml:space="preserve">IA0152</t>
  </si>
  <si>
    <t xml:space="preserve">Washington Free Public Library</t>
  </si>
  <si>
    <t xml:space="preserve">(319) 653-2726</t>
  </si>
  <si>
    <t xml:space="preserve">IA0065</t>
  </si>
  <si>
    <t xml:space="preserve">Waterloo Public Library</t>
  </si>
  <si>
    <t xml:space="preserve">Waterloo</t>
  </si>
  <si>
    <t xml:space="preserve">(319) 291-4496</t>
  </si>
  <si>
    <t xml:space="preserve">IA0331</t>
  </si>
  <si>
    <t xml:space="preserve">Waukee Public Library</t>
  </si>
  <si>
    <t xml:space="preserve">Waukee</t>
  </si>
  <si>
    <t xml:space="preserve">(515) 978-7944</t>
  </si>
  <si>
    <t xml:space="preserve">IA0036</t>
  </si>
  <si>
    <t xml:space="preserve">Waverly Public Library</t>
  </si>
  <si>
    <t xml:space="preserve">Waverly</t>
  </si>
  <si>
    <t xml:space="preserve">Bremer</t>
  </si>
  <si>
    <t xml:space="preserve">(319) 352-1223</t>
  </si>
  <si>
    <t xml:space="preserve">IA0338</t>
  </si>
  <si>
    <t xml:space="preserve">West Des Moines Public Library</t>
  </si>
  <si>
    <t xml:space="preserve">West Des Moines</t>
  </si>
  <si>
    <t xml:space="preserve">(515) 222-3400</t>
  </si>
  <si>
    <t xml:space="preserve">IA0153</t>
  </si>
  <si>
    <t xml:space="preserve">Winterset Public Library</t>
  </si>
  <si>
    <t xml:space="preserve">Winterset</t>
  </si>
  <si>
    <t xml:space="preserve">(515) 462-1731</t>
  </si>
  <si>
    <t xml:space="preserve">IA0040</t>
  </si>
  <si>
    <t xml:space="preserve">Woodbury County Library</t>
  </si>
  <si>
    <t xml:space="preserve">Moville</t>
  </si>
  <si>
    <t xml:space="preserve">(712) 873-3322</t>
  </si>
  <si>
    <t xml:space="preserve">IA0229</t>
  </si>
  <si>
    <t xml:space="preserve">ID</t>
  </si>
  <si>
    <t xml:space="preserve">Ada County District</t>
  </si>
  <si>
    <t xml:space="preserve">Boise</t>
  </si>
  <si>
    <t xml:space="preserve">Ada</t>
  </si>
  <si>
    <t xml:space="preserve">(208) 362-0181</t>
  </si>
  <si>
    <t xml:space="preserve">ID0006</t>
  </si>
  <si>
    <t xml:space="preserve">Blackfoot Public</t>
  </si>
  <si>
    <t xml:space="preserve">Blackfoot</t>
  </si>
  <si>
    <t xml:space="preserve">Bingham</t>
  </si>
  <si>
    <t xml:space="preserve">(208) 785-8628</t>
  </si>
  <si>
    <t xml:space="preserve">ID0008</t>
  </si>
  <si>
    <t xml:space="preserve">Boise Public</t>
  </si>
  <si>
    <t xml:space="preserve">(208) 972-8258</t>
  </si>
  <si>
    <t xml:space="preserve">ID0005</t>
  </si>
  <si>
    <t xml:space="preserve">Boundary County District</t>
  </si>
  <si>
    <t xml:space="preserve">Bonners Ferry</t>
  </si>
  <si>
    <t xml:space="preserve">Boundary</t>
  </si>
  <si>
    <t xml:space="preserve">(208) 267-3750</t>
  </si>
  <si>
    <t xml:space="preserve">ID0010</t>
  </si>
  <si>
    <t xml:space="preserve">Burley Public</t>
  </si>
  <si>
    <t xml:space="preserve">Burley</t>
  </si>
  <si>
    <t xml:space="preserve">Cassia</t>
  </si>
  <si>
    <t xml:space="preserve">(208) 878-7708</t>
  </si>
  <si>
    <t xml:space="preserve">ID0013</t>
  </si>
  <si>
    <t xml:space="preserve">Caldwell Public</t>
  </si>
  <si>
    <t xml:space="preserve">Caldwell</t>
  </si>
  <si>
    <t xml:space="preserve">Canyon</t>
  </si>
  <si>
    <t xml:space="preserve">(208) 459-3242</t>
  </si>
  <si>
    <t xml:space="preserve">ID0015</t>
  </si>
  <si>
    <t xml:space="preserve">Coeur D`Alene Public</t>
  </si>
  <si>
    <t xml:space="preserve">Coeur D`Alene</t>
  </si>
  <si>
    <t xml:space="preserve">Kootenai</t>
  </si>
  <si>
    <t xml:space="preserve">(208) 769-2315</t>
  </si>
  <si>
    <t xml:space="preserve">ID0014</t>
  </si>
  <si>
    <t xml:space="preserve">Community Library Network</t>
  </si>
  <si>
    <t xml:space="preserve">Post Falls</t>
  </si>
  <si>
    <t xml:space="preserve">(208) 773-1506</t>
  </si>
  <si>
    <t xml:space="preserve">ID0120</t>
  </si>
  <si>
    <t xml:space="preserve">Eagle Public</t>
  </si>
  <si>
    <t xml:space="preserve">(208) 939-6814</t>
  </si>
  <si>
    <t xml:space="preserve">ID0026</t>
  </si>
  <si>
    <t xml:space="preserve">East Bonner County District</t>
  </si>
  <si>
    <t xml:space="preserve">Sandpoint</t>
  </si>
  <si>
    <t xml:space="preserve">Bonner</t>
  </si>
  <si>
    <t xml:space="preserve">(208) 263-6930</t>
  </si>
  <si>
    <t xml:space="preserve">ID0098</t>
  </si>
  <si>
    <t xml:space="preserve">Fremont County District</t>
  </si>
  <si>
    <t xml:space="preserve">Ashton</t>
  </si>
  <si>
    <t xml:space="preserve">(208) 652-7280</t>
  </si>
  <si>
    <t xml:space="preserve">ID0123</t>
  </si>
  <si>
    <t xml:space="preserve">Garden City Public</t>
  </si>
  <si>
    <t xml:space="preserve">Garden City</t>
  </si>
  <si>
    <t xml:space="preserve">(208) 472-2940</t>
  </si>
  <si>
    <t xml:space="preserve">ID0033</t>
  </si>
  <si>
    <t xml:space="preserve">Idaho Falls Public</t>
  </si>
  <si>
    <t xml:space="preserve">Idaho Falls</t>
  </si>
  <si>
    <t xml:space="preserve">Bonneville</t>
  </si>
  <si>
    <t xml:space="preserve">(208) 612-8460</t>
  </si>
  <si>
    <t xml:space="preserve">ID0046</t>
  </si>
  <si>
    <t xml:space="preserve">Jerome Public</t>
  </si>
  <si>
    <t xml:space="preserve">Jerome</t>
  </si>
  <si>
    <t xml:space="preserve">(208) 324-5427</t>
  </si>
  <si>
    <t xml:space="preserve">ID0048</t>
  </si>
  <si>
    <t xml:space="preserve">Kuna District</t>
  </si>
  <si>
    <t xml:space="preserve">Kuna</t>
  </si>
  <si>
    <t xml:space="preserve">(208) 922-1025</t>
  </si>
  <si>
    <t xml:space="preserve">ID0050</t>
  </si>
  <si>
    <t xml:space="preserve">Larsen-Sant/Franklin District</t>
  </si>
  <si>
    <t xml:space="preserve">Preston</t>
  </si>
  <si>
    <t xml:space="preserve">(208) 852-0175</t>
  </si>
  <si>
    <t xml:space="preserve">ID0085</t>
  </si>
  <si>
    <t xml:space="preserve">Latah County District</t>
  </si>
  <si>
    <t xml:space="preserve">Moscow</t>
  </si>
  <si>
    <t xml:space="preserve">Latah</t>
  </si>
  <si>
    <t xml:space="preserve">(208) 882-3925</t>
  </si>
  <si>
    <t xml:space="preserve">ID0060</t>
  </si>
  <si>
    <t xml:space="preserve">Lewiston City Public</t>
  </si>
  <si>
    <t xml:space="preserve">Lewiston</t>
  </si>
  <si>
    <t xml:space="preserve">Nez Perce</t>
  </si>
  <si>
    <t xml:space="preserve">(208) 798-2525</t>
  </si>
  <si>
    <t xml:space="preserve">ID0051</t>
  </si>
  <si>
    <t xml:space="preserve">Madison Library District</t>
  </si>
  <si>
    <t xml:space="preserve">Rexburg</t>
  </si>
  <si>
    <t xml:space="preserve">(208) 356-3461</t>
  </si>
  <si>
    <t xml:space="preserve">ID0086</t>
  </si>
  <si>
    <t xml:space="preserve">Marshall Public</t>
  </si>
  <si>
    <t xml:space="preserve">Pocatello</t>
  </si>
  <si>
    <t xml:space="preserve">Bannock</t>
  </si>
  <si>
    <t xml:space="preserve">(208) 232-1263</t>
  </si>
  <si>
    <t xml:space="preserve">ID0080</t>
  </si>
  <si>
    <t xml:space="preserve">Meridian District</t>
  </si>
  <si>
    <t xml:space="preserve">Meridian</t>
  </si>
  <si>
    <t xml:space="preserve">(208) 888-4451</t>
  </si>
  <si>
    <t xml:space="preserve">ID0061</t>
  </si>
  <si>
    <t xml:space="preserve">Middleton Public</t>
  </si>
  <si>
    <t xml:space="preserve">Middleton</t>
  </si>
  <si>
    <t xml:space="preserve">(208) 585-3931</t>
  </si>
  <si>
    <t xml:space="preserve">ID0065</t>
  </si>
  <si>
    <t xml:space="preserve">Mountain Home Public</t>
  </si>
  <si>
    <t xml:space="preserve">(208) 587-4716</t>
  </si>
  <si>
    <t xml:space="preserve">ID0063</t>
  </si>
  <si>
    <t xml:space="preserve">Nampa Public</t>
  </si>
  <si>
    <t xml:space="preserve">Nampa</t>
  </si>
  <si>
    <t xml:space="preserve">(208) 468-5800</t>
  </si>
  <si>
    <t xml:space="preserve">ID0069</t>
  </si>
  <si>
    <t xml:space="preserve">North Bingham County District</t>
  </si>
  <si>
    <t xml:space="preserve">Shelley</t>
  </si>
  <si>
    <t xml:space="preserve">(208) 357-7801</t>
  </si>
  <si>
    <t xml:space="preserve">ID0094</t>
  </si>
  <si>
    <t xml:space="preserve">Portneuf District</t>
  </si>
  <si>
    <t xml:space="preserve">Chubbuck</t>
  </si>
  <si>
    <t xml:space="preserve">(208) 237-2192</t>
  </si>
  <si>
    <t xml:space="preserve">ID0019</t>
  </si>
  <si>
    <t xml:space="preserve">Prairie-River District</t>
  </si>
  <si>
    <t xml:space="preserve">Lapwai</t>
  </si>
  <si>
    <t xml:space="preserve">(208) 843-7254</t>
  </si>
  <si>
    <t xml:space="preserve">ID0055</t>
  </si>
  <si>
    <t xml:space="preserve">Twin Falls Public</t>
  </si>
  <si>
    <t xml:space="preserve">Twin Falls</t>
  </si>
  <si>
    <t xml:space="preserve">(208) 733-2964</t>
  </si>
  <si>
    <t xml:space="preserve">ID0105</t>
  </si>
  <si>
    <t xml:space="preserve">Valley Of The Tetons District</t>
  </si>
  <si>
    <t xml:space="preserve">Victor</t>
  </si>
  <si>
    <t xml:space="preserve">Teton</t>
  </si>
  <si>
    <t xml:space="preserve">(208) 787-2201</t>
  </si>
  <si>
    <t xml:space="preserve">ID0106</t>
  </si>
  <si>
    <t xml:space="preserve">IL</t>
  </si>
  <si>
    <t xml:space="preserve">Acorn Public Library District</t>
  </si>
  <si>
    <t xml:space="preserve">Oak Forest</t>
  </si>
  <si>
    <t xml:space="preserve">Cook</t>
  </si>
  <si>
    <t xml:space="preserve">(708) 687-3700</t>
  </si>
  <si>
    <t xml:space="preserve">IL0002</t>
  </si>
  <si>
    <t xml:space="preserve">Addison Public Library</t>
  </si>
  <si>
    <t xml:space="preserve">Addison</t>
  </si>
  <si>
    <t xml:space="preserve">Dupage</t>
  </si>
  <si>
    <t xml:space="preserve">(630) 543-3617</t>
  </si>
  <si>
    <t xml:space="preserve">IL0003</t>
  </si>
  <si>
    <t xml:space="preserve">Algonquin Area Public Library District</t>
  </si>
  <si>
    <t xml:space="preserve">Algonquin</t>
  </si>
  <si>
    <t xml:space="preserve">Mchenry</t>
  </si>
  <si>
    <t xml:space="preserve">(847) 458-6060</t>
  </si>
  <si>
    <t xml:space="preserve">IL0006</t>
  </si>
  <si>
    <t xml:space="preserve">Alpha Park Public Library District</t>
  </si>
  <si>
    <t xml:space="preserve">Bartonville</t>
  </si>
  <si>
    <t xml:space="preserve">(309) 697-3822</t>
  </si>
  <si>
    <t xml:space="preserve">IL0007</t>
  </si>
  <si>
    <t xml:space="preserve">Alsip-Merrionette Park Public Library District</t>
  </si>
  <si>
    <t xml:space="preserve">Alsip</t>
  </si>
  <si>
    <t xml:space="preserve">(708) 371-5666</t>
  </si>
  <si>
    <t xml:space="preserve">IL0008</t>
  </si>
  <si>
    <t xml:space="preserve">Anne West Lindsey District Library</t>
  </si>
  <si>
    <t xml:space="preserve">Carterville</t>
  </si>
  <si>
    <t xml:space="preserve">Williamson</t>
  </si>
  <si>
    <t xml:space="preserve">(618) 985-3298</t>
  </si>
  <si>
    <t xml:space="preserve">IL0081</t>
  </si>
  <si>
    <t xml:space="preserve">Antioch Public Library District</t>
  </si>
  <si>
    <t xml:space="preserve">Antioch</t>
  </si>
  <si>
    <t xml:space="preserve">(847) 395-0874</t>
  </si>
  <si>
    <t xml:space="preserve">IL0015</t>
  </si>
  <si>
    <t xml:space="preserve">Arlington Heights Memorial Library</t>
  </si>
  <si>
    <t xml:space="preserve">Arlington Heights</t>
  </si>
  <si>
    <t xml:space="preserve">(847) 392-0100</t>
  </si>
  <si>
    <t xml:space="preserve">IL0018</t>
  </si>
  <si>
    <t xml:space="preserve">Aurora Public Library District</t>
  </si>
  <si>
    <t xml:space="preserve">Kane</t>
  </si>
  <si>
    <t xml:space="preserve">(630) 264-4106</t>
  </si>
  <si>
    <t xml:space="preserve">IL0029</t>
  </si>
  <si>
    <t xml:space="preserve">Barrington Public Library District</t>
  </si>
  <si>
    <t xml:space="preserve">Barrington</t>
  </si>
  <si>
    <t xml:space="preserve">(847) 382-1300</t>
  </si>
  <si>
    <t xml:space="preserve">IL0032</t>
  </si>
  <si>
    <t xml:space="preserve">Bartlett Public Library District</t>
  </si>
  <si>
    <t xml:space="preserve">Bartlett</t>
  </si>
  <si>
    <t xml:space="preserve">(630) 837-2855</t>
  </si>
  <si>
    <t xml:space="preserve">IL0034</t>
  </si>
  <si>
    <t xml:space="preserve">Batavia Public Library District</t>
  </si>
  <si>
    <t xml:space="preserve">Batavia</t>
  </si>
  <si>
    <t xml:space="preserve">(630) 879-1393</t>
  </si>
  <si>
    <t xml:space="preserve">IL0035</t>
  </si>
  <si>
    <t xml:space="preserve">Belleville Public Library</t>
  </si>
  <si>
    <t xml:space="preserve">Belleville</t>
  </si>
  <si>
    <t xml:space="preserve">(618) 234-0441</t>
  </si>
  <si>
    <t xml:space="preserve">IL0038</t>
  </si>
  <si>
    <t xml:space="preserve">Bellwood Public Library</t>
  </si>
  <si>
    <t xml:space="preserve">Bellwood</t>
  </si>
  <si>
    <t xml:space="preserve">(708) 589-5352</t>
  </si>
  <si>
    <t xml:space="preserve">IL0039</t>
  </si>
  <si>
    <t xml:space="preserve">Bensenville Community Public Library District</t>
  </si>
  <si>
    <t xml:space="preserve">Bensenville</t>
  </si>
  <si>
    <t xml:space="preserve">(630) 766-4642</t>
  </si>
  <si>
    <t xml:space="preserve">IL0042</t>
  </si>
  <si>
    <t xml:space="preserve">Benton Public Library District</t>
  </si>
  <si>
    <t xml:space="preserve">(618) 438-7511</t>
  </si>
  <si>
    <t xml:space="preserve">IL0043</t>
  </si>
  <si>
    <t xml:space="preserve">Berwyn Public Library</t>
  </si>
  <si>
    <t xml:space="preserve">Berwyn</t>
  </si>
  <si>
    <t xml:space="preserve">(708) 795-8000</t>
  </si>
  <si>
    <t xml:space="preserve">IL0046</t>
  </si>
  <si>
    <t xml:space="preserve">Bethalto Public Library District</t>
  </si>
  <si>
    <t xml:space="preserve">Bethalto</t>
  </si>
  <si>
    <t xml:space="preserve">(618) 377-8141</t>
  </si>
  <si>
    <t xml:space="preserve">IL0047</t>
  </si>
  <si>
    <t xml:space="preserve">Bloomingdale Public Library</t>
  </si>
  <si>
    <t xml:space="preserve">Bloomingdale</t>
  </si>
  <si>
    <t xml:space="preserve">(630) 529-3120</t>
  </si>
  <si>
    <t xml:space="preserve">IL0049</t>
  </si>
  <si>
    <t xml:space="preserve">Bloomington Public Library</t>
  </si>
  <si>
    <t xml:space="preserve">Bloomington</t>
  </si>
  <si>
    <t xml:space="preserve">Mclean</t>
  </si>
  <si>
    <t xml:space="preserve">(309) 828-6091</t>
  </si>
  <si>
    <t xml:space="preserve">IL0050</t>
  </si>
  <si>
    <t xml:space="preserve">Blue Island Public Library</t>
  </si>
  <si>
    <t xml:space="preserve">Blue Island</t>
  </si>
  <si>
    <t xml:space="preserve">(708) 388-1078</t>
  </si>
  <si>
    <t xml:space="preserve">IL0051</t>
  </si>
  <si>
    <t xml:space="preserve">Bourbonnais Public Library District</t>
  </si>
  <si>
    <t xml:space="preserve">Bourbonnais</t>
  </si>
  <si>
    <t xml:space="preserve">Kankakee</t>
  </si>
  <si>
    <t xml:space="preserve">(815) 933-1727</t>
  </si>
  <si>
    <t xml:space="preserve">IL0054</t>
  </si>
  <si>
    <t xml:space="preserve">Bradley Public Library District</t>
  </si>
  <si>
    <t xml:space="preserve">Bradley</t>
  </si>
  <si>
    <t xml:space="preserve">(815) 932-6245</t>
  </si>
  <si>
    <t xml:space="preserve">IL0056</t>
  </si>
  <si>
    <t xml:space="preserve">Bridgeview Public Library</t>
  </si>
  <si>
    <t xml:space="preserve">Bridgeview</t>
  </si>
  <si>
    <t xml:space="preserve">(708) 458-2880</t>
  </si>
  <si>
    <t xml:space="preserve">IL0058</t>
  </si>
  <si>
    <t xml:space="preserve">C.E. Brehm Memorial Public Library District</t>
  </si>
  <si>
    <t xml:space="preserve">Mount Vernon</t>
  </si>
  <si>
    <t xml:space="preserve">(618) 242-6322</t>
  </si>
  <si>
    <t xml:space="preserve">IL0363</t>
  </si>
  <si>
    <t xml:space="preserve">Cahokia Public Library District</t>
  </si>
  <si>
    <t xml:space="preserve">Cahokia Heights</t>
  </si>
  <si>
    <t xml:space="preserve">(618) 332-1491</t>
  </si>
  <si>
    <t xml:space="preserve">IL0067</t>
  </si>
  <si>
    <t xml:space="preserve">Calumet City Public Library</t>
  </si>
  <si>
    <t xml:space="preserve">Calumet City</t>
  </si>
  <si>
    <t xml:space="preserve">(708) 862-6220</t>
  </si>
  <si>
    <t xml:space="preserve">IL0069</t>
  </si>
  <si>
    <t xml:space="preserve">Carbondale Public Library</t>
  </si>
  <si>
    <t xml:space="preserve">Carbondale</t>
  </si>
  <si>
    <t xml:space="preserve">(618) 457-0354</t>
  </si>
  <si>
    <t xml:space="preserve">IL0074</t>
  </si>
  <si>
    <t xml:space="preserve">Carol Stream Public Library</t>
  </si>
  <si>
    <t xml:space="preserve">Carol Stream</t>
  </si>
  <si>
    <t xml:space="preserve">(630) 653-0755</t>
  </si>
  <si>
    <t xml:space="preserve">IL0078</t>
  </si>
  <si>
    <t xml:space="preserve">Cary Area Public Library District</t>
  </si>
  <si>
    <t xml:space="preserve">Cary</t>
  </si>
  <si>
    <t xml:space="preserve">(847) 639-4210</t>
  </si>
  <si>
    <t xml:space="preserve">IL0083</t>
  </si>
  <si>
    <t xml:space="preserve">Centralia Regional Library District</t>
  </si>
  <si>
    <t xml:space="preserve">Centralia</t>
  </si>
  <si>
    <t xml:space="preserve">(618) 532-5222</t>
  </si>
  <si>
    <t xml:space="preserve">IL0088</t>
  </si>
  <si>
    <t xml:space="preserve">Champaign Public Library</t>
  </si>
  <si>
    <t xml:space="preserve">Champaign</t>
  </si>
  <si>
    <t xml:space="preserve">(217) 403-2050</t>
  </si>
  <si>
    <t xml:space="preserve">IL0091</t>
  </si>
  <si>
    <t xml:space="preserve">Charleston Carnegie Public Library</t>
  </si>
  <si>
    <t xml:space="preserve">Charleston</t>
  </si>
  <si>
    <t xml:space="preserve">Coles</t>
  </si>
  <si>
    <t xml:space="preserve">(217) 345-4913</t>
  </si>
  <si>
    <t xml:space="preserve">IL0092</t>
  </si>
  <si>
    <t xml:space="preserve">Chatham Area Public Library District</t>
  </si>
  <si>
    <t xml:space="preserve">Sangamon</t>
  </si>
  <si>
    <t xml:space="preserve">(217) 483-2713</t>
  </si>
  <si>
    <t xml:space="preserve">IL0093</t>
  </si>
  <si>
    <t xml:space="preserve">Cherry Valley Public Library District</t>
  </si>
  <si>
    <t xml:space="preserve">Cherry Valley</t>
  </si>
  <si>
    <t xml:space="preserve">Winnebago</t>
  </si>
  <si>
    <t xml:space="preserve">(815) 332-5161</t>
  </si>
  <si>
    <t xml:space="preserve">IL0096</t>
  </si>
  <si>
    <t xml:space="preserve">Chicago Heights Public Library</t>
  </si>
  <si>
    <t xml:space="preserve">Chicago Heights</t>
  </si>
  <si>
    <t xml:space="preserve">(708) 754-0323</t>
  </si>
  <si>
    <t xml:space="preserve">IL0099</t>
  </si>
  <si>
    <t xml:space="preserve">Chicago Public Library</t>
  </si>
  <si>
    <t xml:space="preserve">Chicago</t>
  </si>
  <si>
    <t xml:space="preserve">(312) 747-4300</t>
  </si>
  <si>
    <t xml:space="preserve">IL0098</t>
  </si>
  <si>
    <t xml:space="preserve">Chicago Ridge Public Library</t>
  </si>
  <si>
    <t xml:space="preserve">Chicago Ridge</t>
  </si>
  <si>
    <t xml:space="preserve">(708) 423-7753</t>
  </si>
  <si>
    <t xml:space="preserve">IL0100</t>
  </si>
  <si>
    <t xml:space="preserve">Chillicothe Public Library District</t>
  </si>
  <si>
    <t xml:space="preserve">Chillicothe</t>
  </si>
  <si>
    <t xml:space="preserve">(309) 274-2719</t>
  </si>
  <si>
    <t xml:space="preserve">IL0102</t>
  </si>
  <si>
    <t xml:space="preserve">Cicero Public Library</t>
  </si>
  <si>
    <t xml:space="preserve">Cicero</t>
  </si>
  <si>
    <t xml:space="preserve">(708) 652-8084</t>
  </si>
  <si>
    <t xml:space="preserve">IL0105</t>
  </si>
  <si>
    <t xml:space="preserve">Coal City Public Library District</t>
  </si>
  <si>
    <t xml:space="preserve">Coal City</t>
  </si>
  <si>
    <t xml:space="preserve">Grundy</t>
  </si>
  <si>
    <t xml:space="preserve">(815) 634-4552</t>
  </si>
  <si>
    <t xml:space="preserve">IL0111</t>
  </si>
  <si>
    <t xml:space="preserve">Columbia Public Library</t>
  </si>
  <si>
    <t xml:space="preserve">(618) 281-4237</t>
  </si>
  <si>
    <t xml:space="preserve">IL0115</t>
  </si>
  <si>
    <t xml:space="preserve">Cook Memorial Public Library District</t>
  </si>
  <si>
    <t xml:space="preserve">Libertyville</t>
  </si>
  <si>
    <t xml:space="preserve">(847) 362-2330</t>
  </si>
  <si>
    <t xml:space="preserve">IL0116</t>
  </si>
  <si>
    <t xml:space="preserve">Crete Public Library District</t>
  </si>
  <si>
    <t xml:space="preserve">Crete</t>
  </si>
  <si>
    <t xml:space="preserve">Will</t>
  </si>
  <si>
    <t xml:space="preserve">(708) 672-8017</t>
  </si>
  <si>
    <t xml:space="preserve">IL0123</t>
  </si>
  <si>
    <t xml:space="preserve">Crystal Lake Public Library</t>
  </si>
  <si>
    <t xml:space="preserve">Crystal Lake</t>
  </si>
  <si>
    <t xml:space="preserve">(815) 459-1687</t>
  </si>
  <si>
    <t xml:space="preserve">IL0125</t>
  </si>
  <si>
    <t xml:space="preserve">Danville Public Library</t>
  </si>
  <si>
    <t xml:space="preserve">Danville</t>
  </si>
  <si>
    <t xml:space="preserve">Vermilion</t>
  </si>
  <si>
    <t xml:space="preserve">(217) 477-5220</t>
  </si>
  <si>
    <t xml:space="preserve">IL0129</t>
  </si>
  <si>
    <t xml:space="preserve">(217) 424-2900</t>
  </si>
  <si>
    <t xml:space="preserve">IL0132</t>
  </si>
  <si>
    <t xml:space="preserve">Deerfield Public Library</t>
  </si>
  <si>
    <t xml:space="preserve">Deerfield</t>
  </si>
  <si>
    <t xml:space="preserve">(847) 945-3311</t>
  </si>
  <si>
    <t xml:space="preserve">IL0134</t>
  </si>
  <si>
    <t xml:space="preserve">Dekalb Public Library</t>
  </si>
  <si>
    <t xml:space="preserve">(815) 756-9568</t>
  </si>
  <si>
    <t xml:space="preserve">IL0135</t>
  </si>
  <si>
    <t xml:space="preserve">Des Plaines Public Library</t>
  </si>
  <si>
    <t xml:space="preserve">Des Plaines</t>
  </si>
  <si>
    <t xml:space="preserve">(847) 827-5551</t>
  </si>
  <si>
    <t xml:space="preserve">IL0138</t>
  </si>
  <si>
    <t xml:space="preserve">Dixon Public Library</t>
  </si>
  <si>
    <t xml:space="preserve">Dixon</t>
  </si>
  <si>
    <t xml:space="preserve">(815) 284-7261</t>
  </si>
  <si>
    <t xml:space="preserve">IL0141</t>
  </si>
  <si>
    <t xml:space="preserve">Dolton Public Library District</t>
  </si>
  <si>
    <t xml:space="preserve">Dolton</t>
  </si>
  <si>
    <t xml:space="preserve">(708) 849-2385</t>
  </si>
  <si>
    <t xml:space="preserve">IL0143</t>
  </si>
  <si>
    <t xml:space="preserve">Downers Grove Public Library</t>
  </si>
  <si>
    <t xml:space="preserve">Downers Grove</t>
  </si>
  <si>
    <t xml:space="preserve">(630) 960-1200</t>
  </si>
  <si>
    <t xml:space="preserve">IL0145</t>
  </si>
  <si>
    <t xml:space="preserve">East Moline Public Library</t>
  </si>
  <si>
    <t xml:space="preserve">East Moline</t>
  </si>
  <si>
    <t xml:space="preserve">Rock Island</t>
  </si>
  <si>
    <t xml:space="preserve">(309) 755-9614</t>
  </si>
  <si>
    <t xml:space="preserve">IL0153</t>
  </si>
  <si>
    <t xml:space="preserve">East Saint Louis Public Library</t>
  </si>
  <si>
    <t xml:space="preserve">East Saint Louis</t>
  </si>
  <si>
    <t xml:space="preserve">(618) 397-0991</t>
  </si>
  <si>
    <t xml:space="preserve">IL0154</t>
  </si>
  <si>
    <t xml:space="preserve">Edwardsville Public Library</t>
  </si>
  <si>
    <t xml:space="preserve">Edwardsville</t>
  </si>
  <si>
    <t xml:space="preserve">(618) 692-7556</t>
  </si>
  <si>
    <t xml:space="preserve">IL0155</t>
  </si>
  <si>
    <t xml:space="preserve">Effingham Public Library</t>
  </si>
  <si>
    <t xml:space="preserve">Effingham</t>
  </si>
  <si>
    <t xml:space="preserve">(217) 342-2464</t>
  </si>
  <si>
    <t xml:space="preserve">IL0156</t>
  </si>
  <si>
    <t xml:space="preserve">Eisenhower Public Library District</t>
  </si>
  <si>
    <t xml:space="preserve">Harwood Heights</t>
  </si>
  <si>
    <t xml:space="preserve">(708) 867-7828</t>
  </si>
  <si>
    <t xml:space="preserve">IL0157</t>
  </si>
  <si>
    <t xml:space="preserve">Ela Area Public Library District</t>
  </si>
  <si>
    <t xml:space="preserve">Lake Zurich</t>
  </si>
  <si>
    <t xml:space="preserve">(847) 438-3433</t>
  </si>
  <si>
    <t xml:space="preserve">IL0158</t>
  </si>
  <si>
    <t xml:space="preserve">Elk Grove Village Public Library</t>
  </si>
  <si>
    <t xml:space="preserve">Elk Grove Village</t>
  </si>
  <si>
    <t xml:space="preserve">(847) 439-0447</t>
  </si>
  <si>
    <t xml:space="preserve">IL0162</t>
  </si>
  <si>
    <t xml:space="preserve">Ella Johnson Memorial Public Library District</t>
  </si>
  <si>
    <t xml:space="preserve">Hampshire</t>
  </si>
  <si>
    <t xml:space="preserve">(847) 683-4490</t>
  </si>
  <si>
    <t xml:space="preserve">IL0165</t>
  </si>
  <si>
    <t xml:space="preserve">Elmhurst Public Library</t>
  </si>
  <si>
    <t xml:space="preserve">Elmhurst</t>
  </si>
  <si>
    <t xml:space="preserve">(630) 279-8696</t>
  </si>
  <si>
    <t xml:space="preserve">IL0166</t>
  </si>
  <si>
    <t xml:space="preserve">Elmwood Park Public Library</t>
  </si>
  <si>
    <t xml:space="preserve">Elmwood Park</t>
  </si>
  <si>
    <t xml:space="preserve">(708) 453-7645</t>
  </si>
  <si>
    <t xml:space="preserve">IL0168</t>
  </si>
  <si>
    <t xml:space="preserve">Evans Public Library District</t>
  </si>
  <si>
    <t xml:space="preserve">Vandalia</t>
  </si>
  <si>
    <t xml:space="preserve">(618) 283-2824</t>
  </si>
  <si>
    <t xml:space="preserve">IL0542</t>
  </si>
  <si>
    <t xml:space="preserve">Evanston Public Library</t>
  </si>
  <si>
    <t xml:space="preserve">Evanston</t>
  </si>
  <si>
    <t xml:space="preserve">(847) 448-8600</t>
  </si>
  <si>
    <t xml:space="preserve">IL0172</t>
  </si>
  <si>
    <t xml:space="preserve">Evergreen Park Public Library</t>
  </si>
  <si>
    <t xml:space="preserve">Evergreen Park</t>
  </si>
  <si>
    <t xml:space="preserve">(708) 422-8522</t>
  </si>
  <si>
    <t xml:space="preserve">IL0174</t>
  </si>
  <si>
    <t xml:space="preserve">Fairview Heights Public Library</t>
  </si>
  <si>
    <t xml:space="preserve">Fairview Heights</t>
  </si>
  <si>
    <t xml:space="preserve">(618) 489-2070</t>
  </si>
  <si>
    <t xml:space="preserve">IL0178</t>
  </si>
  <si>
    <t xml:space="preserve">Flagg-Rochelle Public Library District</t>
  </si>
  <si>
    <t xml:space="preserve">Rochelle</t>
  </si>
  <si>
    <t xml:space="preserve">Ogle</t>
  </si>
  <si>
    <t xml:space="preserve">(815) 562-3431</t>
  </si>
  <si>
    <t xml:space="preserve">IL0458</t>
  </si>
  <si>
    <t xml:space="preserve">Fondulac Public Library District</t>
  </si>
  <si>
    <t xml:space="preserve">East Peoria</t>
  </si>
  <si>
    <t xml:space="preserve">Tazewell</t>
  </si>
  <si>
    <t xml:space="preserve">(309) 699-3917</t>
  </si>
  <si>
    <t xml:space="preserve">IL0183</t>
  </si>
  <si>
    <t xml:space="preserve">Forest Park Public Library</t>
  </si>
  <si>
    <t xml:space="preserve">Forest Park</t>
  </si>
  <si>
    <t xml:space="preserve">(708) 366-7171</t>
  </si>
  <si>
    <t xml:space="preserve">IL0184</t>
  </si>
  <si>
    <t xml:space="preserve">Fossil Ridge Public Library District</t>
  </si>
  <si>
    <t xml:space="preserve">Braidwood</t>
  </si>
  <si>
    <t xml:space="preserve">(815) 458-2187</t>
  </si>
  <si>
    <t xml:space="preserve">IL0188</t>
  </si>
  <si>
    <t xml:space="preserve">Fountaindale Public Library District</t>
  </si>
  <si>
    <t xml:space="preserve">Bolingbrook</t>
  </si>
  <si>
    <t xml:space="preserve">(630) 759-2102</t>
  </si>
  <si>
    <t xml:space="preserve">IL0189</t>
  </si>
  <si>
    <t xml:space="preserve">Fox Lake Public Library District</t>
  </si>
  <si>
    <t xml:space="preserve">Fox Lake</t>
  </si>
  <si>
    <t xml:space="preserve">(847) 587-0198</t>
  </si>
  <si>
    <t xml:space="preserve">IL0190</t>
  </si>
  <si>
    <t xml:space="preserve">Fox River Valley Public Library District</t>
  </si>
  <si>
    <t xml:space="preserve">East Dundee</t>
  </si>
  <si>
    <t xml:space="preserve">(847) 428-3661</t>
  </si>
  <si>
    <t xml:space="preserve">IL0146</t>
  </si>
  <si>
    <t xml:space="preserve">Frankfort Public Library District</t>
  </si>
  <si>
    <t xml:space="preserve">Frankfort</t>
  </si>
  <si>
    <t xml:space="preserve">(815) 469-2423</t>
  </si>
  <si>
    <t xml:space="preserve">IL0192</t>
  </si>
  <si>
    <t xml:space="preserve">Franklin Park Public Library District</t>
  </si>
  <si>
    <t xml:space="preserve">Franklin Park</t>
  </si>
  <si>
    <t xml:space="preserve">(847) 455-6016</t>
  </si>
  <si>
    <t xml:space="preserve">IL0194</t>
  </si>
  <si>
    <t xml:space="preserve">Freeport Public Library</t>
  </si>
  <si>
    <t xml:space="preserve">Freeport</t>
  </si>
  <si>
    <t xml:space="preserve">Stephenson</t>
  </si>
  <si>
    <t xml:space="preserve">(815) 233-3000</t>
  </si>
  <si>
    <t xml:space="preserve">IL0195</t>
  </si>
  <si>
    <t xml:space="preserve">Fremont Public Library District</t>
  </si>
  <si>
    <t xml:space="preserve">Mundelein</t>
  </si>
  <si>
    <t xml:space="preserve">(847) 566-8702</t>
  </si>
  <si>
    <t xml:space="preserve">IL0196</t>
  </si>
  <si>
    <t xml:space="preserve">Gail Borden Public Library District</t>
  </si>
  <si>
    <t xml:space="preserve">Elgin</t>
  </si>
  <si>
    <t xml:space="preserve">(847) 742-2411</t>
  </si>
  <si>
    <t xml:space="preserve">IL0197</t>
  </si>
  <si>
    <t xml:space="preserve">Galesburg Public Library</t>
  </si>
  <si>
    <t xml:space="preserve">Galesburg</t>
  </si>
  <si>
    <t xml:space="preserve">Knox</t>
  </si>
  <si>
    <t xml:space="preserve">(309) 343-6118</t>
  </si>
  <si>
    <t xml:space="preserve">IL0199</t>
  </si>
  <si>
    <t xml:space="preserve">Geneseo Public Library District</t>
  </si>
  <si>
    <t xml:space="preserve">Geneseo</t>
  </si>
  <si>
    <t xml:space="preserve">(309) 944-6452</t>
  </si>
  <si>
    <t xml:space="preserve">IL0201</t>
  </si>
  <si>
    <t xml:space="preserve">Geneva Public Library District</t>
  </si>
  <si>
    <t xml:space="preserve">Geneva</t>
  </si>
  <si>
    <t xml:space="preserve">(630) 232-0780</t>
  </si>
  <si>
    <t xml:space="preserve">IL0202</t>
  </si>
  <si>
    <t xml:space="preserve">Glen Carbon Centennial Library District</t>
  </si>
  <si>
    <t xml:space="preserve">Glen Carbon</t>
  </si>
  <si>
    <t xml:space="preserve">(618) 288-1212</t>
  </si>
  <si>
    <t xml:space="preserve">IL0638</t>
  </si>
  <si>
    <t xml:space="preserve">Glen Ellyn Public Library</t>
  </si>
  <si>
    <t xml:space="preserve">Glen Ellyn</t>
  </si>
  <si>
    <t xml:space="preserve">(630) 469-0879</t>
  </si>
  <si>
    <t xml:space="preserve">IL0209</t>
  </si>
  <si>
    <t xml:space="preserve">Glenside Public Library District</t>
  </si>
  <si>
    <t xml:space="preserve">Glendale Heights</t>
  </si>
  <si>
    <t xml:space="preserve">(630) 260-1550</t>
  </si>
  <si>
    <t xml:space="preserve">IL0211</t>
  </si>
  <si>
    <t xml:space="preserve">Glenview Public Library</t>
  </si>
  <si>
    <t xml:space="preserve">Glenview</t>
  </si>
  <si>
    <t xml:space="preserve">(847) 729-7500</t>
  </si>
  <si>
    <t xml:space="preserve">IL0212</t>
  </si>
  <si>
    <t xml:space="preserve">Glenwood-Lynwood Public Library District</t>
  </si>
  <si>
    <t xml:space="preserve">Lynwood</t>
  </si>
  <si>
    <t xml:space="preserve">(708) 758-0090</t>
  </si>
  <si>
    <t xml:space="preserve">IL0213</t>
  </si>
  <si>
    <t xml:space="preserve">Grande Prairie Public Library District</t>
  </si>
  <si>
    <t xml:space="preserve">Hazel Crest</t>
  </si>
  <si>
    <t xml:space="preserve">(708) 798-5563</t>
  </si>
  <si>
    <t xml:space="preserve">IL0216</t>
  </si>
  <si>
    <t xml:space="preserve">Grayslake Area Public Library District</t>
  </si>
  <si>
    <t xml:space="preserve">Grayslake</t>
  </si>
  <si>
    <t xml:space="preserve">(847) 223-5313</t>
  </si>
  <si>
    <t xml:space="preserve">IL0219</t>
  </si>
  <si>
    <t xml:space="preserve">Green Hills Public Library District</t>
  </si>
  <si>
    <t xml:space="preserve">Palos Hills</t>
  </si>
  <si>
    <t xml:space="preserve">(708) 598-8446</t>
  </si>
  <si>
    <t xml:space="preserve">IL0221</t>
  </si>
  <si>
    <t xml:space="preserve">Harrisburg Public Library District</t>
  </si>
  <si>
    <t xml:space="preserve">Harrisburg</t>
  </si>
  <si>
    <t xml:space="preserve">Saline</t>
  </si>
  <si>
    <t xml:space="preserve">(618) 253-7455</t>
  </si>
  <si>
    <t xml:space="preserve">IL0229</t>
  </si>
  <si>
    <t xml:space="preserve">Harvey Public Library District</t>
  </si>
  <si>
    <t xml:space="preserve">Harvey</t>
  </si>
  <si>
    <t xml:space="preserve">(708) 331-0757</t>
  </si>
  <si>
    <t xml:space="preserve">IL0232</t>
  </si>
  <si>
    <t xml:space="preserve">Hayner Public Library District</t>
  </si>
  <si>
    <t xml:space="preserve">Alton</t>
  </si>
  <si>
    <t xml:space="preserve">(618) 462-0677</t>
  </si>
  <si>
    <t xml:space="preserve">IL0234</t>
  </si>
  <si>
    <t xml:space="preserve">Helen M. Plum Memorial Public Library District</t>
  </si>
  <si>
    <t xml:space="preserve">Lombard</t>
  </si>
  <si>
    <t xml:space="preserve">(630) 627-0316</t>
  </si>
  <si>
    <t xml:space="preserve">IL0295</t>
  </si>
  <si>
    <t xml:space="preserve">Herrin City Library</t>
  </si>
  <si>
    <t xml:space="preserve">Herrin</t>
  </si>
  <si>
    <t xml:space="preserve">(618) 942-6109</t>
  </si>
  <si>
    <t xml:space="preserve">IL0239</t>
  </si>
  <si>
    <t xml:space="preserve">Highland Park Public Library</t>
  </si>
  <si>
    <t xml:space="preserve">Highland Park</t>
  </si>
  <si>
    <t xml:space="preserve">(847) 432-0216</t>
  </si>
  <si>
    <t xml:space="preserve">IL0242</t>
  </si>
  <si>
    <t xml:space="preserve">Hillsboro Area Public Library District</t>
  </si>
  <si>
    <t xml:space="preserve">Hillsboro</t>
  </si>
  <si>
    <t xml:space="preserve">(217) 532-3055</t>
  </si>
  <si>
    <t xml:space="preserve">IL0244</t>
  </si>
  <si>
    <t xml:space="preserve">Hinsdale Public Library</t>
  </si>
  <si>
    <t xml:space="preserve">Hinsdale</t>
  </si>
  <si>
    <t xml:space="preserve">(630) 986-1976</t>
  </si>
  <si>
    <t xml:space="preserve">IL0246</t>
  </si>
  <si>
    <t xml:space="preserve">Homer Township Public Library District</t>
  </si>
  <si>
    <t xml:space="preserve">Homer Glen</t>
  </si>
  <si>
    <t xml:space="preserve">(708) 301-7908</t>
  </si>
  <si>
    <t xml:space="preserve">IL0249</t>
  </si>
  <si>
    <t xml:space="preserve">Homewood Public Library District</t>
  </si>
  <si>
    <t xml:space="preserve">(708) 798-0121</t>
  </si>
  <si>
    <t xml:space="preserve">IL0251</t>
  </si>
  <si>
    <t xml:space="preserve">Huntley Area Public Library District</t>
  </si>
  <si>
    <t xml:space="preserve">Huntley</t>
  </si>
  <si>
    <t xml:space="preserve">(847) 669-5386</t>
  </si>
  <si>
    <t xml:space="preserve">IL0636</t>
  </si>
  <si>
    <t xml:space="preserve">Ida Public Library</t>
  </si>
  <si>
    <t xml:space="preserve">Belvidere</t>
  </si>
  <si>
    <t xml:space="preserve">(815) 544-3838</t>
  </si>
  <si>
    <t xml:space="preserve">IL0040</t>
  </si>
  <si>
    <t xml:space="preserve">Illinois Prairie District Public Library</t>
  </si>
  <si>
    <t xml:space="preserve">Metamora</t>
  </si>
  <si>
    <t xml:space="preserve">Woodford</t>
  </si>
  <si>
    <t xml:space="preserve">(309) 921-5074</t>
  </si>
  <si>
    <t xml:space="preserve">IL0253</t>
  </si>
  <si>
    <t xml:space="preserve">Indian Prairie Public Library District</t>
  </si>
  <si>
    <t xml:space="preserve">(630) 887-8760</t>
  </si>
  <si>
    <t xml:space="preserve">IL0130</t>
  </si>
  <si>
    <t xml:space="preserve">Indian Trails Public Library District</t>
  </si>
  <si>
    <t xml:space="preserve">Wheeling</t>
  </si>
  <si>
    <t xml:space="preserve">(847) 459-4100</t>
  </si>
  <si>
    <t xml:space="preserve">IL0255</t>
  </si>
  <si>
    <t xml:space="preserve">(217) 243-5435</t>
  </si>
  <si>
    <t xml:space="preserve">IL0257</t>
  </si>
  <si>
    <t xml:space="preserve">Johnsburg Public Library District</t>
  </si>
  <si>
    <t xml:space="preserve">Johnsburg</t>
  </si>
  <si>
    <t xml:space="preserve">(815) 344-0077</t>
  </si>
  <si>
    <t xml:space="preserve">IL0259</t>
  </si>
  <si>
    <t xml:space="preserve">Joliet Public Library</t>
  </si>
  <si>
    <t xml:space="preserve">Joliet</t>
  </si>
  <si>
    <t xml:space="preserve">(815) 740-2660</t>
  </si>
  <si>
    <t xml:space="preserve">IL0261</t>
  </si>
  <si>
    <t xml:space="preserve">Justice Public Library District</t>
  </si>
  <si>
    <t xml:space="preserve">Justice</t>
  </si>
  <si>
    <t xml:space="preserve">(708) 496-1790</t>
  </si>
  <si>
    <t xml:space="preserve">IL0263</t>
  </si>
  <si>
    <t xml:space="preserve">Kankakee Public Library</t>
  </si>
  <si>
    <t xml:space="preserve">(815) 939-4564</t>
  </si>
  <si>
    <t xml:space="preserve">IL0265</t>
  </si>
  <si>
    <t xml:space="preserve">Kewanee Public Library District</t>
  </si>
  <si>
    <t xml:space="preserve">Kewanee</t>
  </si>
  <si>
    <t xml:space="preserve">(309) 852-4505</t>
  </si>
  <si>
    <t xml:space="preserve">IL0267</t>
  </si>
  <si>
    <t xml:space="preserve">Lagrange Park Public Library District</t>
  </si>
  <si>
    <t xml:space="preserve">La Grange Park</t>
  </si>
  <si>
    <t xml:space="preserve">(708) 352-0100</t>
  </si>
  <si>
    <t xml:space="preserve">IL0274</t>
  </si>
  <si>
    <t xml:space="preserve">Lagrange Public Library</t>
  </si>
  <si>
    <t xml:space="preserve">La Grange</t>
  </si>
  <si>
    <t xml:space="preserve">(708) 215-3200</t>
  </si>
  <si>
    <t xml:space="preserve">IL0273</t>
  </si>
  <si>
    <t xml:space="preserve">Lake Forest Library</t>
  </si>
  <si>
    <t xml:space="preserve">Lake Forest</t>
  </si>
  <si>
    <t xml:space="preserve">(847) 234-0636</t>
  </si>
  <si>
    <t xml:space="preserve">IL0277</t>
  </si>
  <si>
    <t xml:space="preserve">Lake Villa Public Library District</t>
  </si>
  <si>
    <t xml:space="preserve">Lindenhurst</t>
  </si>
  <si>
    <t xml:space="preserve">(847) 356-7711</t>
  </si>
  <si>
    <t xml:space="preserve">IL0278</t>
  </si>
  <si>
    <t xml:space="preserve">Lansing Public Library</t>
  </si>
  <si>
    <t xml:space="preserve">Lansing</t>
  </si>
  <si>
    <t xml:space="preserve">(708) 474-2447</t>
  </si>
  <si>
    <t xml:space="preserve">IL0282</t>
  </si>
  <si>
    <t xml:space="preserve">Lawrence Public Library District</t>
  </si>
  <si>
    <t xml:space="preserve">(618) 943-3016</t>
  </si>
  <si>
    <t xml:space="preserve">IL0284</t>
  </si>
  <si>
    <t xml:space="preserve">Lemont Public Library District</t>
  </si>
  <si>
    <t xml:space="preserve">Lemont</t>
  </si>
  <si>
    <t xml:space="preserve">(630) 257-6541</t>
  </si>
  <si>
    <t xml:space="preserve">IL0286</t>
  </si>
  <si>
    <t xml:space="preserve">Lincoln Library</t>
  </si>
  <si>
    <t xml:space="preserve">Springfield</t>
  </si>
  <si>
    <t xml:space="preserve">(217) 753-4900</t>
  </si>
  <si>
    <t xml:space="preserve">IL0504</t>
  </si>
  <si>
    <t xml:space="preserve">Lincoln Public Library District</t>
  </si>
  <si>
    <t xml:space="preserve">(217) 732-8878</t>
  </si>
  <si>
    <t xml:space="preserve">IL0290</t>
  </si>
  <si>
    <t xml:space="preserve">Lincolnwood Public Library District</t>
  </si>
  <si>
    <t xml:space="preserve">Lincolnwood</t>
  </si>
  <si>
    <t xml:space="preserve">(847) 677-5277</t>
  </si>
  <si>
    <t xml:space="preserve">IL0608</t>
  </si>
  <si>
    <t xml:space="preserve">Linda Sokol Francis Brookfield Library</t>
  </si>
  <si>
    <t xml:space="preserve">(708) 485-6917</t>
  </si>
  <si>
    <t xml:space="preserve">IL0061</t>
  </si>
  <si>
    <t xml:space="preserve">Lisle Library District</t>
  </si>
  <si>
    <t xml:space="preserve">Lisle</t>
  </si>
  <si>
    <t xml:space="preserve">(630) 971-1675</t>
  </si>
  <si>
    <t xml:space="preserve">IL0292</t>
  </si>
  <si>
    <t xml:space="preserve">Lyons Public Library</t>
  </si>
  <si>
    <t xml:space="preserve">Lyons</t>
  </si>
  <si>
    <t xml:space="preserve">(708) 447-3577</t>
  </si>
  <si>
    <t xml:space="preserve">IL0298</t>
  </si>
  <si>
    <t xml:space="preserve">Macomb Public Library District</t>
  </si>
  <si>
    <t xml:space="preserve">Macomb</t>
  </si>
  <si>
    <t xml:space="preserve">(309) 833-2714</t>
  </si>
  <si>
    <t xml:space="preserve">IL0306</t>
  </si>
  <si>
    <t xml:space="preserve">Mahomet Public Library District</t>
  </si>
  <si>
    <t xml:space="preserve">Mahomet</t>
  </si>
  <si>
    <t xml:space="preserve">(217) 586-2611</t>
  </si>
  <si>
    <t xml:space="preserve">IL0309</t>
  </si>
  <si>
    <t xml:space="preserve">Manhattan-Elwood Public Library District</t>
  </si>
  <si>
    <t xml:space="preserve">Manhattan</t>
  </si>
  <si>
    <t xml:space="preserve">(815) 478-3987</t>
  </si>
  <si>
    <t xml:space="preserve">IL0311</t>
  </si>
  <si>
    <t xml:space="preserve">Manteno Public Library District</t>
  </si>
  <si>
    <t xml:space="preserve">Manteno</t>
  </si>
  <si>
    <t xml:space="preserve">(815) 468-3323</t>
  </si>
  <si>
    <t xml:space="preserve">IL0314</t>
  </si>
  <si>
    <t xml:space="preserve">Marengo-Union Public Library District</t>
  </si>
  <si>
    <t xml:space="preserve">(815) 568-8236</t>
  </si>
  <si>
    <t xml:space="preserve">IL0317</t>
  </si>
  <si>
    <t xml:space="preserve">Marion Carnegie Library</t>
  </si>
  <si>
    <t xml:space="preserve">(618) 993-5935</t>
  </si>
  <si>
    <t xml:space="preserve">IL0318</t>
  </si>
  <si>
    <t xml:space="preserve">Markham Public Library</t>
  </si>
  <si>
    <t xml:space="preserve">Markham</t>
  </si>
  <si>
    <t xml:space="preserve">(708) 331-0130</t>
  </si>
  <si>
    <t xml:space="preserve">IL0320</t>
  </si>
  <si>
    <t xml:space="preserve">Maryville Community Library District</t>
  </si>
  <si>
    <t xml:space="preserve">Maryville</t>
  </si>
  <si>
    <t xml:space="preserve">(618) 288-3801</t>
  </si>
  <si>
    <t xml:space="preserve">IL0693</t>
  </si>
  <si>
    <t xml:space="preserve">Matteson Area Public Library District</t>
  </si>
  <si>
    <t xml:space="preserve">Matteson</t>
  </si>
  <si>
    <t xml:space="preserve">(708) 748-4431</t>
  </si>
  <si>
    <t xml:space="preserve">IL0329</t>
  </si>
  <si>
    <t xml:space="preserve">Mattoon Public Library</t>
  </si>
  <si>
    <t xml:space="preserve">Mattoon</t>
  </si>
  <si>
    <t xml:space="preserve">(217) 234-1710</t>
  </si>
  <si>
    <t xml:space="preserve">IL0330</t>
  </si>
  <si>
    <t xml:space="preserve">Maywood Public Library District</t>
  </si>
  <si>
    <t xml:space="preserve">Maywood</t>
  </si>
  <si>
    <t xml:space="preserve">(708) 343-1847</t>
  </si>
  <si>
    <t xml:space="preserve">IL0331</t>
  </si>
  <si>
    <t xml:space="preserve">Mchenry Public Library District</t>
  </si>
  <si>
    <t xml:space="preserve">(815) 385-0036</t>
  </si>
  <si>
    <t xml:space="preserve">IL0301</t>
  </si>
  <si>
    <t xml:space="preserve">Melrose Park Public Library</t>
  </si>
  <si>
    <t xml:space="preserve">Melrose Park</t>
  </si>
  <si>
    <t xml:space="preserve">(708) 649-7400</t>
  </si>
  <si>
    <t xml:space="preserve">IL0609</t>
  </si>
  <si>
    <t xml:space="preserve">Messenger Public Library Of North Aurora</t>
  </si>
  <si>
    <t xml:space="preserve">North Aurora</t>
  </si>
  <si>
    <t xml:space="preserve">(630) 896-0240</t>
  </si>
  <si>
    <t xml:space="preserve">IL0384</t>
  </si>
  <si>
    <t xml:space="preserve">Midlothian Public Library</t>
  </si>
  <si>
    <t xml:space="preserve">Midlothian</t>
  </si>
  <si>
    <t xml:space="preserve">(708) 535-2027</t>
  </si>
  <si>
    <t xml:space="preserve">IL0337</t>
  </si>
  <si>
    <t xml:space="preserve">Mississippi Valley Library District</t>
  </si>
  <si>
    <t xml:space="preserve">Collinsville</t>
  </si>
  <si>
    <t xml:space="preserve">(618) 344-1112</t>
  </si>
  <si>
    <t xml:space="preserve">IL0114</t>
  </si>
  <si>
    <t xml:space="preserve">Mokena Community Public Library District</t>
  </si>
  <si>
    <t xml:space="preserve">Mokena</t>
  </si>
  <si>
    <t xml:space="preserve">(708) 479-9663</t>
  </si>
  <si>
    <t xml:space="preserve">IL0344</t>
  </si>
  <si>
    <t xml:space="preserve">Moline Public Library</t>
  </si>
  <si>
    <t xml:space="preserve">Moline</t>
  </si>
  <si>
    <t xml:space="preserve">(309) 524-2440</t>
  </si>
  <si>
    <t xml:space="preserve">IL0345</t>
  </si>
  <si>
    <t xml:space="preserve">Morris Area Public Library District</t>
  </si>
  <si>
    <t xml:space="preserve">Morris</t>
  </si>
  <si>
    <t xml:space="preserve">(815) 942-6880</t>
  </si>
  <si>
    <t xml:space="preserve">IL0349</t>
  </si>
  <si>
    <t xml:space="preserve">Morrison-Talbott Library</t>
  </si>
  <si>
    <t xml:space="preserve">(618) 939-6232</t>
  </si>
  <si>
    <t xml:space="preserve">IL0560</t>
  </si>
  <si>
    <t xml:space="preserve">Morton Grove Public Library</t>
  </si>
  <si>
    <t xml:space="preserve">Morton Grove</t>
  </si>
  <si>
    <t xml:space="preserve">(847) 965-4220</t>
  </si>
  <si>
    <t xml:space="preserve">IL0353</t>
  </si>
  <si>
    <t xml:space="preserve">Morton Public Library District</t>
  </si>
  <si>
    <t xml:space="preserve">Morton</t>
  </si>
  <si>
    <t xml:space="preserve">(309) 263-2200</t>
  </si>
  <si>
    <t xml:space="preserve">IL0352</t>
  </si>
  <si>
    <t xml:space="preserve">Mount Prospect Public Library</t>
  </si>
  <si>
    <t xml:space="preserve">Mount Prospect</t>
  </si>
  <si>
    <t xml:space="preserve">(847) 253-5675</t>
  </si>
  <si>
    <t xml:space="preserve">IL0360</t>
  </si>
  <si>
    <t xml:space="preserve">Mount Zion District Library</t>
  </si>
  <si>
    <t xml:space="preserve">Mount Zion</t>
  </si>
  <si>
    <t xml:space="preserve">(217) 864-3622</t>
  </si>
  <si>
    <t xml:space="preserve">IL0364</t>
  </si>
  <si>
    <t xml:space="preserve">Naperville Public Library</t>
  </si>
  <si>
    <t xml:space="preserve">Naperville</t>
  </si>
  <si>
    <t xml:space="preserve">(630) 961-4100</t>
  </si>
  <si>
    <t xml:space="preserve">IL0368</t>
  </si>
  <si>
    <t xml:space="preserve">New Lenox Public Library District</t>
  </si>
  <si>
    <t xml:space="preserve">New Lenox</t>
  </si>
  <si>
    <t xml:space="preserve">(815) 485-2605</t>
  </si>
  <si>
    <t xml:space="preserve">IL0375</t>
  </si>
  <si>
    <t xml:space="preserve">Niles-Maine District Library</t>
  </si>
  <si>
    <t xml:space="preserve">Niles</t>
  </si>
  <si>
    <t xml:space="preserve">(847) 663-1234</t>
  </si>
  <si>
    <t xml:space="preserve">IL0379</t>
  </si>
  <si>
    <t xml:space="preserve">Nippersink Public Library District</t>
  </si>
  <si>
    <t xml:space="preserve">(815) 678-4014</t>
  </si>
  <si>
    <t xml:space="preserve">IL0380</t>
  </si>
  <si>
    <t xml:space="preserve">Normal Public Library</t>
  </si>
  <si>
    <t xml:space="preserve">Normal</t>
  </si>
  <si>
    <t xml:space="preserve">(309) 452-1757</t>
  </si>
  <si>
    <t xml:space="preserve">IL0382</t>
  </si>
  <si>
    <t xml:space="preserve">North Chicago Public Library</t>
  </si>
  <si>
    <t xml:space="preserve">North Chicago</t>
  </si>
  <si>
    <t xml:space="preserve">(847) 689-0125</t>
  </si>
  <si>
    <t xml:space="preserve">IL0385</t>
  </si>
  <si>
    <t xml:space="preserve">North Suburban Public Library District</t>
  </si>
  <si>
    <t xml:space="preserve">Loves Park</t>
  </si>
  <si>
    <t xml:space="preserve">(815) 633-4247</t>
  </si>
  <si>
    <t xml:space="preserve">IL0387</t>
  </si>
  <si>
    <t xml:space="preserve">Northbrook Public Library</t>
  </si>
  <si>
    <t xml:space="preserve">Northbrook</t>
  </si>
  <si>
    <t xml:space="preserve">(847) 272-6224</t>
  </si>
  <si>
    <t xml:space="preserve">IL0388</t>
  </si>
  <si>
    <t xml:space="preserve">Northlake Public Library District</t>
  </si>
  <si>
    <t xml:space="preserve">Northlake</t>
  </si>
  <si>
    <t xml:space="preserve">(708) 562-2301</t>
  </si>
  <si>
    <t xml:space="preserve">IL0389</t>
  </si>
  <si>
    <t xml:space="preserve">O'Fallon Public Library</t>
  </si>
  <si>
    <t xml:space="preserve">O'Fallon</t>
  </si>
  <si>
    <t xml:space="preserve">(618) 632-3783</t>
  </si>
  <si>
    <t xml:space="preserve">IL0395</t>
  </si>
  <si>
    <t xml:space="preserve">Oak Lawn Public Library</t>
  </si>
  <si>
    <t xml:space="preserve">Oak Lawn</t>
  </si>
  <si>
    <t xml:space="preserve">(708) 422-4990</t>
  </si>
  <si>
    <t xml:space="preserve">IL0391</t>
  </si>
  <si>
    <t xml:space="preserve">Oak Park Public Library</t>
  </si>
  <si>
    <t xml:space="preserve">Oak Park</t>
  </si>
  <si>
    <t xml:space="preserve">(708) 383-8200</t>
  </si>
  <si>
    <t xml:space="preserve">IL0392</t>
  </si>
  <si>
    <t xml:space="preserve">Orland Park Public Library</t>
  </si>
  <si>
    <t xml:space="preserve">Orland Park</t>
  </si>
  <si>
    <t xml:space="preserve">(708) 428-5100</t>
  </si>
  <si>
    <t xml:space="preserve">IL0405</t>
  </si>
  <si>
    <t xml:space="preserve">Oswego Public Library District</t>
  </si>
  <si>
    <t xml:space="preserve">Oswego</t>
  </si>
  <si>
    <t xml:space="preserve">Kendall</t>
  </si>
  <si>
    <t xml:space="preserve">(630) 554-3150</t>
  </si>
  <si>
    <t xml:space="preserve">IL0406</t>
  </si>
  <si>
    <t xml:space="preserve">Palatine Public Library District</t>
  </si>
  <si>
    <t xml:space="preserve">Palatine</t>
  </si>
  <si>
    <t xml:space="preserve">(847) 907-3600</t>
  </si>
  <si>
    <t xml:space="preserve">IL0408</t>
  </si>
  <si>
    <t xml:space="preserve">Palos Heights Public Library</t>
  </si>
  <si>
    <t xml:space="preserve">Palos Heights</t>
  </si>
  <si>
    <t xml:space="preserve">(708) 448-1473</t>
  </si>
  <si>
    <t xml:space="preserve">IL0410</t>
  </si>
  <si>
    <t xml:space="preserve">Park Forest Public Library</t>
  </si>
  <si>
    <t xml:space="preserve">Park Forest</t>
  </si>
  <si>
    <t xml:space="preserve">(708) 748-3731</t>
  </si>
  <si>
    <t xml:space="preserve">IL0414</t>
  </si>
  <si>
    <t xml:space="preserve">Park Ridge Public Library</t>
  </si>
  <si>
    <t xml:space="preserve">Park Ridge</t>
  </si>
  <si>
    <t xml:space="preserve">(847) 825-3123</t>
  </si>
  <si>
    <t xml:space="preserve">IL0415</t>
  </si>
  <si>
    <t xml:space="preserve">Parlin-Ingersoll Public Library</t>
  </si>
  <si>
    <t xml:space="preserve">(309) 647-0328</t>
  </si>
  <si>
    <t xml:space="preserve">IL0073</t>
  </si>
  <si>
    <t xml:space="preserve">Pekin Public Library</t>
  </si>
  <si>
    <t xml:space="preserve">Pekin</t>
  </si>
  <si>
    <t xml:space="preserve">(309) 347-7111</t>
  </si>
  <si>
    <t xml:space="preserve">IL0422</t>
  </si>
  <si>
    <t xml:space="preserve">Peoria Public Library</t>
  </si>
  <si>
    <t xml:space="preserve">(309) 497-2000</t>
  </si>
  <si>
    <t xml:space="preserve">IL0423</t>
  </si>
  <si>
    <t xml:space="preserve">Peotone Public Library District</t>
  </si>
  <si>
    <t xml:space="preserve">Peotone</t>
  </si>
  <si>
    <t xml:space="preserve">(708) 258-3436</t>
  </si>
  <si>
    <t xml:space="preserve">IL0425</t>
  </si>
  <si>
    <t xml:space="preserve">Plainfield Public Library District</t>
  </si>
  <si>
    <t xml:space="preserve">Plainfield</t>
  </si>
  <si>
    <t xml:space="preserve">(815) 439-2874</t>
  </si>
  <si>
    <t xml:space="preserve">IL0432</t>
  </si>
  <si>
    <t xml:space="preserve">Plano Community Library District</t>
  </si>
  <si>
    <t xml:space="preserve">Plano</t>
  </si>
  <si>
    <t xml:space="preserve">(630) 552-2009</t>
  </si>
  <si>
    <t xml:space="preserve">IL0434</t>
  </si>
  <si>
    <t xml:space="preserve">Pontiac Public Library</t>
  </si>
  <si>
    <t xml:space="preserve">Pontiac</t>
  </si>
  <si>
    <t xml:space="preserve">Livingston</t>
  </si>
  <si>
    <t xml:space="preserve">(815) 844-7229</t>
  </si>
  <si>
    <t xml:space="preserve">IL0436</t>
  </si>
  <si>
    <t xml:space="preserve">Poplar Creek Public Library District</t>
  </si>
  <si>
    <t xml:space="preserve">Streamwood</t>
  </si>
  <si>
    <t xml:space="preserve">(630) 837-6800</t>
  </si>
  <si>
    <t xml:space="preserve">IL0437</t>
  </si>
  <si>
    <t xml:space="preserve">Prairie Trails Public Library District</t>
  </si>
  <si>
    <t xml:space="preserve">(708) 430-3688</t>
  </si>
  <si>
    <t xml:space="preserve">IL0439</t>
  </si>
  <si>
    <t xml:space="preserve">Prospect Heights Public Library District</t>
  </si>
  <si>
    <t xml:space="preserve">Prospect Heights</t>
  </si>
  <si>
    <t xml:space="preserve">(847) 259-3500</t>
  </si>
  <si>
    <t xml:space="preserve">IL0443</t>
  </si>
  <si>
    <t xml:space="preserve">Quincy Public Library</t>
  </si>
  <si>
    <t xml:space="preserve">(217) 223-1309</t>
  </si>
  <si>
    <t xml:space="preserve">IL0445</t>
  </si>
  <si>
    <t xml:space="preserve">Rantoul Public Library</t>
  </si>
  <si>
    <t xml:space="preserve">Rantoul</t>
  </si>
  <si>
    <t xml:space="preserve">(217) 893-3955</t>
  </si>
  <si>
    <t xml:space="preserve">IL0446</t>
  </si>
  <si>
    <t xml:space="preserve">Reddick Public Library District</t>
  </si>
  <si>
    <t xml:space="preserve">Ottawa</t>
  </si>
  <si>
    <t xml:space="preserve">La Salle</t>
  </si>
  <si>
    <t xml:space="preserve">(815) 434-0509</t>
  </si>
  <si>
    <t xml:space="preserve">IL0407</t>
  </si>
  <si>
    <t xml:space="preserve">Richton Park Public Library District</t>
  </si>
  <si>
    <t xml:space="preserve">Richton Park</t>
  </si>
  <si>
    <t xml:space="preserve">(708) 481-5333</t>
  </si>
  <si>
    <t xml:space="preserve">IL0448</t>
  </si>
  <si>
    <t xml:space="preserve">River Forest Public Library</t>
  </si>
  <si>
    <t xml:space="preserve">River Forest</t>
  </si>
  <si>
    <t xml:space="preserve">(708) 366-5205</t>
  </si>
  <si>
    <t xml:space="preserve">IL0451</t>
  </si>
  <si>
    <t xml:space="preserve">River Grove Public Library District</t>
  </si>
  <si>
    <t xml:space="preserve">River Grove</t>
  </si>
  <si>
    <t xml:space="preserve">(708) 453-4484</t>
  </si>
  <si>
    <t xml:space="preserve">IL0452</t>
  </si>
  <si>
    <t xml:space="preserve">Riverdale Public Library District</t>
  </si>
  <si>
    <t xml:space="preserve">Riverdale</t>
  </si>
  <si>
    <t xml:space="preserve">(708) 841-3311</t>
  </si>
  <si>
    <t xml:space="preserve">IL0454</t>
  </si>
  <si>
    <t xml:space="preserve">Robinson Public Library District</t>
  </si>
  <si>
    <t xml:space="preserve">Robinson</t>
  </si>
  <si>
    <t xml:space="preserve">(618) 544-2917</t>
  </si>
  <si>
    <t xml:space="preserve">IL0457</t>
  </si>
  <si>
    <t xml:space="preserve">Rock Falls Public Library District</t>
  </si>
  <si>
    <t xml:space="preserve">Rock Falls</t>
  </si>
  <si>
    <t xml:space="preserve">Whiteside</t>
  </si>
  <si>
    <t xml:space="preserve">(815) 626-3958</t>
  </si>
  <si>
    <t xml:space="preserve">IL0460</t>
  </si>
  <si>
    <t xml:space="preserve">Rock Island Public Library</t>
  </si>
  <si>
    <t xml:space="preserve">(309) 732-7323</t>
  </si>
  <si>
    <t xml:space="preserve">IL0461</t>
  </si>
  <si>
    <t xml:space="preserve">Rockford Public Library</t>
  </si>
  <si>
    <t xml:space="preserve">Rockford</t>
  </si>
  <si>
    <t xml:space="preserve">(815) 965-7606</t>
  </si>
  <si>
    <t xml:space="preserve">IL0462</t>
  </si>
  <si>
    <t xml:space="preserve">Rolling Meadows Library</t>
  </si>
  <si>
    <t xml:space="preserve">Rolling Meadows</t>
  </si>
  <si>
    <t xml:space="preserve">(847) 259-6050</t>
  </si>
  <si>
    <t xml:space="preserve">IL0463</t>
  </si>
  <si>
    <t xml:space="preserve">Roselle Public Library District</t>
  </si>
  <si>
    <t xml:space="preserve">Roselle</t>
  </si>
  <si>
    <t xml:space="preserve">(630) 529-1641</t>
  </si>
  <si>
    <t xml:space="preserve">IL0465</t>
  </si>
  <si>
    <t xml:space="preserve">Round Lake Area Public Library District</t>
  </si>
  <si>
    <t xml:space="preserve">Round Lake</t>
  </si>
  <si>
    <t xml:space="preserve">(847) 546-7060</t>
  </si>
  <si>
    <t xml:space="preserve">IL0467</t>
  </si>
  <si>
    <t xml:space="preserve">Saint Charles Public Library District</t>
  </si>
  <si>
    <t xml:space="preserve">Saint Charles</t>
  </si>
  <si>
    <t xml:space="preserve">(630) 584-0076</t>
  </si>
  <si>
    <t xml:space="preserve">IL0471</t>
  </si>
  <si>
    <t xml:space="preserve">Schaumburg Township District Library</t>
  </si>
  <si>
    <t xml:space="preserve">Schaumburg</t>
  </si>
  <si>
    <t xml:space="preserve">(847) 985-4000</t>
  </si>
  <si>
    <t xml:space="preserve">IL0479</t>
  </si>
  <si>
    <t xml:space="preserve">Schiller Park Public Library</t>
  </si>
  <si>
    <t xml:space="preserve">Schiller Park</t>
  </si>
  <si>
    <t xml:space="preserve">(847) 678-0433</t>
  </si>
  <si>
    <t xml:space="preserve">IL0480</t>
  </si>
  <si>
    <t xml:space="preserve">Shorewood-Troy Public Library District</t>
  </si>
  <si>
    <t xml:space="preserve">Shorewood</t>
  </si>
  <si>
    <t xml:space="preserve">(815) 725-1715</t>
  </si>
  <si>
    <t xml:space="preserve">IL0491</t>
  </si>
  <si>
    <t xml:space="preserve">Six Mile Regional Library District</t>
  </si>
  <si>
    <t xml:space="preserve">Granite City</t>
  </si>
  <si>
    <t xml:space="preserve">(618) 452-6238</t>
  </si>
  <si>
    <t xml:space="preserve">IL0217</t>
  </si>
  <si>
    <t xml:space="preserve">Skokie Public Library</t>
  </si>
  <si>
    <t xml:space="preserve">Skokie</t>
  </si>
  <si>
    <t xml:space="preserve">(847) 673-7774</t>
  </si>
  <si>
    <t xml:space="preserve">IL0495</t>
  </si>
  <si>
    <t xml:space="preserve">South Holland Public Library</t>
  </si>
  <si>
    <t xml:space="preserve">South Holland</t>
  </si>
  <si>
    <t xml:space="preserve">(708) 527-3150</t>
  </si>
  <si>
    <t xml:space="preserve">IL0499</t>
  </si>
  <si>
    <t xml:space="preserve">Steger-South Chicago Heights Public Library District</t>
  </si>
  <si>
    <t xml:space="preserve">Steger</t>
  </si>
  <si>
    <t xml:space="preserve">(708) 755-5040</t>
  </si>
  <si>
    <t xml:space="preserve">IL0509</t>
  </si>
  <si>
    <t xml:space="preserve">(815) 625-1370</t>
  </si>
  <si>
    <t xml:space="preserve">IL0510</t>
  </si>
  <si>
    <t xml:space="preserve">Stickney-Forest View Public Library District</t>
  </si>
  <si>
    <t xml:space="preserve">Stickney</t>
  </si>
  <si>
    <t xml:space="preserve">(708) 749-1050</t>
  </si>
  <si>
    <t xml:space="preserve">IL0511</t>
  </si>
  <si>
    <t xml:space="preserve">Stinson Memorial Public Library District</t>
  </si>
  <si>
    <t xml:space="preserve">Anna</t>
  </si>
  <si>
    <t xml:space="preserve">(618) 833-2521</t>
  </si>
  <si>
    <t xml:space="preserve">IL0013</t>
  </si>
  <si>
    <t xml:space="preserve">Streator Public Library</t>
  </si>
  <si>
    <t xml:space="preserve">Streator</t>
  </si>
  <si>
    <t xml:space="preserve">(815) 672-2729</t>
  </si>
  <si>
    <t xml:space="preserve">IL0515</t>
  </si>
  <si>
    <t xml:space="preserve">Sugar Grove Public Library District</t>
  </si>
  <si>
    <t xml:space="preserve">Sugar Grove</t>
  </si>
  <si>
    <t xml:space="preserve">(630) 466-4686</t>
  </si>
  <si>
    <t xml:space="preserve">IL0516</t>
  </si>
  <si>
    <t xml:space="preserve">Summit Public Library District</t>
  </si>
  <si>
    <t xml:space="preserve">(708) 458-1545</t>
  </si>
  <si>
    <t xml:space="preserve">IL0696</t>
  </si>
  <si>
    <t xml:space="preserve">Sycamore Public Library</t>
  </si>
  <si>
    <t xml:space="preserve">Sycamore</t>
  </si>
  <si>
    <t xml:space="preserve">(815) 895-2500</t>
  </si>
  <si>
    <t xml:space="preserve">IL0519</t>
  </si>
  <si>
    <t xml:space="preserve">Talcott Free Library District</t>
  </si>
  <si>
    <t xml:space="preserve">Rockton</t>
  </si>
  <si>
    <t xml:space="preserve">(815) 624-7511</t>
  </si>
  <si>
    <t xml:space="preserve">IL0520</t>
  </si>
  <si>
    <t xml:space="preserve">Taylorville Public Library</t>
  </si>
  <si>
    <t xml:space="preserve">Taylorville</t>
  </si>
  <si>
    <t xml:space="preserve">Christian</t>
  </si>
  <si>
    <t xml:space="preserve">(217) 824-4736</t>
  </si>
  <si>
    <t xml:space="preserve">IL0521</t>
  </si>
  <si>
    <t xml:space="preserve">Thomas Ford Memorial Library</t>
  </si>
  <si>
    <t xml:space="preserve">Western Springs</t>
  </si>
  <si>
    <t xml:space="preserve">(708) 246-0520</t>
  </si>
  <si>
    <t xml:space="preserve">IL0575</t>
  </si>
  <si>
    <t xml:space="preserve">Three Rivers Public Library District</t>
  </si>
  <si>
    <t xml:space="preserve">Channahon</t>
  </si>
  <si>
    <t xml:space="preserve">(815) 467-6200</t>
  </si>
  <si>
    <t xml:space="preserve">IL0524</t>
  </si>
  <si>
    <t xml:space="preserve">Tinley Park Public Library</t>
  </si>
  <si>
    <t xml:space="preserve">Tinley Park</t>
  </si>
  <si>
    <t xml:space="preserve">(708) 532-0160</t>
  </si>
  <si>
    <t xml:space="preserve">IL0525</t>
  </si>
  <si>
    <t xml:space="preserve">Tolono Public Library District</t>
  </si>
  <si>
    <t xml:space="preserve">Tolono</t>
  </si>
  <si>
    <t xml:space="preserve">(217) 485-5558</t>
  </si>
  <si>
    <t xml:space="preserve">IL0528</t>
  </si>
  <si>
    <t xml:space="preserve">Town And Country Public Library District</t>
  </si>
  <si>
    <t xml:space="preserve">Elburn</t>
  </si>
  <si>
    <t xml:space="preserve">(630) 365-2244</t>
  </si>
  <si>
    <t xml:space="preserve">IL0159</t>
  </si>
  <si>
    <t xml:space="preserve">Tri-Township Public Library District</t>
  </si>
  <si>
    <t xml:space="preserve">(618) 667-2133</t>
  </si>
  <si>
    <t xml:space="preserve">IL0534</t>
  </si>
  <si>
    <t xml:space="preserve">Urbana Free Library</t>
  </si>
  <si>
    <t xml:space="preserve">Urbana</t>
  </si>
  <si>
    <t xml:space="preserve">(217) 367-4058</t>
  </si>
  <si>
    <t xml:space="preserve">IL0538</t>
  </si>
  <si>
    <t xml:space="preserve">Vernon Area Public Library District</t>
  </si>
  <si>
    <t xml:space="preserve">Lincolnshire</t>
  </si>
  <si>
    <t xml:space="preserve">(847) 634-3650</t>
  </si>
  <si>
    <t xml:space="preserve">IL0545</t>
  </si>
  <si>
    <t xml:space="preserve">Vespasian Warner Public Library District</t>
  </si>
  <si>
    <t xml:space="preserve">De Witt</t>
  </si>
  <si>
    <t xml:space="preserve">(217) 935-5174</t>
  </si>
  <si>
    <t xml:space="preserve">IL0603</t>
  </si>
  <si>
    <t xml:space="preserve">Villa Park Public Library</t>
  </si>
  <si>
    <t xml:space="preserve">Villa Park</t>
  </si>
  <si>
    <t xml:space="preserve">(630) 834-1164</t>
  </si>
  <si>
    <t xml:space="preserve">IL0549</t>
  </si>
  <si>
    <t xml:space="preserve">Warren County Public Library District</t>
  </si>
  <si>
    <t xml:space="preserve">Monmouth</t>
  </si>
  <si>
    <t xml:space="preserve">(309) 734-3166</t>
  </si>
  <si>
    <t xml:space="preserve">IL0555</t>
  </si>
  <si>
    <t xml:space="preserve">Warren-Newport Public Library District</t>
  </si>
  <si>
    <t xml:space="preserve">Gurnee</t>
  </si>
  <si>
    <t xml:space="preserve">(847) 244-5150</t>
  </si>
  <si>
    <t xml:space="preserve">IL0556</t>
  </si>
  <si>
    <t xml:space="preserve">Warrenville Public Library District</t>
  </si>
  <si>
    <t xml:space="preserve">Warrenville</t>
  </si>
  <si>
    <t xml:space="preserve">(630) 393-1171</t>
  </si>
  <si>
    <t xml:space="preserve">IL0557</t>
  </si>
  <si>
    <t xml:space="preserve">Washington District Library</t>
  </si>
  <si>
    <t xml:space="preserve">(309) 444-2241</t>
  </si>
  <si>
    <t xml:space="preserve">IL0559</t>
  </si>
  <si>
    <t xml:space="preserve">Wauconda Area Public Library District</t>
  </si>
  <si>
    <t xml:space="preserve">Wauconda</t>
  </si>
  <si>
    <t xml:space="preserve">(847) 526-6225</t>
  </si>
  <si>
    <t xml:space="preserve">IL0563</t>
  </si>
  <si>
    <t xml:space="preserve">Waukegan Public Library</t>
  </si>
  <si>
    <t xml:space="preserve">Waukegan</t>
  </si>
  <si>
    <t xml:space="preserve">(847) 623-2041</t>
  </si>
  <si>
    <t xml:space="preserve">IL0564</t>
  </si>
  <si>
    <t xml:space="preserve">West Chicago Public Library District</t>
  </si>
  <si>
    <t xml:space="preserve">West Chicago</t>
  </si>
  <si>
    <t xml:space="preserve">(630) 231-1552</t>
  </si>
  <si>
    <t xml:space="preserve">IL0570</t>
  </si>
  <si>
    <t xml:space="preserve">Westchester Public Library</t>
  </si>
  <si>
    <t xml:space="preserve">Westchester</t>
  </si>
  <si>
    <t xml:space="preserve">(708) 562-3573</t>
  </si>
  <si>
    <t xml:space="preserve">IL0573</t>
  </si>
  <si>
    <t xml:space="preserve">Westmont Public Library</t>
  </si>
  <si>
    <t xml:space="preserve">Westmont</t>
  </si>
  <si>
    <t xml:space="preserve">(630) 869-6150</t>
  </si>
  <si>
    <t xml:space="preserve">IL0576</t>
  </si>
  <si>
    <t xml:space="preserve">Westville Public Library District</t>
  </si>
  <si>
    <t xml:space="preserve">Westville</t>
  </si>
  <si>
    <t xml:space="preserve">(217) 267-3170</t>
  </si>
  <si>
    <t xml:space="preserve">IL0577</t>
  </si>
  <si>
    <t xml:space="preserve">Wheaton Public Library</t>
  </si>
  <si>
    <t xml:space="preserve">Wheaton</t>
  </si>
  <si>
    <t xml:space="preserve">(630) 668-1374</t>
  </si>
  <si>
    <t xml:space="preserve">IL0578</t>
  </si>
  <si>
    <t xml:space="preserve">White Oak Library District</t>
  </si>
  <si>
    <t xml:space="preserve">Romeoville</t>
  </si>
  <si>
    <t xml:space="preserve">(815) 886-2030</t>
  </si>
  <si>
    <t xml:space="preserve">IL0139</t>
  </si>
  <si>
    <t xml:space="preserve">Wilmette Public Library District</t>
  </si>
  <si>
    <t xml:space="preserve">Wilmette</t>
  </si>
  <si>
    <t xml:space="preserve">(847) 256-5025</t>
  </si>
  <si>
    <t xml:space="preserve">IL0584</t>
  </si>
  <si>
    <t xml:space="preserve">Winnetka-Northfield Public Library District</t>
  </si>
  <si>
    <t xml:space="preserve">Winnetka</t>
  </si>
  <si>
    <t xml:space="preserve">(847) 446-7220</t>
  </si>
  <si>
    <t xml:space="preserve">IL0590</t>
  </si>
  <si>
    <t xml:space="preserve">Wood Dale Public Library District</t>
  </si>
  <si>
    <t xml:space="preserve">Wood Dale</t>
  </si>
  <si>
    <t xml:space="preserve">(630) 766-6762</t>
  </si>
  <si>
    <t xml:space="preserve">IL0592</t>
  </si>
  <si>
    <t xml:space="preserve">Wood River Public Library</t>
  </si>
  <si>
    <t xml:space="preserve">Wood River</t>
  </si>
  <si>
    <t xml:space="preserve">(618) 254-4832</t>
  </si>
  <si>
    <t xml:space="preserve">IL0593</t>
  </si>
  <si>
    <t xml:space="preserve">Woodridge Public Library</t>
  </si>
  <si>
    <t xml:space="preserve">Woodridge</t>
  </si>
  <si>
    <t xml:space="preserve">(630) 964-7899</t>
  </si>
  <si>
    <t xml:space="preserve">IL0594</t>
  </si>
  <si>
    <t xml:space="preserve">Woodstock Public Library</t>
  </si>
  <si>
    <t xml:space="preserve">Woodstock</t>
  </si>
  <si>
    <t xml:space="preserve">(815) 338-0542</t>
  </si>
  <si>
    <t xml:space="preserve">IL0595</t>
  </si>
  <si>
    <t xml:space="preserve">Worth Public Library District</t>
  </si>
  <si>
    <t xml:space="preserve">(708) 448-2855</t>
  </si>
  <si>
    <t xml:space="preserve">IL0597</t>
  </si>
  <si>
    <t xml:space="preserve">Yorkville Public Library</t>
  </si>
  <si>
    <t xml:space="preserve">Yorkville</t>
  </si>
  <si>
    <t xml:space="preserve">(630) 553-4354</t>
  </si>
  <si>
    <t xml:space="preserve">IL0600</t>
  </si>
  <si>
    <t xml:space="preserve">Zion-Benton Public Library District</t>
  </si>
  <si>
    <t xml:space="preserve">Zion</t>
  </si>
  <si>
    <t xml:space="preserve">(847) 872-4680</t>
  </si>
  <si>
    <t xml:space="preserve">IL0602</t>
  </si>
  <si>
    <t xml:space="preserve">IN</t>
  </si>
  <si>
    <t xml:space="preserve">Adams Public Library System</t>
  </si>
  <si>
    <t xml:space="preserve">(260) 724-2605</t>
  </si>
  <si>
    <t xml:space="preserve">IN0248</t>
  </si>
  <si>
    <t xml:space="preserve">Alexandrian Public Library</t>
  </si>
  <si>
    <t xml:space="preserve">Posey</t>
  </si>
  <si>
    <t xml:space="preserve">(812) 838-3286</t>
  </si>
  <si>
    <t xml:space="preserve">IN0018</t>
  </si>
  <si>
    <t xml:space="preserve">Allen County Public Library</t>
  </si>
  <si>
    <t xml:space="preserve">Fort Wayne</t>
  </si>
  <si>
    <t xml:space="preserve">Allen</t>
  </si>
  <si>
    <t xml:space="preserve">(260) 421-1200</t>
  </si>
  <si>
    <t xml:space="preserve">IN0073</t>
  </si>
  <si>
    <t xml:space="preserve">Anderson Public Library</t>
  </si>
  <si>
    <t xml:space="preserve">Anderson</t>
  </si>
  <si>
    <t xml:space="preserve">(765) 641-2456</t>
  </si>
  <si>
    <t xml:space="preserve">IN0158</t>
  </si>
  <si>
    <t xml:space="preserve">Dearborn</t>
  </si>
  <si>
    <t xml:space="preserve">(812) 926-0646</t>
  </si>
  <si>
    <t xml:space="preserve">IN0221</t>
  </si>
  <si>
    <t xml:space="preserve">Avon-Washington Township Public Library</t>
  </si>
  <si>
    <t xml:space="preserve">Hendricks</t>
  </si>
  <si>
    <t xml:space="preserve">(317) 272-4818</t>
  </si>
  <si>
    <t xml:space="preserve">IN0204</t>
  </si>
  <si>
    <t xml:space="preserve">Bartholomew County Public Library</t>
  </si>
  <si>
    <t xml:space="preserve">Bartholomew</t>
  </si>
  <si>
    <t xml:space="preserve">(812) 379-1255</t>
  </si>
  <si>
    <t xml:space="preserve">IN0215</t>
  </si>
  <si>
    <t xml:space="preserve">Batesville Memorial Public Library</t>
  </si>
  <si>
    <t xml:space="preserve">Ripley</t>
  </si>
  <si>
    <t xml:space="preserve">(812) 934-4706</t>
  </si>
  <si>
    <t xml:space="preserve">IN0233</t>
  </si>
  <si>
    <t xml:space="preserve">Bedford Public Library</t>
  </si>
  <si>
    <t xml:space="preserve">Bedford</t>
  </si>
  <si>
    <t xml:space="preserve">(812) 275-4471</t>
  </si>
  <si>
    <t xml:space="preserve">IN0178</t>
  </si>
  <si>
    <t xml:space="preserve">Bloomfield-Eastern Greene County Public Library</t>
  </si>
  <si>
    <t xml:space="preserve">(812) 384-4125</t>
  </si>
  <si>
    <t xml:space="preserve">IN0177</t>
  </si>
  <si>
    <t xml:space="preserve">Boonville-Warrick County Public Library</t>
  </si>
  <si>
    <t xml:space="preserve">Boonville</t>
  </si>
  <si>
    <t xml:space="preserve">Warrick</t>
  </si>
  <si>
    <t xml:space="preserve">(812) 897-1500</t>
  </si>
  <si>
    <t xml:space="preserve">IN0023</t>
  </si>
  <si>
    <t xml:space="preserve">Brown County Public Library</t>
  </si>
  <si>
    <t xml:space="preserve">Nashville</t>
  </si>
  <si>
    <t xml:space="preserve">Brown</t>
  </si>
  <si>
    <t xml:space="preserve">(812) 988-2850</t>
  </si>
  <si>
    <t xml:space="preserve">IN0216</t>
  </si>
  <si>
    <t xml:space="preserve">Brownsburg Public Library</t>
  </si>
  <si>
    <t xml:space="preserve">Brownsburg</t>
  </si>
  <si>
    <t xml:space="preserve">(317) 852-3167</t>
  </si>
  <si>
    <t xml:space="preserve">IN0201</t>
  </si>
  <si>
    <t xml:space="preserve">Carmel Clay Public Library</t>
  </si>
  <si>
    <t xml:space="preserve">Carmel</t>
  </si>
  <si>
    <t xml:space="preserve">(317) 844-6711</t>
  </si>
  <si>
    <t xml:space="preserve">IN0195</t>
  </si>
  <si>
    <t xml:space="preserve">Carnegie Public Library Of Steuben County</t>
  </si>
  <si>
    <t xml:space="preserve">Angola</t>
  </si>
  <si>
    <t xml:space="preserve">Steuben</t>
  </si>
  <si>
    <t xml:space="preserve">(260) 665-3362</t>
  </si>
  <si>
    <t xml:space="preserve">IN0088</t>
  </si>
  <si>
    <t xml:space="preserve">Charlestown-Clark County Public Library</t>
  </si>
  <si>
    <t xml:space="preserve">Charlestown</t>
  </si>
  <si>
    <t xml:space="preserve">(812) 256-3337</t>
  </si>
  <si>
    <t xml:space="preserve">IN0217</t>
  </si>
  <si>
    <t xml:space="preserve">Crawford County Public Library</t>
  </si>
  <si>
    <t xml:space="preserve">English</t>
  </si>
  <si>
    <t xml:space="preserve">(812) 338-2606</t>
  </si>
  <si>
    <t xml:space="preserve">IN0219</t>
  </si>
  <si>
    <t xml:space="preserve">Crawfordsville District Public Library</t>
  </si>
  <si>
    <t xml:space="preserve">Crawforsdsville</t>
  </si>
  <si>
    <t xml:space="preserve">(765) 362-2242</t>
  </si>
  <si>
    <t xml:space="preserve">IN0109</t>
  </si>
  <si>
    <t xml:space="preserve">Crown Point Community Public Library</t>
  </si>
  <si>
    <t xml:space="preserve">Crown Point</t>
  </si>
  <si>
    <t xml:space="preserve">(219) 663-0270</t>
  </si>
  <si>
    <t xml:space="preserve">IN0031</t>
  </si>
  <si>
    <t xml:space="preserve">Danville-Center Township Public Library</t>
  </si>
  <si>
    <t xml:space="preserve">(317) 745-2604</t>
  </si>
  <si>
    <t xml:space="preserve">IN0202</t>
  </si>
  <si>
    <t xml:space="preserve">East Chicago Public Library</t>
  </si>
  <si>
    <t xml:space="preserve">East Chicago</t>
  </si>
  <si>
    <t xml:space="preserve">(219) 397-2453</t>
  </si>
  <si>
    <t xml:space="preserve">IN0027</t>
  </si>
  <si>
    <t xml:space="preserve">Eckhart Public Library</t>
  </si>
  <si>
    <t xml:space="preserve">(260) 925-2414</t>
  </si>
  <si>
    <t xml:space="preserve">IN0075</t>
  </si>
  <si>
    <t xml:space="preserve">Elkhart Public Library</t>
  </si>
  <si>
    <t xml:space="preserve">Elkhart</t>
  </si>
  <si>
    <t xml:space="preserve">(574) 522-3333</t>
  </si>
  <si>
    <t xml:space="preserve">IN0050</t>
  </si>
  <si>
    <t xml:space="preserve">Evansville-Vanderburgh Public Library</t>
  </si>
  <si>
    <t xml:space="preserve">Evansville</t>
  </si>
  <si>
    <t xml:space="preserve">Vanderburgh</t>
  </si>
  <si>
    <t xml:space="preserve">(812) 428-8200</t>
  </si>
  <si>
    <t xml:space="preserve">IN0020</t>
  </si>
  <si>
    <t xml:space="preserve">Fayette County Public Library</t>
  </si>
  <si>
    <t xml:space="preserve">Connersville</t>
  </si>
  <si>
    <t xml:space="preserve">(765) 827-0773</t>
  </si>
  <si>
    <t xml:space="preserve">IN0139</t>
  </si>
  <si>
    <t xml:space="preserve">Fortville-Vernon Township Public Library</t>
  </si>
  <si>
    <t xml:space="preserve">Fortville</t>
  </si>
  <si>
    <t xml:space="preserve">Hancock</t>
  </si>
  <si>
    <t xml:space="preserve">(317) 485-6402</t>
  </si>
  <si>
    <t xml:space="preserve">IN0198</t>
  </si>
  <si>
    <t xml:space="preserve">Frankfort Community Public Library-Clinton County Contractua</t>
  </si>
  <si>
    <t xml:space="preserve">(765) 654-8746</t>
  </si>
  <si>
    <t xml:space="preserve">IN0104</t>
  </si>
  <si>
    <t xml:space="preserve">Franklin County Public Library District</t>
  </si>
  <si>
    <t xml:space="preserve">Brookville</t>
  </si>
  <si>
    <t xml:space="preserve">(765) 647-4031</t>
  </si>
  <si>
    <t xml:space="preserve">IN0140</t>
  </si>
  <si>
    <t xml:space="preserve">Fulton County Public Library</t>
  </si>
  <si>
    <t xml:space="preserve">Rochester</t>
  </si>
  <si>
    <t xml:space="preserve">(574) 223-2713</t>
  </si>
  <si>
    <t xml:space="preserve">IN0126</t>
  </si>
  <si>
    <t xml:space="preserve">Gary Public Library</t>
  </si>
  <si>
    <t xml:space="preserve">Gary</t>
  </si>
  <si>
    <t xml:space="preserve">(219) 886-2484</t>
  </si>
  <si>
    <t xml:space="preserve">IN0028</t>
  </si>
  <si>
    <t xml:space="preserve">Goshen Public Library</t>
  </si>
  <si>
    <t xml:space="preserve">Goshen</t>
  </si>
  <si>
    <t xml:space="preserve">(574) 533-9531</t>
  </si>
  <si>
    <t xml:space="preserve">IN0054</t>
  </si>
  <si>
    <t xml:space="preserve">Greensburg-Decatur County Contractual Public Library</t>
  </si>
  <si>
    <t xml:space="preserve">Greensburg</t>
  </si>
  <si>
    <t xml:space="preserve">(812) 663-2826</t>
  </si>
  <si>
    <t xml:space="preserve">IN0244</t>
  </si>
  <si>
    <t xml:space="preserve">Greenwood Public Library</t>
  </si>
  <si>
    <t xml:space="preserve">(317) 881-1953</t>
  </si>
  <si>
    <t xml:space="preserve">IN0206</t>
  </si>
  <si>
    <t xml:space="preserve">Hamilton East Public Library</t>
  </si>
  <si>
    <t xml:space="preserve">Noblesville</t>
  </si>
  <si>
    <t xml:space="preserve">(317) 773-1384</t>
  </si>
  <si>
    <t xml:space="preserve">IN0197</t>
  </si>
  <si>
    <t xml:space="preserve">Hamilton North Public Library</t>
  </si>
  <si>
    <t xml:space="preserve">(317) 984-5623</t>
  </si>
  <si>
    <t xml:space="preserve">IN0196</t>
  </si>
  <si>
    <t xml:space="preserve">Hammond Public Library</t>
  </si>
  <si>
    <t xml:space="preserve">Hammond</t>
  </si>
  <si>
    <t xml:space="preserve">(219) 931-5100</t>
  </si>
  <si>
    <t xml:space="preserve">IN0029</t>
  </si>
  <si>
    <t xml:space="preserve">Hancock County Public Library</t>
  </si>
  <si>
    <t xml:space="preserve">Greenfield</t>
  </si>
  <si>
    <t xml:space="preserve">(317) 462-5141</t>
  </si>
  <si>
    <t xml:space="preserve">IN0199</t>
  </si>
  <si>
    <t xml:space="preserve">Harrison County Public Library</t>
  </si>
  <si>
    <t xml:space="preserve">Corydon</t>
  </si>
  <si>
    <t xml:space="preserve">(812) 738-4110</t>
  </si>
  <si>
    <t xml:space="preserve">IN0224</t>
  </si>
  <si>
    <t xml:space="preserve">Huntington City-Township Public Library</t>
  </si>
  <si>
    <t xml:space="preserve">Huntington</t>
  </si>
  <si>
    <t xml:space="preserve">(260) 356-0824</t>
  </si>
  <si>
    <t xml:space="preserve">IN0080</t>
  </si>
  <si>
    <t xml:space="preserve">Hussey-Mayfield Memorial Public Library</t>
  </si>
  <si>
    <t xml:space="preserve">Zionsville</t>
  </si>
  <si>
    <t xml:space="preserve">(317) 873-3149</t>
  </si>
  <si>
    <t xml:space="preserve">IN0243</t>
  </si>
  <si>
    <t xml:space="preserve">Indianapolis Public Library</t>
  </si>
  <si>
    <t xml:space="preserve">Indianapolis</t>
  </si>
  <si>
    <t xml:space="preserve">(317) 275-4012</t>
  </si>
  <si>
    <t xml:space="preserve">IN0210</t>
  </si>
  <si>
    <t xml:space="preserve">Jackson County Public Library</t>
  </si>
  <si>
    <t xml:space="preserve">(812) 522-3412</t>
  </si>
  <si>
    <t xml:space="preserve">IN0226</t>
  </si>
  <si>
    <t xml:space="preserve">Jasper County Public Library</t>
  </si>
  <si>
    <t xml:space="preserve">Rensselaer</t>
  </si>
  <si>
    <t xml:space="preserve">(219) 866-5881</t>
  </si>
  <si>
    <t xml:space="preserve">IN0025</t>
  </si>
  <si>
    <t xml:space="preserve">Jasper-Dubois County Contractual Public Library</t>
  </si>
  <si>
    <t xml:space="preserve">Dubois</t>
  </si>
  <si>
    <t xml:space="preserve">(812) 482-2712</t>
  </si>
  <si>
    <t xml:space="preserve">IN0003</t>
  </si>
  <si>
    <t xml:space="preserve">Jay County Public Library</t>
  </si>
  <si>
    <t xml:space="preserve">Portland</t>
  </si>
  <si>
    <t xml:space="preserve">Jay</t>
  </si>
  <si>
    <t xml:space="preserve">(260) 726-7890</t>
  </si>
  <si>
    <t xml:space="preserve">IN0155</t>
  </si>
  <si>
    <t xml:space="preserve">(812) 265-2744</t>
  </si>
  <si>
    <t xml:space="preserve">IN0227</t>
  </si>
  <si>
    <t xml:space="preserve">Jeffersonville Township Public Library</t>
  </si>
  <si>
    <t xml:space="preserve">Jeffersonville</t>
  </si>
  <si>
    <t xml:space="preserve">(812) 285-5630</t>
  </si>
  <si>
    <t xml:space="preserve">IN0218</t>
  </si>
  <si>
    <t xml:space="preserve">Jennings County Public Library</t>
  </si>
  <si>
    <t xml:space="preserve">North Vernon</t>
  </si>
  <si>
    <t xml:space="preserve">Jennings</t>
  </si>
  <si>
    <t xml:space="preserve">(812) 346-2091</t>
  </si>
  <si>
    <t xml:space="preserve">IN0228</t>
  </si>
  <si>
    <t xml:space="preserve">Johnson County Public Library</t>
  </si>
  <si>
    <t xml:space="preserve">(316) 738-9835</t>
  </si>
  <si>
    <t xml:space="preserve">IN0207</t>
  </si>
  <si>
    <t xml:space="preserve">Kendallville Public Library</t>
  </si>
  <si>
    <t xml:space="preserve">Kendallville</t>
  </si>
  <si>
    <t xml:space="preserve">Noble</t>
  </si>
  <si>
    <t xml:space="preserve">(260) 343-2010</t>
  </si>
  <si>
    <t xml:space="preserve">IN0086</t>
  </si>
  <si>
    <t xml:space="preserve">Knox County Public Library</t>
  </si>
  <si>
    <t xml:space="preserve">Vincennes</t>
  </si>
  <si>
    <t xml:space="preserve">(812) 886-4380</t>
  </si>
  <si>
    <t xml:space="preserve">IN0010</t>
  </si>
  <si>
    <t xml:space="preserve">Kokomo-Howard County Public Library</t>
  </si>
  <si>
    <t xml:space="preserve">Kokomo</t>
  </si>
  <si>
    <t xml:space="preserve">Howard</t>
  </si>
  <si>
    <t xml:space="preserve">(765) 457-3242</t>
  </si>
  <si>
    <t xml:space="preserve">IN0128</t>
  </si>
  <si>
    <t xml:space="preserve">La Grange County Public Library</t>
  </si>
  <si>
    <t xml:space="preserve">(260) 463-2841</t>
  </si>
  <si>
    <t xml:space="preserve">IN0083</t>
  </si>
  <si>
    <t xml:space="preserve">La Porte County Public Library</t>
  </si>
  <si>
    <t xml:space="preserve">La Porte</t>
  </si>
  <si>
    <t xml:space="preserve">(219) 362-6156</t>
  </si>
  <si>
    <t xml:space="preserve">IN0037</t>
  </si>
  <si>
    <t xml:space="preserve">Lake County Public Library</t>
  </si>
  <si>
    <t xml:space="preserve">Merrillville</t>
  </si>
  <si>
    <t xml:space="preserve">(219) 769-3541</t>
  </si>
  <si>
    <t xml:space="preserve">IN0030</t>
  </si>
  <si>
    <t xml:space="preserve">Lawrenceburg Public Library District</t>
  </si>
  <si>
    <t xml:space="preserve">Lawrenceburg</t>
  </si>
  <si>
    <t xml:space="preserve">(812) 537-2775</t>
  </si>
  <si>
    <t xml:space="preserve">IN0220</t>
  </si>
  <si>
    <t xml:space="preserve">Lebanon Public Library</t>
  </si>
  <si>
    <t xml:space="preserve">Lebanon</t>
  </si>
  <si>
    <t xml:space="preserve">(765) 482-3460</t>
  </si>
  <si>
    <t xml:space="preserve">IN0191</t>
  </si>
  <si>
    <t xml:space="preserve">Lincoln Heritage Public Library</t>
  </si>
  <si>
    <t xml:space="preserve">(812) 937-7170</t>
  </si>
  <si>
    <t xml:space="preserve">IN0239</t>
  </si>
  <si>
    <t xml:space="preserve">Logansport-Cass County Public Library</t>
  </si>
  <si>
    <t xml:space="preserve">Logansport</t>
  </si>
  <si>
    <t xml:space="preserve">Cass</t>
  </si>
  <si>
    <t xml:space="preserve">(574) 753-6383</t>
  </si>
  <si>
    <t xml:space="preserve">IN0123</t>
  </si>
  <si>
    <t xml:space="preserve">Lowell Public Library</t>
  </si>
  <si>
    <t xml:space="preserve">Lowell</t>
  </si>
  <si>
    <t xml:space="preserve">(219) 696-7704</t>
  </si>
  <si>
    <t xml:space="preserve">IN0241</t>
  </si>
  <si>
    <t xml:space="preserve">Grant</t>
  </si>
  <si>
    <t xml:space="preserve">(765) 668-2900</t>
  </si>
  <si>
    <t xml:space="preserve">IN0142</t>
  </si>
  <si>
    <t xml:space="preserve">Michigan City Public Library</t>
  </si>
  <si>
    <t xml:space="preserve">Michigan City</t>
  </si>
  <si>
    <t xml:space="preserve">Laporte</t>
  </si>
  <si>
    <t xml:space="preserve">(219) 873-3040</t>
  </si>
  <si>
    <t xml:space="preserve">IN0033</t>
  </si>
  <si>
    <t xml:space="preserve">Middlebury Community Public Library</t>
  </si>
  <si>
    <t xml:space="preserve">Middlebury</t>
  </si>
  <si>
    <t xml:space="preserve">(574) 825-5601</t>
  </si>
  <si>
    <t xml:space="preserve">IN0055</t>
  </si>
  <si>
    <t xml:space="preserve">Mishawaka-Penn-Harris Public Library</t>
  </si>
  <si>
    <t xml:space="preserve">Mishawaka</t>
  </si>
  <si>
    <t xml:space="preserve">St Joseph</t>
  </si>
  <si>
    <t xml:space="preserve">(574) 259-5277</t>
  </si>
  <si>
    <t xml:space="preserve">IN0069</t>
  </si>
  <si>
    <t xml:space="preserve">Mitchell Community Public Library</t>
  </si>
  <si>
    <t xml:space="preserve">(812) 849-2412</t>
  </si>
  <si>
    <t xml:space="preserve">IN0179</t>
  </si>
  <si>
    <t xml:space="preserve">(812) 349-3050</t>
  </si>
  <si>
    <t xml:space="preserve">IN0180</t>
  </si>
  <si>
    <t xml:space="preserve">Monticello-Union Township Public Library</t>
  </si>
  <si>
    <t xml:space="preserve">(574) 583-2665</t>
  </si>
  <si>
    <t xml:space="preserve">IN0121</t>
  </si>
  <si>
    <t xml:space="preserve">Mooresville Public Library</t>
  </si>
  <si>
    <t xml:space="preserve">Mooresville</t>
  </si>
  <si>
    <t xml:space="preserve">(317) 831-7323</t>
  </si>
  <si>
    <t xml:space="preserve">IN0213</t>
  </si>
  <si>
    <t xml:space="preserve">Morgan County Public Library</t>
  </si>
  <si>
    <t xml:space="preserve">Martinsville</t>
  </si>
  <si>
    <t xml:space="preserve">(765) 342-3451</t>
  </si>
  <si>
    <t xml:space="preserve">IN0212</t>
  </si>
  <si>
    <t xml:space="preserve">Morrisson-Reeves Library</t>
  </si>
  <si>
    <t xml:space="preserve">(765) 966-8291</t>
  </si>
  <si>
    <t xml:space="preserve">IN0171</t>
  </si>
  <si>
    <t xml:space="preserve">Muncie-Center Township Public Library</t>
  </si>
  <si>
    <t xml:space="preserve">Muncie</t>
  </si>
  <si>
    <t xml:space="preserve">(765) 747-8201</t>
  </si>
  <si>
    <t xml:space="preserve">IN0138</t>
  </si>
  <si>
    <t xml:space="preserve">Nappanee Public Library</t>
  </si>
  <si>
    <t xml:space="preserve">Nappanee</t>
  </si>
  <si>
    <t xml:space="preserve">(574) 773-7919</t>
  </si>
  <si>
    <t xml:space="preserve">IN0052</t>
  </si>
  <si>
    <t xml:space="preserve">New Albany-Floyd County Public Library</t>
  </si>
  <si>
    <t xml:space="preserve">New Albany</t>
  </si>
  <si>
    <t xml:space="preserve">(812) 944-8464</t>
  </si>
  <si>
    <t xml:space="preserve">IN0223</t>
  </si>
  <si>
    <t xml:space="preserve">New Castle-Henry County Public Library</t>
  </si>
  <si>
    <t xml:space="preserve">(765) 529-0362</t>
  </si>
  <si>
    <t xml:space="preserve">IN0150</t>
  </si>
  <si>
    <t xml:space="preserve">Newburgh Chandler Public Library</t>
  </si>
  <si>
    <t xml:space="preserve">Newburgh</t>
  </si>
  <si>
    <t xml:space="preserve">(812) 853-5468</t>
  </si>
  <si>
    <t xml:space="preserve">IN0022</t>
  </si>
  <si>
    <t xml:space="preserve">Noble County Public Library</t>
  </si>
  <si>
    <t xml:space="preserve">Albion</t>
  </si>
  <si>
    <t xml:space="preserve">(260) 636-7197</t>
  </si>
  <si>
    <t xml:space="preserve">IN0085</t>
  </si>
  <si>
    <t xml:space="preserve">North Madison County Public Library System</t>
  </si>
  <si>
    <t xml:space="preserve">Elwood</t>
  </si>
  <si>
    <t xml:space="preserve">(765) 552-5001</t>
  </si>
  <si>
    <t xml:space="preserve">IN0156</t>
  </si>
  <si>
    <t xml:space="preserve">Osgood Public Library</t>
  </si>
  <si>
    <t xml:space="preserve">Osgood</t>
  </si>
  <si>
    <t xml:space="preserve">(812) 689-4011</t>
  </si>
  <si>
    <t xml:space="preserve">IN0234</t>
  </si>
  <si>
    <t xml:space="preserve">Owen County Public Library</t>
  </si>
  <si>
    <t xml:space="preserve">Owen</t>
  </si>
  <si>
    <t xml:space="preserve">(812) 829-3392</t>
  </si>
  <si>
    <t xml:space="preserve">IN0181</t>
  </si>
  <si>
    <t xml:space="preserve">Parke County Public Library</t>
  </si>
  <si>
    <t xml:space="preserve">Rockville</t>
  </si>
  <si>
    <t xml:space="preserve">Parke</t>
  </si>
  <si>
    <t xml:space="preserve">(765) 569-5544</t>
  </si>
  <si>
    <t xml:space="preserve">IN0183</t>
  </si>
  <si>
    <t xml:space="preserve">Peabody Public Library</t>
  </si>
  <si>
    <t xml:space="preserve">Columbia City</t>
  </si>
  <si>
    <t xml:space="preserve">Whitley</t>
  </si>
  <si>
    <t xml:space="preserve">(260) 244-5541</t>
  </si>
  <si>
    <t xml:space="preserve">IN0092</t>
  </si>
  <si>
    <t xml:space="preserve">Pendleton Community Public Library</t>
  </si>
  <si>
    <t xml:space="preserve">Pendleton</t>
  </si>
  <si>
    <t xml:space="preserve">(765) 778-7527</t>
  </si>
  <si>
    <t xml:space="preserve">IN0159</t>
  </si>
  <si>
    <t xml:space="preserve">Perry County Public Library</t>
  </si>
  <si>
    <t xml:space="preserve">Tell City</t>
  </si>
  <si>
    <t xml:space="preserve">(812) 547-2661</t>
  </si>
  <si>
    <t xml:space="preserve">IN0013</t>
  </si>
  <si>
    <t xml:space="preserve">Peru Public Library</t>
  </si>
  <si>
    <t xml:space="preserve">Peru</t>
  </si>
  <si>
    <t xml:space="preserve">(765) 473-3069</t>
  </si>
  <si>
    <t xml:space="preserve">IN0130</t>
  </si>
  <si>
    <t xml:space="preserve">Pike County Public Library</t>
  </si>
  <si>
    <t xml:space="preserve">Petersburg</t>
  </si>
  <si>
    <t xml:space="preserve">(812) 354-6257</t>
  </si>
  <si>
    <t xml:space="preserve">IN0015</t>
  </si>
  <si>
    <t xml:space="preserve">Plainfield-Guilford Township Public Library</t>
  </si>
  <si>
    <t xml:space="preserve">(317) 839-6602</t>
  </si>
  <si>
    <t xml:space="preserve">IN0205</t>
  </si>
  <si>
    <t xml:space="preserve">Plymouth Public Library</t>
  </si>
  <si>
    <t xml:space="preserve">(574) 936-2324</t>
  </si>
  <si>
    <t xml:space="preserve">IN0062</t>
  </si>
  <si>
    <t xml:space="preserve">Porter County Public Library System</t>
  </si>
  <si>
    <t xml:space="preserve">Valparaiso</t>
  </si>
  <si>
    <t xml:space="preserve">Porter</t>
  </si>
  <si>
    <t xml:space="preserve">(219) 462-0524</t>
  </si>
  <si>
    <t xml:space="preserve">IN0043</t>
  </si>
  <si>
    <t xml:space="preserve">Princeton Public Library</t>
  </si>
  <si>
    <t xml:space="preserve">Princeton</t>
  </si>
  <si>
    <t xml:space="preserve">Gibson</t>
  </si>
  <si>
    <t xml:space="preserve">(812) 385-4464</t>
  </si>
  <si>
    <t xml:space="preserve">IN0006</t>
  </si>
  <si>
    <t xml:space="preserve">Putnam County Public Library</t>
  </si>
  <si>
    <t xml:space="preserve">Greencastle</t>
  </si>
  <si>
    <t xml:space="preserve">Putnam</t>
  </si>
  <si>
    <t xml:space="preserve">(765) 653-2755</t>
  </si>
  <si>
    <t xml:space="preserve">IN0184</t>
  </si>
  <si>
    <t xml:space="preserve">Rushville Public Library</t>
  </si>
  <si>
    <t xml:space="preserve">Rushville</t>
  </si>
  <si>
    <t xml:space="preserve">Rush</t>
  </si>
  <si>
    <t xml:space="preserve">(765) 932-3496</t>
  </si>
  <si>
    <t xml:space="preserve">IN0166</t>
  </si>
  <si>
    <t xml:space="preserve">Salem-Washington Township Public Library</t>
  </si>
  <si>
    <t xml:space="preserve">Salem</t>
  </si>
  <si>
    <t xml:space="preserve">(812) 883-5600</t>
  </si>
  <si>
    <t xml:space="preserve">IN0238</t>
  </si>
  <si>
    <t xml:space="preserve">Scott County Public Library</t>
  </si>
  <si>
    <t xml:space="preserve">Scottsburg</t>
  </si>
  <si>
    <t xml:space="preserve">(812) 752-2751</t>
  </si>
  <si>
    <t xml:space="preserve">IN0236</t>
  </si>
  <si>
    <t xml:space="preserve">Shelby County Public Library</t>
  </si>
  <si>
    <t xml:space="preserve">Shelbyville</t>
  </si>
  <si>
    <t xml:space="preserve">(317) 398-7121</t>
  </si>
  <si>
    <t xml:space="preserve">IN0214</t>
  </si>
  <si>
    <t xml:space="preserve">Speedway Public Library</t>
  </si>
  <si>
    <t xml:space="preserve">Speedway</t>
  </si>
  <si>
    <t xml:space="preserve">(317) 243-8959</t>
  </si>
  <si>
    <t xml:space="preserve">IN0209</t>
  </si>
  <si>
    <t xml:space="preserve">St Joseph County Public Library</t>
  </si>
  <si>
    <t xml:space="preserve">South Bend</t>
  </si>
  <si>
    <t xml:space="preserve">(574) 282-4646</t>
  </si>
  <si>
    <t xml:space="preserve">IN0068</t>
  </si>
  <si>
    <t xml:space="preserve">Starke County Public Library System</t>
  </si>
  <si>
    <t xml:space="preserve">Starke</t>
  </si>
  <si>
    <t xml:space="preserve">(574) 772-7323</t>
  </si>
  <si>
    <t xml:space="preserve">IN0049</t>
  </si>
  <si>
    <t xml:space="preserve">Sullivan County Public Library</t>
  </si>
  <si>
    <t xml:space="preserve">Sullivan</t>
  </si>
  <si>
    <t xml:space="preserve">(812) 268-4957</t>
  </si>
  <si>
    <t xml:space="preserve">IN0186</t>
  </si>
  <si>
    <t xml:space="preserve">Tippecanoe County Public Library</t>
  </si>
  <si>
    <t xml:space="preserve">Tippecanoe</t>
  </si>
  <si>
    <t xml:space="preserve">(765) 429-0100</t>
  </si>
  <si>
    <t xml:space="preserve">IN0115</t>
  </si>
  <si>
    <t xml:space="preserve">Tipton County Public Library</t>
  </si>
  <si>
    <t xml:space="preserve">Tipton</t>
  </si>
  <si>
    <t xml:space="preserve">(765) 675-8761</t>
  </si>
  <si>
    <t xml:space="preserve">IN0132</t>
  </si>
  <si>
    <t xml:space="preserve">Vigo County Public Library</t>
  </si>
  <si>
    <t xml:space="preserve">Terre Haute</t>
  </si>
  <si>
    <t xml:space="preserve">Vigo</t>
  </si>
  <si>
    <t xml:space="preserve">(812) 232-1113</t>
  </si>
  <si>
    <t xml:space="preserve">IN0189</t>
  </si>
  <si>
    <t xml:space="preserve">Wabash Carnegie Public Library</t>
  </si>
  <si>
    <t xml:space="preserve">Wabash</t>
  </si>
  <si>
    <t xml:space="preserve">(260) 563-2972</t>
  </si>
  <si>
    <t xml:space="preserve">IN0135</t>
  </si>
  <si>
    <t xml:space="preserve">Warsaw Community Public Library</t>
  </si>
  <si>
    <t xml:space="preserve">Warsaw</t>
  </si>
  <si>
    <t xml:space="preserve">Kosciusko</t>
  </si>
  <si>
    <t xml:space="preserve">(574) 267-6011</t>
  </si>
  <si>
    <t xml:space="preserve">IN0057</t>
  </si>
  <si>
    <t xml:space="preserve">Washington Carnegie Public Library</t>
  </si>
  <si>
    <t xml:space="preserve">Daviess</t>
  </si>
  <si>
    <t xml:space="preserve">(812) 254-4586</t>
  </si>
  <si>
    <t xml:space="preserve">IN0001</t>
  </si>
  <si>
    <t xml:space="preserve">Wells County Public Library</t>
  </si>
  <si>
    <t xml:space="preserve">Bluffton</t>
  </si>
  <si>
    <t xml:space="preserve">Wells</t>
  </si>
  <si>
    <t xml:space="preserve">(260) 824-1612</t>
  </si>
  <si>
    <t xml:space="preserve">IN0090</t>
  </si>
  <si>
    <t xml:space="preserve">West Lafayette Public Library</t>
  </si>
  <si>
    <t xml:space="preserve">West Lafayette</t>
  </si>
  <si>
    <t xml:space="preserve">(765) 743-2261</t>
  </si>
  <si>
    <t xml:space="preserve">IN0114</t>
  </si>
  <si>
    <t xml:space="preserve">Chesterton</t>
  </si>
  <si>
    <t xml:space="preserve">(219) 926-7696</t>
  </si>
  <si>
    <t xml:space="preserve">IN0044</t>
  </si>
  <si>
    <t xml:space="preserve">Westfield-Washington Public Library</t>
  </si>
  <si>
    <t xml:space="preserve">Westfield</t>
  </si>
  <si>
    <t xml:space="preserve">(317) 896-9391</t>
  </si>
  <si>
    <t xml:space="preserve">IN0194</t>
  </si>
  <si>
    <t xml:space="preserve">Willard Library Of Evansville</t>
  </si>
  <si>
    <t xml:space="preserve">(812) 425-4309</t>
  </si>
  <si>
    <t xml:space="preserve">IN0021</t>
  </si>
  <si>
    <t xml:space="preserve">Yorktown Public Library</t>
  </si>
  <si>
    <t xml:space="preserve">Yorktown</t>
  </si>
  <si>
    <t xml:space="preserve">(765) 759-9723</t>
  </si>
  <si>
    <t xml:space="preserve">IN8007</t>
  </si>
  <si>
    <t xml:space="preserve">KS</t>
  </si>
  <si>
    <t xml:space="preserve">Andover Public Library</t>
  </si>
  <si>
    <t xml:space="preserve">Andover</t>
  </si>
  <si>
    <t xml:space="preserve">(316) 558-3500</t>
  </si>
  <si>
    <t xml:space="preserve">KS0210</t>
  </si>
  <si>
    <t xml:space="preserve">Arkansas City Public Library</t>
  </si>
  <si>
    <t xml:space="preserve">Arkansas City</t>
  </si>
  <si>
    <t xml:space="preserve">Cowley</t>
  </si>
  <si>
    <t xml:space="preserve">(620) 442-1280</t>
  </si>
  <si>
    <t xml:space="preserve">KS0223</t>
  </si>
  <si>
    <t xml:space="preserve">Atchison Library</t>
  </si>
  <si>
    <t xml:space="preserve">Atchison</t>
  </si>
  <si>
    <t xml:space="preserve">(913) 367-1902</t>
  </si>
  <si>
    <t xml:space="preserve">KS0128</t>
  </si>
  <si>
    <t xml:space="preserve">Basehor Community Library, Dist #2, Lv. Co.</t>
  </si>
  <si>
    <t xml:space="preserve">Basehor</t>
  </si>
  <si>
    <t xml:space="preserve">Leavenworth</t>
  </si>
  <si>
    <t xml:space="preserve">(913) 724-2828</t>
  </si>
  <si>
    <t xml:space="preserve">KS0119</t>
  </si>
  <si>
    <t xml:space="preserve">Bradford Memorial Library</t>
  </si>
  <si>
    <t xml:space="preserve">(316) 321-3363</t>
  </si>
  <si>
    <t xml:space="preserve">KS0219</t>
  </si>
  <si>
    <t xml:space="preserve">Sedgwick</t>
  </si>
  <si>
    <t xml:space="preserve">(316) 788-0760</t>
  </si>
  <si>
    <t xml:space="preserve">KS0222</t>
  </si>
  <si>
    <t xml:space="preserve">Dodge City Public Library</t>
  </si>
  <si>
    <t xml:space="preserve">Dodge City</t>
  </si>
  <si>
    <t xml:space="preserve">Ford</t>
  </si>
  <si>
    <t xml:space="preserve">(620) 225-0248</t>
  </si>
  <si>
    <t xml:space="preserve">KS0316</t>
  </si>
  <si>
    <t xml:space="preserve">Dorothy Bramlage Public Library</t>
  </si>
  <si>
    <t xml:space="preserve">Junction City</t>
  </si>
  <si>
    <t xml:space="preserve">Geary</t>
  </si>
  <si>
    <t xml:space="preserve">(785) 238-4311</t>
  </si>
  <si>
    <t xml:space="preserve">KS0089</t>
  </si>
  <si>
    <t xml:space="preserve">Emporia Public Library</t>
  </si>
  <si>
    <t xml:space="preserve">Emporia</t>
  </si>
  <si>
    <t xml:space="preserve">Lyon</t>
  </si>
  <si>
    <t xml:space="preserve">(620) 340-6462</t>
  </si>
  <si>
    <t xml:space="preserve">KS0090</t>
  </si>
  <si>
    <t xml:space="preserve">Finney County Public Library</t>
  </si>
  <si>
    <t xml:space="preserve">Finney</t>
  </si>
  <si>
    <t xml:space="preserve">(620) 272-3680</t>
  </si>
  <si>
    <t xml:space="preserve">KS0317</t>
  </si>
  <si>
    <t xml:space="preserve">Great Bend Public Library</t>
  </si>
  <si>
    <t xml:space="preserve">Great Bend</t>
  </si>
  <si>
    <t xml:space="preserve">Barton</t>
  </si>
  <si>
    <t xml:space="preserve">(620) 792-2409</t>
  </si>
  <si>
    <t xml:space="preserve">KS0052</t>
  </si>
  <si>
    <t xml:space="preserve">Hays Public Library</t>
  </si>
  <si>
    <t xml:space="preserve">Hays</t>
  </si>
  <si>
    <t xml:space="preserve">Ellis</t>
  </si>
  <si>
    <t xml:space="preserve">(785) 625-9014</t>
  </si>
  <si>
    <t xml:space="preserve">KS0053</t>
  </si>
  <si>
    <t xml:space="preserve">Haysville Community Library</t>
  </si>
  <si>
    <t xml:space="preserve">Haysville</t>
  </si>
  <si>
    <t xml:space="preserve">(316) 524-5242</t>
  </si>
  <si>
    <t xml:space="preserve">KS0217</t>
  </si>
  <si>
    <t xml:space="preserve">Hutchinson Public Library</t>
  </si>
  <si>
    <t xml:space="preserve">Hutchinson</t>
  </si>
  <si>
    <t xml:space="preserve">Reno</t>
  </si>
  <si>
    <t xml:space="preserve">(620) 663-5441</t>
  </si>
  <si>
    <t xml:space="preserve">KS0225</t>
  </si>
  <si>
    <t xml:space="preserve">(620) 331-3030</t>
  </si>
  <si>
    <t xml:space="preserve">KS0276</t>
  </si>
  <si>
    <t xml:space="preserve">Johnson County Library</t>
  </si>
  <si>
    <t xml:space="preserve">Overland Park</t>
  </si>
  <si>
    <t xml:space="preserve">(913) 826-4600</t>
  </si>
  <si>
    <t xml:space="preserve">KS0134</t>
  </si>
  <si>
    <t xml:space="preserve">Kansas City, Kansas Public Library</t>
  </si>
  <si>
    <t xml:space="preserve">Kansas City</t>
  </si>
  <si>
    <t xml:space="preserve">Wyandotte</t>
  </si>
  <si>
    <t xml:space="preserve">(913) 295-8250</t>
  </si>
  <si>
    <t xml:space="preserve">KS0133</t>
  </si>
  <si>
    <t xml:space="preserve">Lansing Community Library</t>
  </si>
  <si>
    <t xml:space="preserve">(913) 727-2929</t>
  </si>
  <si>
    <t xml:space="preserve">KS8008</t>
  </si>
  <si>
    <t xml:space="preserve">Lawrence Public Library</t>
  </si>
  <si>
    <t xml:space="preserve">(785) 843-3833</t>
  </si>
  <si>
    <t xml:space="preserve">KS0131</t>
  </si>
  <si>
    <t xml:space="preserve">Leavenworth Public Library</t>
  </si>
  <si>
    <t xml:space="preserve">(913) 682-5666</t>
  </si>
  <si>
    <t xml:space="preserve">KS0129</t>
  </si>
  <si>
    <t xml:space="preserve">Liberal Memorial Library</t>
  </si>
  <si>
    <t xml:space="preserve">Liberal</t>
  </si>
  <si>
    <t xml:space="preserve">Seward</t>
  </si>
  <si>
    <t xml:space="preserve">(620) 626-0180</t>
  </si>
  <si>
    <t xml:space="preserve">KS0315</t>
  </si>
  <si>
    <t xml:space="preserve">Manhattan Public Library</t>
  </si>
  <si>
    <t xml:space="preserve">Riley</t>
  </si>
  <si>
    <t xml:space="preserve">(785) 776-4741</t>
  </si>
  <si>
    <t xml:space="preserve">KS0091</t>
  </si>
  <si>
    <t xml:space="preserve">Mcpherson Public Library</t>
  </si>
  <si>
    <t xml:space="preserve">Mcpherson</t>
  </si>
  <si>
    <t xml:space="preserve">(620) 245-2570</t>
  </si>
  <si>
    <t xml:space="preserve">KS0221</t>
  </si>
  <si>
    <t xml:space="preserve">(316) 283-2890</t>
  </si>
  <si>
    <t xml:space="preserve">KS0224</t>
  </si>
  <si>
    <t xml:space="preserve">Olathe Public Library</t>
  </si>
  <si>
    <t xml:space="preserve">Olathe</t>
  </si>
  <si>
    <t xml:space="preserve">(913) 971-6850</t>
  </si>
  <si>
    <t xml:space="preserve">KS0130</t>
  </si>
  <si>
    <t xml:space="preserve">Ottawa Library</t>
  </si>
  <si>
    <t xml:space="preserve">(785) 242-3080</t>
  </si>
  <si>
    <t xml:space="preserve">KS0127</t>
  </si>
  <si>
    <t xml:space="preserve">Pittsburg Public Library</t>
  </si>
  <si>
    <t xml:space="preserve">Pittsburg</t>
  </si>
  <si>
    <t xml:space="preserve">(620) 231-8110</t>
  </si>
  <si>
    <t xml:space="preserve">KS0279</t>
  </si>
  <si>
    <t xml:space="preserve">Pottawatomie Wabaunsee Regional Library</t>
  </si>
  <si>
    <t xml:space="preserve">St. Marys</t>
  </si>
  <si>
    <t xml:space="preserve">Pottawatomie</t>
  </si>
  <si>
    <t xml:space="preserve">(785) 437-2778</t>
  </si>
  <si>
    <t xml:space="preserve">KS0088</t>
  </si>
  <si>
    <t xml:space="preserve">Salina Public Library</t>
  </si>
  <si>
    <t xml:space="preserve">Salina</t>
  </si>
  <si>
    <t xml:space="preserve">(785) 825-4624</t>
  </si>
  <si>
    <t xml:space="preserve">KS0054</t>
  </si>
  <si>
    <t xml:space="preserve">Topeka And Shawnee County Public Library</t>
  </si>
  <si>
    <t xml:space="preserve">Topeka</t>
  </si>
  <si>
    <t xml:space="preserve">Shawnee</t>
  </si>
  <si>
    <t xml:space="preserve">(785) 580-4400</t>
  </si>
  <si>
    <t xml:space="preserve">KS0132</t>
  </si>
  <si>
    <t xml:space="preserve">Wichita Public Library</t>
  </si>
  <si>
    <t xml:space="preserve">Wichita</t>
  </si>
  <si>
    <t xml:space="preserve">(316) 261-8500</t>
  </si>
  <si>
    <t xml:space="preserve">KS0226</t>
  </si>
  <si>
    <t xml:space="preserve">Winfield Public Library</t>
  </si>
  <si>
    <t xml:space="preserve">Winfield</t>
  </si>
  <si>
    <t xml:space="preserve">(620) 221-4470</t>
  </si>
  <si>
    <t xml:space="preserve">KS0220</t>
  </si>
  <si>
    <t xml:space="preserve">KY</t>
  </si>
  <si>
    <t xml:space="preserve">Adair County Public Library</t>
  </si>
  <si>
    <t xml:space="preserve">Adair</t>
  </si>
  <si>
    <t xml:space="preserve">(270) 384-2472</t>
  </si>
  <si>
    <t xml:space="preserve">KY0001</t>
  </si>
  <si>
    <t xml:space="preserve">Scottsville</t>
  </si>
  <si>
    <t xml:space="preserve">(270) 237-3861</t>
  </si>
  <si>
    <t xml:space="preserve">KY0002</t>
  </si>
  <si>
    <t xml:space="preserve">Anderson County Public Library</t>
  </si>
  <si>
    <t xml:space="preserve">(502) 839-6420</t>
  </si>
  <si>
    <t xml:space="preserve">KY0003</t>
  </si>
  <si>
    <t xml:space="preserve">Ballard/Carlisle Public Library</t>
  </si>
  <si>
    <t xml:space="preserve">Wickliffe</t>
  </si>
  <si>
    <t xml:space="preserve">Ballard</t>
  </si>
  <si>
    <t xml:space="preserve">(270) 335-5059</t>
  </si>
  <si>
    <t xml:space="preserve">KY0117</t>
  </si>
  <si>
    <t xml:space="preserve">Bath County Memorial Library</t>
  </si>
  <si>
    <t xml:space="preserve">Owingsville</t>
  </si>
  <si>
    <t xml:space="preserve">Bath</t>
  </si>
  <si>
    <t xml:space="preserve">(606) 674-2531</t>
  </si>
  <si>
    <t xml:space="preserve">KY0006</t>
  </si>
  <si>
    <t xml:space="preserve">Bell County Public Library System</t>
  </si>
  <si>
    <t xml:space="preserve">Middlesboro</t>
  </si>
  <si>
    <t xml:space="preserve">Bell</t>
  </si>
  <si>
    <t xml:space="preserve">(606) 248-4812</t>
  </si>
  <si>
    <t xml:space="preserve">KY0007</t>
  </si>
  <si>
    <t xml:space="preserve">Boone County Public Library District</t>
  </si>
  <si>
    <t xml:space="preserve">(859) 342-2665</t>
  </si>
  <si>
    <t xml:space="preserve">KY0008</t>
  </si>
  <si>
    <t xml:space="preserve">Boyd County Public Library</t>
  </si>
  <si>
    <t xml:space="preserve">Ashland</t>
  </si>
  <si>
    <t xml:space="preserve">Boyd</t>
  </si>
  <si>
    <t xml:space="preserve">(606) 329-0090</t>
  </si>
  <si>
    <t xml:space="preserve">KY0010</t>
  </si>
  <si>
    <t xml:space="preserve">Boyle County Public Library</t>
  </si>
  <si>
    <t xml:space="preserve">Boyle</t>
  </si>
  <si>
    <t xml:space="preserve">(859) 238-7323</t>
  </si>
  <si>
    <t xml:space="preserve">KY0011</t>
  </si>
  <si>
    <t xml:space="preserve">Breathitt County Public Library</t>
  </si>
  <si>
    <t xml:space="preserve">Breathitt</t>
  </si>
  <si>
    <t xml:space="preserve">(606) 666-5541</t>
  </si>
  <si>
    <t xml:space="preserve">KY0012</t>
  </si>
  <si>
    <t xml:space="preserve">Breckinridge County Public Library</t>
  </si>
  <si>
    <t xml:space="preserve">Hardinsburg</t>
  </si>
  <si>
    <t xml:space="preserve">Breckinridge</t>
  </si>
  <si>
    <t xml:space="preserve">(270) 756-2323</t>
  </si>
  <si>
    <t xml:space="preserve">KY0013</t>
  </si>
  <si>
    <t xml:space="preserve">Bullitt County Library District</t>
  </si>
  <si>
    <t xml:space="preserve">Shepherdsville</t>
  </si>
  <si>
    <t xml:space="preserve">Bullitt</t>
  </si>
  <si>
    <t xml:space="preserve">(502) 543-7675</t>
  </si>
  <si>
    <t xml:space="preserve">KY0014</t>
  </si>
  <si>
    <t xml:space="preserve">Butler County Public Library</t>
  </si>
  <si>
    <t xml:space="preserve">Morgantown</t>
  </si>
  <si>
    <t xml:space="preserve">(270) 526-4722</t>
  </si>
  <si>
    <t xml:space="preserve">KY0015</t>
  </si>
  <si>
    <t xml:space="preserve">Calloway County Public Library</t>
  </si>
  <si>
    <t xml:space="preserve">Murray</t>
  </si>
  <si>
    <t xml:space="preserve">Calloway</t>
  </si>
  <si>
    <t xml:space="preserve">(270) 753-2288</t>
  </si>
  <si>
    <t xml:space="preserve">KY0017</t>
  </si>
  <si>
    <t xml:space="preserve">Campbell County Public Library District</t>
  </si>
  <si>
    <t xml:space="preserve">Cold Spring</t>
  </si>
  <si>
    <t xml:space="preserve">(859) 781-6166</t>
  </si>
  <si>
    <t xml:space="preserve">KY0018</t>
  </si>
  <si>
    <t xml:space="preserve">Carroll County Public Library District</t>
  </si>
  <si>
    <t xml:space="preserve">(502) 732-7020</t>
  </si>
  <si>
    <t xml:space="preserve">KY0019</t>
  </si>
  <si>
    <t xml:space="preserve">Carter County Public Library</t>
  </si>
  <si>
    <t xml:space="preserve">Olive Hill</t>
  </si>
  <si>
    <t xml:space="preserve">Carter</t>
  </si>
  <si>
    <t xml:space="preserve">(606) 286-8070</t>
  </si>
  <si>
    <t xml:space="preserve">KY0803</t>
  </si>
  <si>
    <t xml:space="preserve">Casey County Public Library</t>
  </si>
  <si>
    <t xml:space="preserve">Liberty</t>
  </si>
  <si>
    <t xml:space="preserve">Casey</t>
  </si>
  <si>
    <t xml:space="preserve">(606) 787-9381</t>
  </si>
  <si>
    <t xml:space="preserve">KY0020</t>
  </si>
  <si>
    <t xml:space="preserve">Clark County Public Library</t>
  </si>
  <si>
    <t xml:space="preserve">(859) 744-5661</t>
  </si>
  <si>
    <t xml:space="preserve">KY0022</t>
  </si>
  <si>
    <t xml:space="preserve">Clay County Public Library</t>
  </si>
  <si>
    <t xml:space="preserve">(606) 598-2617</t>
  </si>
  <si>
    <t xml:space="preserve">KY0023</t>
  </si>
  <si>
    <t xml:space="preserve">Clinton County Public Library</t>
  </si>
  <si>
    <t xml:space="preserve">(606) 387-5989</t>
  </si>
  <si>
    <t xml:space="preserve">KY0024</t>
  </si>
  <si>
    <t xml:space="preserve">Cynthiana-Harrison County Public Library</t>
  </si>
  <si>
    <t xml:space="preserve">Cynthiana</t>
  </si>
  <si>
    <t xml:space="preserve">(859) 234-4881</t>
  </si>
  <si>
    <t xml:space="preserve">KY0046</t>
  </si>
  <si>
    <t xml:space="preserve">Daviess County Public Library District</t>
  </si>
  <si>
    <t xml:space="preserve">Owensboro</t>
  </si>
  <si>
    <t xml:space="preserve">(270) 684-0211</t>
  </si>
  <si>
    <t xml:space="preserve">KY0027</t>
  </si>
  <si>
    <t xml:space="preserve">Edmonson County Public Library</t>
  </si>
  <si>
    <t xml:space="preserve">Brownsville</t>
  </si>
  <si>
    <t xml:space="preserve">Edmonson</t>
  </si>
  <si>
    <t xml:space="preserve">(270) 597-2146</t>
  </si>
  <si>
    <t xml:space="preserve">KY0028</t>
  </si>
  <si>
    <t xml:space="preserve">Estill County Public Library</t>
  </si>
  <si>
    <t xml:space="preserve">Irvine</t>
  </si>
  <si>
    <t xml:space="preserve">Estill</t>
  </si>
  <si>
    <t xml:space="preserve">(606) 723-3030</t>
  </si>
  <si>
    <t xml:space="preserve">KY0030</t>
  </si>
  <si>
    <t xml:space="preserve">Fleming County Public Library</t>
  </si>
  <si>
    <t xml:space="preserve">Flemingsburg</t>
  </si>
  <si>
    <t xml:space="preserve">Fleming</t>
  </si>
  <si>
    <t xml:space="preserve">(606) 845-7851</t>
  </si>
  <si>
    <t xml:space="preserve">KY0032</t>
  </si>
  <si>
    <t xml:space="preserve">Floyd County Library</t>
  </si>
  <si>
    <t xml:space="preserve">Prestonsburg</t>
  </si>
  <si>
    <t xml:space="preserve">(606) 886-2981</t>
  </si>
  <si>
    <t xml:space="preserve">KY0033</t>
  </si>
  <si>
    <t xml:space="preserve">Franklin County District Public Library</t>
  </si>
  <si>
    <t xml:space="preserve">(502) 352-2665</t>
  </si>
  <si>
    <t xml:space="preserve">KY0034</t>
  </si>
  <si>
    <t xml:space="preserve">Garrard County Public Library</t>
  </si>
  <si>
    <t xml:space="preserve">Lancaster</t>
  </si>
  <si>
    <t xml:space="preserve">Garrard</t>
  </si>
  <si>
    <t xml:space="preserve">(859) 792-3424</t>
  </si>
  <si>
    <t xml:space="preserve">KY0037</t>
  </si>
  <si>
    <t xml:space="preserve">George Coon Public Library</t>
  </si>
  <si>
    <t xml:space="preserve">(270) 365-2884</t>
  </si>
  <si>
    <t xml:space="preserve">KY0016</t>
  </si>
  <si>
    <t xml:space="preserve">Goodnight Memorial Library</t>
  </si>
  <si>
    <t xml:space="preserve">Simpson</t>
  </si>
  <si>
    <t xml:space="preserve">(270) 586-8397</t>
  </si>
  <si>
    <t xml:space="preserve">KY0102</t>
  </si>
  <si>
    <t xml:space="preserve">Grant County Public Library District</t>
  </si>
  <si>
    <t xml:space="preserve">Williamstown</t>
  </si>
  <si>
    <t xml:space="preserve">(859) 824-2080</t>
  </si>
  <si>
    <t xml:space="preserve">KY0038</t>
  </si>
  <si>
    <t xml:space="preserve">Graves County Public Library</t>
  </si>
  <si>
    <t xml:space="preserve">Mayfield</t>
  </si>
  <si>
    <t xml:space="preserve">Graves</t>
  </si>
  <si>
    <t xml:space="preserve">(270) 247-2911</t>
  </si>
  <si>
    <t xml:space="preserve">KY0039</t>
  </si>
  <si>
    <t xml:space="preserve">Grayson County Public Library</t>
  </si>
  <si>
    <t xml:space="preserve">Leitchfield</t>
  </si>
  <si>
    <t xml:space="preserve">Grayson</t>
  </si>
  <si>
    <t xml:space="preserve">(270) 259-5455</t>
  </si>
  <si>
    <t xml:space="preserve">KY0040</t>
  </si>
  <si>
    <t xml:space="preserve">Green County Public Library</t>
  </si>
  <si>
    <t xml:space="preserve">Green</t>
  </si>
  <si>
    <t xml:space="preserve">(270) 932-7081</t>
  </si>
  <si>
    <t xml:space="preserve">KY0041</t>
  </si>
  <si>
    <t xml:space="preserve">Greenup County Public Library</t>
  </si>
  <si>
    <t xml:space="preserve">Greenup</t>
  </si>
  <si>
    <t xml:space="preserve">(606) 473-6514</t>
  </si>
  <si>
    <t xml:space="preserve">KY0042</t>
  </si>
  <si>
    <t xml:space="preserve">Hardin County Public Library</t>
  </si>
  <si>
    <t xml:space="preserve">Elizabethtown</t>
  </si>
  <si>
    <t xml:space="preserve">Hardin</t>
  </si>
  <si>
    <t xml:space="preserve">(270) 769-6337</t>
  </si>
  <si>
    <t xml:space="preserve">KY0044</t>
  </si>
  <si>
    <t xml:space="preserve">Harlan County Public Library</t>
  </si>
  <si>
    <t xml:space="preserve">(606) 573-5220</t>
  </si>
  <si>
    <t xml:space="preserve">KY0045</t>
  </si>
  <si>
    <t xml:space="preserve">Hart County Public Library</t>
  </si>
  <si>
    <t xml:space="preserve">Munfordville</t>
  </si>
  <si>
    <t xml:space="preserve">(270) 524-1953</t>
  </si>
  <si>
    <t xml:space="preserve">KY0047</t>
  </si>
  <si>
    <t xml:space="preserve">Henderson County Public Library</t>
  </si>
  <si>
    <t xml:space="preserve">Henderson</t>
  </si>
  <si>
    <t xml:space="preserve">(270) 826-3712</t>
  </si>
  <si>
    <t xml:space="preserve">KY0048</t>
  </si>
  <si>
    <t xml:space="preserve">Henry County Public Library</t>
  </si>
  <si>
    <t xml:space="preserve">Eminence</t>
  </si>
  <si>
    <t xml:space="preserve">(502) 845-5682</t>
  </si>
  <si>
    <t xml:space="preserve">KY0049</t>
  </si>
  <si>
    <t xml:space="preserve">Hopkins County-Madisonville Public Library</t>
  </si>
  <si>
    <t xml:space="preserve">Madisonville</t>
  </si>
  <si>
    <t xml:space="preserve">Hopkins</t>
  </si>
  <si>
    <t xml:space="preserve">(270) 825-2680</t>
  </si>
  <si>
    <t xml:space="preserve">KY0051</t>
  </si>
  <si>
    <t xml:space="preserve">Hopkinsville-Christian County Public Library</t>
  </si>
  <si>
    <t xml:space="preserve">Hopkinsville</t>
  </si>
  <si>
    <t xml:space="preserve">(270) 887-4262</t>
  </si>
  <si>
    <t xml:space="preserve">KY0021</t>
  </si>
  <si>
    <t xml:space="preserve">Mckee</t>
  </si>
  <si>
    <t xml:space="preserve">(606) 287-8113</t>
  </si>
  <si>
    <t xml:space="preserve">KY0052</t>
  </si>
  <si>
    <t xml:space="preserve">Jessamine County Public Library</t>
  </si>
  <si>
    <t xml:space="preserve">Nicholasville</t>
  </si>
  <si>
    <t xml:space="preserve">Jessamine</t>
  </si>
  <si>
    <t xml:space="preserve">(859) 885-3523</t>
  </si>
  <si>
    <t xml:space="preserve">KY0054</t>
  </si>
  <si>
    <t xml:space="preserve">John L. Street Public Library</t>
  </si>
  <si>
    <t xml:space="preserve">Cadiz</t>
  </si>
  <si>
    <t xml:space="preserve">Trigg</t>
  </si>
  <si>
    <t xml:space="preserve">(270) 522-6301</t>
  </si>
  <si>
    <t xml:space="preserve">KY0106</t>
  </si>
  <si>
    <t xml:space="preserve">Paintsville</t>
  </si>
  <si>
    <t xml:space="preserve">(606) 789-4355</t>
  </si>
  <si>
    <t xml:space="preserve">KY0055</t>
  </si>
  <si>
    <t xml:space="preserve">Kenton County Public Library</t>
  </si>
  <si>
    <t xml:space="preserve">Erlanger</t>
  </si>
  <si>
    <t xml:space="preserve">Kenton</t>
  </si>
  <si>
    <t xml:space="preserve">(859) 578-3600</t>
  </si>
  <si>
    <t xml:space="preserve">KY0056</t>
  </si>
  <si>
    <t xml:space="preserve">Knott County Public Library</t>
  </si>
  <si>
    <t xml:space="preserve">Hindman</t>
  </si>
  <si>
    <t xml:space="preserve">Knott</t>
  </si>
  <si>
    <t xml:space="preserve">(606) 785-5412</t>
  </si>
  <si>
    <t xml:space="preserve">KY0057</t>
  </si>
  <si>
    <t xml:space="preserve">Barbourville</t>
  </si>
  <si>
    <t xml:space="preserve">(606) 546-5339</t>
  </si>
  <si>
    <t xml:space="preserve">KY0058</t>
  </si>
  <si>
    <t xml:space="preserve">Larue County Public Library</t>
  </si>
  <si>
    <t xml:space="preserve">Hodgenville</t>
  </si>
  <si>
    <t xml:space="preserve">Larue</t>
  </si>
  <si>
    <t xml:space="preserve">(270) 358-3851</t>
  </si>
  <si>
    <t xml:space="preserve">KY0059</t>
  </si>
  <si>
    <t xml:space="preserve">Laurel County Public Library</t>
  </si>
  <si>
    <t xml:space="preserve">London</t>
  </si>
  <si>
    <t xml:space="preserve">(606) 864-5759</t>
  </si>
  <si>
    <t xml:space="preserve">KY0060</t>
  </si>
  <si>
    <t xml:space="preserve">Louisa</t>
  </si>
  <si>
    <t xml:space="preserve">(606) 638-4497</t>
  </si>
  <si>
    <t xml:space="preserve">KY0061</t>
  </si>
  <si>
    <t xml:space="preserve">Letcher County Public Library District</t>
  </si>
  <si>
    <t xml:space="preserve">Whitesburg</t>
  </si>
  <si>
    <t xml:space="preserve">Letcher</t>
  </si>
  <si>
    <t xml:space="preserve">(606) 633-7547</t>
  </si>
  <si>
    <t xml:space="preserve">KY0064</t>
  </si>
  <si>
    <t xml:space="preserve">Lewis County Public Library</t>
  </si>
  <si>
    <t xml:space="preserve">Vanceburg</t>
  </si>
  <si>
    <t xml:space="preserve">Lewis</t>
  </si>
  <si>
    <t xml:space="preserve">(606) 796-2532</t>
  </si>
  <si>
    <t xml:space="preserve">KY0065</t>
  </si>
  <si>
    <t xml:space="preserve">Lexington Public Library</t>
  </si>
  <si>
    <t xml:space="preserve">Lexington</t>
  </si>
  <si>
    <t xml:space="preserve">(859) 231-5500</t>
  </si>
  <si>
    <t xml:space="preserve">KY0031</t>
  </si>
  <si>
    <t xml:space="preserve">Lincoln County Public Library</t>
  </si>
  <si>
    <t xml:space="preserve">Stanford</t>
  </si>
  <si>
    <t xml:space="preserve">(606) 365-7513</t>
  </si>
  <si>
    <t xml:space="preserve">KY0066</t>
  </si>
  <si>
    <t xml:space="preserve">Logan County Public Library</t>
  </si>
  <si>
    <t xml:space="preserve">(270) 726-6129</t>
  </si>
  <si>
    <t xml:space="preserve">KY0067</t>
  </si>
  <si>
    <t xml:space="preserve">Louisville Free Public Library</t>
  </si>
  <si>
    <t xml:space="preserve">(502) 574-1760</t>
  </si>
  <si>
    <t xml:space="preserve">KY0053</t>
  </si>
  <si>
    <t xml:space="preserve">Madison County Public Library</t>
  </si>
  <si>
    <t xml:space="preserve">(859) 623-6704</t>
  </si>
  <si>
    <t xml:space="preserve">KY0069</t>
  </si>
  <si>
    <t xml:space="preserve">Magoffin County Public Library</t>
  </si>
  <si>
    <t xml:space="preserve">Salyersville</t>
  </si>
  <si>
    <t xml:space="preserve">Magoffin</t>
  </si>
  <si>
    <t xml:space="preserve">(606) 349-2411</t>
  </si>
  <si>
    <t xml:space="preserve">KY0070</t>
  </si>
  <si>
    <t xml:space="preserve">Marion County Public Library</t>
  </si>
  <si>
    <t xml:space="preserve">(270) 692-4698</t>
  </si>
  <si>
    <t xml:space="preserve">KY0071</t>
  </si>
  <si>
    <t xml:space="preserve">Marshall County Public Library</t>
  </si>
  <si>
    <t xml:space="preserve">(270) 527-9969</t>
  </si>
  <si>
    <t xml:space="preserve">KY0072</t>
  </si>
  <si>
    <t xml:space="preserve">Martin County Public Library System</t>
  </si>
  <si>
    <t xml:space="preserve">Inez</t>
  </si>
  <si>
    <t xml:space="preserve">(606) 298-7766</t>
  </si>
  <si>
    <t xml:space="preserve">KY0073</t>
  </si>
  <si>
    <t xml:space="preserve">Mary Wood Weldon Memorial Public Library</t>
  </si>
  <si>
    <t xml:space="preserve">Glasgow</t>
  </si>
  <si>
    <t xml:space="preserve">Barren</t>
  </si>
  <si>
    <t xml:space="preserve">(270) 651-2824</t>
  </si>
  <si>
    <t xml:space="preserve">KY0005</t>
  </si>
  <si>
    <t xml:space="preserve">Mason County Public Library</t>
  </si>
  <si>
    <t xml:space="preserve">Maysville</t>
  </si>
  <si>
    <t xml:space="preserve">Mason</t>
  </si>
  <si>
    <t xml:space="preserve">(606) 564-3286</t>
  </si>
  <si>
    <t xml:space="preserve">KY0074</t>
  </si>
  <si>
    <t xml:space="preserve">Mccracken County Public Library</t>
  </si>
  <si>
    <t xml:space="preserve">Paducah</t>
  </si>
  <si>
    <t xml:space="preserve">Mccracken</t>
  </si>
  <si>
    <t xml:space="preserve">(270) 442-2510</t>
  </si>
  <si>
    <t xml:space="preserve">KY0075</t>
  </si>
  <si>
    <t xml:space="preserve">Mccreary County Public Library</t>
  </si>
  <si>
    <t xml:space="preserve">Whitley City</t>
  </si>
  <si>
    <t xml:space="preserve">Mccreary</t>
  </si>
  <si>
    <t xml:space="preserve">(606) 376-8738</t>
  </si>
  <si>
    <t xml:space="preserve">KY0120</t>
  </si>
  <si>
    <t xml:space="preserve">Meade County Public Library</t>
  </si>
  <si>
    <t xml:space="preserve">Brandenburg</t>
  </si>
  <si>
    <t xml:space="preserve">Meade</t>
  </si>
  <si>
    <t xml:space="preserve">(270) 422-2094</t>
  </si>
  <si>
    <t xml:space="preserve">KY0077</t>
  </si>
  <si>
    <t xml:space="preserve">Mercer County Public Library</t>
  </si>
  <si>
    <t xml:space="preserve">Harrodsburg</t>
  </si>
  <si>
    <t xml:space="preserve">Mercer</t>
  </si>
  <si>
    <t xml:space="preserve">(859) 734-3680</t>
  </si>
  <si>
    <t xml:space="preserve">KY0079</t>
  </si>
  <si>
    <t xml:space="preserve">Metcalfe County Public Library</t>
  </si>
  <si>
    <t xml:space="preserve">Edmonton</t>
  </si>
  <si>
    <t xml:space="preserve">Metcalfe</t>
  </si>
  <si>
    <t xml:space="preserve">(270) 432-4981</t>
  </si>
  <si>
    <t xml:space="preserve">KY0080</t>
  </si>
  <si>
    <t xml:space="preserve">West Liberty</t>
  </si>
  <si>
    <t xml:space="preserve">(606) 743-4151</t>
  </si>
  <si>
    <t xml:space="preserve">KY0083</t>
  </si>
  <si>
    <t xml:space="preserve">Mt. Sterling-Montgomery County Library</t>
  </si>
  <si>
    <t xml:space="preserve">Mount Sterling</t>
  </si>
  <si>
    <t xml:space="preserve">(859) 498-2404</t>
  </si>
  <si>
    <t xml:space="preserve">KY0082</t>
  </si>
  <si>
    <t xml:space="preserve">Muhlenberg County Public Libraries</t>
  </si>
  <si>
    <t xml:space="preserve">Muhlenberg</t>
  </si>
  <si>
    <t xml:space="preserve">(270) 338-4760</t>
  </si>
  <si>
    <t xml:space="preserve">KY0119</t>
  </si>
  <si>
    <t xml:space="preserve">Nelson County Public Library</t>
  </si>
  <si>
    <t xml:space="preserve">Bardstown</t>
  </si>
  <si>
    <t xml:space="preserve">Nelson</t>
  </si>
  <si>
    <t xml:space="preserve">(502) 348-3714</t>
  </si>
  <si>
    <t xml:space="preserve">KY0085</t>
  </si>
  <si>
    <t xml:space="preserve">Ohio County Public Library</t>
  </si>
  <si>
    <t xml:space="preserve">Ohio</t>
  </si>
  <si>
    <t xml:space="preserve">(270) 298-3790</t>
  </si>
  <si>
    <t xml:space="preserve">KY0087</t>
  </si>
  <si>
    <t xml:space="preserve">Oldham County Public Library</t>
  </si>
  <si>
    <t xml:space="preserve">Oldham</t>
  </si>
  <si>
    <t xml:space="preserve">(502) 222-9713</t>
  </si>
  <si>
    <t xml:space="preserve">KY0088</t>
  </si>
  <si>
    <t xml:space="preserve">Owenton</t>
  </si>
  <si>
    <t xml:space="preserve">(502) 484-3450</t>
  </si>
  <si>
    <t xml:space="preserve">KY0089</t>
  </si>
  <si>
    <t xml:space="preserve">Paris-Bourbon County Library</t>
  </si>
  <si>
    <t xml:space="preserve">Paris</t>
  </si>
  <si>
    <t xml:space="preserve">Bourbon</t>
  </si>
  <si>
    <t xml:space="preserve">(859) 987-4419</t>
  </si>
  <si>
    <t xml:space="preserve">KY0009</t>
  </si>
  <si>
    <t xml:space="preserve">Pendleton County Public Library</t>
  </si>
  <si>
    <t xml:space="preserve">Falmouth</t>
  </si>
  <si>
    <t xml:space="preserve">(859) 654-8535</t>
  </si>
  <si>
    <t xml:space="preserve">KY0091</t>
  </si>
  <si>
    <t xml:space="preserve">Hazard</t>
  </si>
  <si>
    <t xml:space="preserve">(606) 436-2475</t>
  </si>
  <si>
    <t xml:space="preserve">KY0092</t>
  </si>
  <si>
    <t xml:space="preserve">Pike County Public Library District</t>
  </si>
  <si>
    <t xml:space="preserve">Pikeville</t>
  </si>
  <si>
    <t xml:space="preserve">(606) 432-9977</t>
  </si>
  <si>
    <t xml:space="preserve">KY0093</t>
  </si>
  <si>
    <t xml:space="preserve">Powell County Public Library</t>
  </si>
  <si>
    <t xml:space="preserve">Stanton</t>
  </si>
  <si>
    <t xml:space="preserve">Powell</t>
  </si>
  <si>
    <t xml:space="preserve">(606) 663-4511</t>
  </si>
  <si>
    <t xml:space="preserve">KY0094</t>
  </si>
  <si>
    <t xml:space="preserve">Pulaski County Public Library</t>
  </si>
  <si>
    <t xml:space="preserve">Somerset</t>
  </si>
  <si>
    <t xml:space="preserve">(606) 679-8401</t>
  </si>
  <si>
    <t xml:space="preserve">KY0095</t>
  </si>
  <si>
    <t xml:space="preserve">Rockcastle County Public Library</t>
  </si>
  <si>
    <t xml:space="preserve">Rockcastle</t>
  </si>
  <si>
    <t xml:space="preserve">(606) 256-2388</t>
  </si>
  <si>
    <t xml:space="preserve">KY0097</t>
  </si>
  <si>
    <t xml:space="preserve">Rowan County Public Library</t>
  </si>
  <si>
    <t xml:space="preserve">Morehead</t>
  </si>
  <si>
    <t xml:space="preserve">Rowan</t>
  </si>
  <si>
    <t xml:space="preserve">(606) 784-7137</t>
  </si>
  <si>
    <t xml:space="preserve">KY0098</t>
  </si>
  <si>
    <t xml:space="preserve">Russell County Public Library</t>
  </si>
  <si>
    <t xml:space="preserve">Jamestown</t>
  </si>
  <si>
    <t xml:space="preserve">(270) 343-7323</t>
  </si>
  <si>
    <t xml:space="preserve">KY0099</t>
  </si>
  <si>
    <t xml:space="preserve">(502) 863-3566</t>
  </si>
  <si>
    <t xml:space="preserve">KY0100</t>
  </si>
  <si>
    <t xml:space="preserve">Shelby County Library District</t>
  </si>
  <si>
    <t xml:space="preserve">(502) 633-3803</t>
  </si>
  <si>
    <t xml:space="preserve">KY0101</t>
  </si>
  <si>
    <t xml:space="preserve">Spencer County Public Library</t>
  </si>
  <si>
    <t xml:space="preserve">Taylorsville</t>
  </si>
  <si>
    <t xml:space="preserve">(502) 477-8137</t>
  </si>
  <si>
    <t xml:space="preserve">KY0103</t>
  </si>
  <si>
    <t xml:space="preserve">Taylor County Public Library</t>
  </si>
  <si>
    <t xml:space="preserve">Campbellsville</t>
  </si>
  <si>
    <t xml:space="preserve">Taylor</t>
  </si>
  <si>
    <t xml:space="preserve">(270) 465-2562</t>
  </si>
  <si>
    <t xml:space="preserve">KY0104</t>
  </si>
  <si>
    <t xml:space="preserve">Todd County Public Library</t>
  </si>
  <si>
    <t xml:space="preserve">Elkton</t>
  </si>
  <si>
    <t xml:space="preserve">Todd</t>
  </si>
  <si>
    <t xml:space="preserve">(270) 265-9071</t>
  </si>
  <si>
    <t xml:space="preserve">KY0105</t>
  </si>
  <si>
    <t xml:space="preserve">Union County Public Library District</t>
  </si>
  <si>
    <t xml:space="preserve">Morganfield</t>
  </si>
  <si>
    <t xml:space="preserve">(270) 389-1696</t>
  </si>
  <si>
    <t xml:space="preserve">KY0108</t>
  </si>
  <si>
    <t xml:space="preserve">Warren County Public Library</t>
  </si>
  <si>
    <t xml:space="preserve">Bowling Green</t>
  </si>
  <si>
    <t xml:space="preserve">(270) 781-4882</t>
  </si>
  <si>
    <t xml:space="preserve">KY0109</t>
  </si>
  <si>
    <t xml:space="preserve">(859) 336-7655</t>
  </si>
  <si>
    <t xml:space="preserve">KY0110</t>
  </si>
  <si>
    <t xml:space="preserve">Wayne County Public Library</t>
  </si>
  <si>
    <t xml:space="preserve">(606) 348-8565</t>
  </si>
  <si>
    <t xml:space="preserve">KY0111</t>
  </si>
  <si>
    <t xml:space="preserve">Webster County Public Library</t>
  </si>
  <si>
    <t xml:space="preserve">(270) 639-9171</t>
  </si>
  <si>
    <t xml:space="preserve">KY0112</t>
  </si>
  <si>
    <t xml:space="preserve">Whitley County Public Library</t>
  </si>
  <si>
    <t xml:space="preserve">Williamsburg</t>
  </si>
  <si>
    <t xml:space="preserve">(606) 549-0818</t>
  </si>
  <si>
    <t xml:space="preserve">KY0113</t>
  </si>
  <si>
    <t xml:space="preserve">William B. Harlan Memorial Library</t>
  </si>
  <si>
    <t xml:space="preserve">Tompkinsville</t>
  </si>
  <si>
    <t xml:space="preserve">(270) 487-5301</t>
  </si>
  <si>
    <t xml:space="preserve">KY0081</t>
  </si>
  <si>
    <t xml:space="preserve">Woodford County Library District</t>
  </si>
  <si>
    <t xml:space="preserve">Versailles</t>
  </si>
  <si>
    <t xml:space="preserve">(859) 873-5191</t>
  </si>
  <si>
    <t xml:space="preserve">KY0115</t>
  </si>
  <si>
    <t xml:space="preserve">LA</t>
  </si>
  <si>
    <t xml:space="preserve">Acadia Parish Library</t>
  </si>
  <si>
    <t xml:space="preserve">Crowley</t>
  </si>
  <si>
    <t xml:space="preserve">Acadia</t>
  </si>
  <si>
    <t xml:space="preserve">(337) 788-1880</t>
  </si>
  <si>
    <t xml:space="preserve">LA0039</t>
  </si>
  <si>
    <t xml:space="preserve">Allen Parish Libraries</t>
  </si>
  <si>
    <t xml:space="preserve">Oberlin</t>
  </si>
  <si>
    <t xml:space="preserve">(318) 491-4444</t>
  </si>
  <si>
    <t xml:space="preserve">LA0009</t>
  </si>
  <si>
    <t xml:space="preserve">Ascension Parish Library</t>
  </si>
  <si>
    <t xml:space="preserve">Donaldsonville</t>
  </si>
  <si>
    <t xml:space="preserve">Ascension</t>
  </si>
  <si>
    <t xml:space="preserve">(225) 473-8052</t>
  </si>
  <si>
    <t xml:space="preserve">LA0037</t>
  </si>
  <si>
    <t xml:space="preserve">Assumption Parish Library</t>
  </si>
  <si>
    <t xml:space="preserve">Napoleonville</t>
  </si>
  <si>
    <t xml:space="preserve">Assumption</t>
  </si>
  <si>
    <t xml:space="preserve">(985) 369-7070</t>
  </si>
  <si>
    <t xml:space="preserve">LA0011</t>
  </si>
  <si>
    <t xml:space="preserve">Audubon Regional Library</t>
  </si>
  <si>
    <t xml:space="preserve">East Feliciana</t>
  </si>
  <si>
    <t xml:space="preserve">(225) 683-8753</t>
  </si>
  <si>
    <t xml:space="preserve">LA0031</t>
  </si>
  <si>
    <t xml:space="preserve">Avoyelles Parish Library</t>
  </si>
  <si>
    <t xml:space="preserve">Marksville</t>
  </si>
  <si>
    <t xml:space="preserve">Avoyelles</t>
  </si>
  <si>
    <t xml:space="preserve">(318) 253-7559</t>
  </si>
  <si>
    <t xml:space="preserve">LA0032</t>
  </si>
  <si>
    <t xml:space="preserve">Beauregard Parish Library</t>
  </si>
  <si>
    <t xml:space="preserve">Deridder</t>
  </si>
  <si>
    <t xml:space="preserve">Beauregard</t>
  </si>
  <si>
    <t xml:space="preserve">(337) 463-6217</t>
  </si>
  <si>
    <t xml:space="preserve">LA0020</t>
  </si>
  <si>
    <t xml:space="preserve">Bienville Parish Library</t>
  </si>
  <si>
    <t xml:space="preserve">Bienville</t>
  </si>
  <si>
    <t xml:space="preserve">(318) 263-7410</t>
  </si>
  <si>
    <t xml:space="preserve">LA0064</t>
  </si>
  <si>
    <t xml:space="preserve">Bossier Parish Library</t>
  </si>
  <si>
    <t xml:space="preserve">Bossier City</t>
  </si>
  <si>
    <t xml:space="preserve">Bossier</t>
  </si>
  <si>
    <t xml:space="preserve">(318) 746-1693</t>
  </si>
  <si>
    <t xml:space="preserve">LA0046</t>
  </si>
  <si>
    <t xml:space="preserve">Calcasieu Parish Public Library</t>
  </si>
  <si>
    <t xml:space="preserve">Lake Charles</t>
  </si>
  <si>
    <t xml:space="preserve">Calcasieu</t>
  </si>
  <si>
    <t xml:space="preserve">(337) 721-7147</t>
  </si>
  <si>
    <t xml:space="preserve">LA0053</t>
  </si>
  <si>
    <t xml:space="preserve">Claiborne Parish Library</t>
  </si>
  <si>
    <t xml:space="preserve">Homer</t>
  </si>
  <si>
    <t xml:space="preserve">Claiborne</t>
  </si>
  <si>
    <t xml:space="preserve">(318) 927-3845</t>
  </si>
  <si>
    <t xml:space="preserve">LA0004</t>
  </si>
  <si>
    <t xml:space="preserve">Concordia Parish Library</t>
  </si>
  <si>
    <t xml:space="preserve">Ferriday</t>
  </si>
  <si>
    <t xml:space="preserve">Concordia</t>
  </si>
  <si>
    <t xml:space="preserve">(318) 757-3550</t>
  </si>
  <si>
    <t xml:space="preserve">LA0014</t>
  </si>
  <si>
    <t xml:space="preserve">Desoto Parish Library</t>
  </si>
  <si>
    <t xml:space="preserve">Desoto</t>
  </si>
  <si>
    <t xml:space="preserve">(318) 872-6100</t>
  </si>
  <si>
    <t xml:space="preserve">LA0018</t>
  </si>
  <si>
    <t xml:space="preserve">East Baton Rouge Parish Library</t>
  </si>
  <si>
    <t xml:space="preserve">Baton Rouge</t>
  </si>
  <si>
    <t xml:space="preserve">East Baton Rouge</t>
  </si>
  <si>
    <t xml:space="preserve">(225) 231-3700</t>
  </si>
  <si>
    <t xml:space="preserve">LA0055</t>
  </si>
  <si>
    <t xml:space="preserve">Evangeline Parish Library</t>
  </si>
  <si>
    <t xml:space="preserve">Ville Platte</t>
  </si>
  <si>
    <t xml:space="preserve">Evangeline</t>
  </si>
  <si>
    <t xml:space="preserve">(337) 363-1369</t>
  </si>
  <si>
    <t xml:space="preserve">LA0025</t>
  </si>
  <si>
    <t xml:space="preserve">Franklin Parish Library</t>
  </si>
  <si>
    <t xml:space="preserve">Winnsboro</t>
  </si>
  <si>
    <t xml:space="preserve">(318) 435-4336</t>
  </si>
  <si>
    <t xml:space="preserve">LA0016</t>
  </si>
  <si>
    <t xml:space="preserve">Grant Parish Library</t>
  </si>
  <si>
    <t xml:space="preserve">Colfax</t>
  </si>
  <si>
    <t xml:space="preserve">(318) 627-9920</t>
  </si>
  <si>
    <t xml:space="preserve">LA0002</t>
  </si>
  <si>
    <t xml:space="preserve">Iberia Parish Library</t>
  </si>
  <si>
    <t xml:space="preserve">New Iberia</t>
  </si>
  <si>
    <t xml:space="preserve">Iberia</t>
  </si>
  <si>
    <t xml:space="preserve">(337) 364-7150</t>
  </si>
  <si>
    <t xml:space="preserve">LA0041</t>
  </si>
  <si>
    <t xml:space="preserve">Iberville Parish Library</t>
  </si>
  <si>
    <t xml:space="preserve">Plaquemine</t>
  </si>
  <si>
    <t xml:space="preserve">Iberville</t>
  </si>
  <si>
    <t xml:space="preserve">(225) 687-2520</t>
  </si>
  <si>
    <t xml:space="preserve">LA0022</t>
  </si>
  <si>
    <t xml:space="preserve">Jackson Parish Library</t>
  </si>
  <si>
    <t xml:space="preserve">(318) 259-5697</t>
  </si>
  <si>
    <t xml:space="preserve">LA0006</t>
  </si>
  <si>
    <t xml:space="preserve">Jefferson Davis Parish Library</t>
  </si>
  <si>
    <t xml:space="preserve">Jefferson Davis</t>
  </si>
  <si>
    <t xml:space="preserve">(337) 824-1210</t>
  </si>
  <si>
    <t xml:space="preserve">LA0024</t>
  </si>
  <si>
    <t xml:space="preserve">Jefferson Parish Library</t>
  </si>
  <si>
    <t xml:space="preserve">Metairie</t>
  </si>
  <si>
    <t xml:space="preserve">(504) 838-1100</t>
  </si>
  <si>
    <t xml:space="preserve">LA0057</t>
  </si>
  <si>
    <t xml:space="preserve">(337) 261-5781</t>
  </si>
  <si>
    <t xml:space="preserve">LA0052</t>
  </si>
  <si>
    <t xml:space="preserve">Lafourche Parish Public Library</t>
  </si>
  <si>
    <t xml:space="preserve">Thibodaux</t>
  </si>
  <si>
    <t xml:space="preserve">Lafourche</t>
  </si>
  <si>
    <t xml:space="preserve">(985) 447-4119</t>
  </si>
  <si>
    <t xml:space="preserve">LA0047</t>
  </si>
  <si>
    <t xml:space="preserve">Lasalle Parish Library</t>
  </si>
  <si>
    <t xml:space="preserve">Jena</t>
  </si>
  <si>
    <t xml:space="preserve">Lasalle</t>
  </si>
  <si>
    <t xml:space="preserve">(318) 992-5675</t>
  </si>
  <si>
    <t xml:space="preserve">LA0003</t>
  </si>
  <si>
    <t xml:space="preserve">Lincoln Parish Library</t>
  </si>
  <si>
    <t xml:space="preserve">Ruston</t>
  </si>
  <si>
    <t xml:space="preserve">(318) 251-5030</t>
  </si>
  <si>
    <t xml:space="preserve">LA0028</t>
  </si>
  <si>
    <t xml:space="preserve">Livingston Parish Library</t>
  </si>
  <si>
    <t xml:space="preserve">(225) 686-4161</t>
  </si>
  <si>
    <t xml:space="preserve">LA0040</t>
  </si>
  <si>
    <t xml:space="preserve">Morehouse Parish Library</t>
  </si>
  <si>
    <t xml:space="preserve">Bastrop</t>
  </si>
  <si>
    <t xml:space="preserve">Morehouse</t>
  </si>
  <si>
    <t xml:space="preserve">(318) 281-3696</t>
  </si>
  <si>
    <t xml:space="preserve">LA0026</t>
  </si>
  <si>
    <t xml:space="preserve">Morgan City Public Library</t>
  </si>
  <si>
    <t xml:space="preserve">Morgan City</t>
  </si>
  <si>
    <t xml:space="preserve">St. Mary</t>
  </si>
  <si>
    <t xml:space="preserve">(985) 380-4646</t>
  </si>
  <si>
    <t xml:space="preserve">LA0060</t>
  </si>
  <si>
    <t xml:space="preserve">Natchitoches Parish Library</t>
  </si>
  <si>
    <t xml:space="preserve">Natchitoches</t>
  </si>
  <si>
    <t xml:space="preserve">(318) 357-3280</t>
  </si>
  <si>
    <t xml:space="preserve">LA0029</t>
  </si>
  <si>
    <t xml:space="preserve">New Orleans Public Library</t>
  </si>
  <si>
    <t xml:space="preserve">New Orleans</t>
  </si>
  <si>
    <t xml:space="preserve">Orleans</t>
  </si>
  <si>
    <t xml:space="preserve">(504) 596-2600</t>
  </si>
  <si>
    <t xml:space="preserve">LA0058</t>
  </si>
  <si>
    <t xml:space="preserve">Opelousas Public Library</t>
  </si>
  <si>
    <t xml:space="preserve">Opelousas</t>
  </si>
  <si>
    <t xml:space="preserve">St. Landry</t>
  </si>
  <si>
    <t xml:space="preserve">(337) 948-3693</t>
  </si>
  <si>
    <t xml:space="preserve">LA0061</t>
  </si>
  <si>
    <t xml:space="preserve">Ouachita Parish Public Library</t>
  </si>
  <si>
    <t xml:space="preserve">(318) 327-1490</t>
  </si>
  <si>
    <t xml:space="preserve">LA0051</t>
  </si>
  <si>
    <t xml:space="preserve">Plaquemines Parish Library</t>
  </si>
  <si>
    <t xml:space="preserve">Belle Chasse</t>
  </si>
  <si>
    <t xml:space="preserve">Plaquemines</t>
  </si>
  <si>
    <t xml:space="preserve">(504) 934-6767</t>
  </si>
  <si>
    <t xml:space="preserve">LA0019</t>
  </si>
  <si>
    <t xml:space="preserve">Pointe Coupee Parish Library</t>
  </si>
  <si>
    <t xml:space="preserve">New Roads</t>
  </si>
  <si>
    <t xml:space="preserve">Pointe Coupee</t>
  </si>
  <si>
    <t xml:space="preserve">(225) 638-7593</t>
  </si>
  <si>
    <t xml:space="preserve">LA0015</t>
  </si>
  <si>
    <t xml:space="preserve">Rapides Parish Library</t>
  </si>
  <si>
    <t xml:space="preserve">Alexandria</t>
  </si>
  <si>
    <t xml:space="preserve">Rapides</t>
  </si>
  <si>
    <t xml:space="preserve">(318) 445-6436</t>
  </si>
  <si>
    <t xml:space="preserve">LA0050</t>
  </si>
  <si>
    <t xml:space="preserve">Richland Parish Library</t>
  </si>
  <si>
    <t xml:space="preserve">Rayville</t>
  </si>
  <si>
    <t xml:space="preserve">Richland</t>
  </si>
  <si>
    <t xml:space="preserve">(318) 728-4806</t>
  </si>
  <si>
    <t xml:space="preserve">LA0013</t>
  </si>
  <si>
    <t xml:space="preserve">Sabine Parish Library</t>
  </si>
  <si>
    <t xml:space="preserve">Many</t>
  </si>
  <si>
    <t xml:space="preserve">Sabine</t>
  </si>
  <si>
    <t xml:space="preserve">(318) 256-4150</t>
  </si>
  <si>
    <t xml:space="preserve">LA0017</t>
  </si>
  <si>
    <t xml:space="preserve">Shreve Memorial Library</t>
  </si>
  <si>
    <t xml:space="preserve">Shreveport</t>
  </si>
  <si>
    <t xml:space="preserve">Caddo</t>
  </si>
  <si>
    <t xml:space="preserve">(318) 226-5897</t>
  </si>
  <si>
    <t xml:space="preserve">LA0054</t>
  </si>
  <si>
    <t xml:space="preserve">St. Bernard Parish Library</t>
  </si>
  <si>
    <t xml:space="preserve">Chalmette</t>
  </si>
  <si>
    <t xml:space="preserve">St. Bernard</t>
  </si>
  <si>
    <t xml:space="preserve">(504) 279-0448</t>
  </si>
  <si>
    <t xml:space="preserve">LA0042</t>
  </si>
  <si>
    <t xml:space="preserve">St. Charles Parish Library</t>
  </si>
  <si>
    <t xml:space="preserve">Destrehan</t>
  </si>
  <si>
    <t xml:space="preserve">St. Charles</t>
  </si>
  <si>
    <t xml:space="preserve">(985) 764-9643</t>
  </si>
  <si>
    <t xml:space="preserve">LA0027</t>
  </si>
  <si>
    <t xml:space="preserve">St. James Parish Library</t>
  </si>
  <si>
    <t xml:space="preserve">Lutcher</t>
  </si>
  <si>
    <t xml:space="preserve">St. James</t>
  </si>
  <si>
    <t xml:space="preserve">(225) 869-3618</t>
  </si>
  <si>
    <t xml:space="preserve">LA0010</t>
  </si>
  <si>
    <t xml:space="preserve">St. John The Baptist Parish Library</t>
  </si>
  <si>
    <t xml:space="preserve">Laplace</t>
  </si>
  <si>
    <t xml:space="preserve">St. John The Baptist</t>
  </si>
  <si>
    <t xml:space="preserve">(985) 652-6857</t>
  </si>
  <si>
    <t xml:space="preserve">LA0021</t>
  </si>
  <si>
    <t xml:space="preserve">St. Martin Parish Library</t>
  </si>
  <si>
    <t xml:space="preserve">St. Martinville</t>
  </si>
  <si>
    <t xml:space="preserve">St. Martin</t>
  </si>
  <si>
    <t xml:space="preserve">(337) 394-2207</t>
  </si>
  <si>
    <t xml:space="preserve">LA0030</t>
  </si>
  <si>
    <t xml:space="preserve">St. Mary Parish Library</t>
  </si>
  <si>
    <t xml:space="preserve">(337) 828-1624</t>
  </si>
  <si>
    <t xml:space="preserve">LA0043</t>
  </si>
  <si>
    <t xml:space="preserve">St. Tammany Parish Library</t>
  </si>
  <si>
    <t xml:space="preserve">St. Tammany</t>
  </si>
  <si>
    <t xml:space="preserve">(985) 871-1219</t>
  </si>
  <si>
    <t xml:space="preserve">LA0049</t>
  </si>
  <si>
    <t xml:space="preserve">Tangipahoa Parish Library</t>
  </si>
  <si>
    <t xml:space="preserve">Amite</t>
  </si>
  <si>
    <t xml:space="preserve">Tangipahoa</t>
  </si>
  <si>
    <t xml:space="preserve">(985) 748-7559</t>
  </si>
  <si>
    <t xml:space="preserve">LA0044</t>
  </si>
  <si>
    <t xml:space="preserve">Terrebonne Parish Library</t>
  </si>
  <si>
    <t xml:space="preserve">Houma</t>
  </si>
  <si>
    <t xml:space="preserve">Terrebonne</t>
  </si>
  <si>
    <t xml:space="preserve">(985) 876-5861</t>
  </si>
  <si>
    <t xml:space="preserve">LA0048</t>
  </si>
  <si>
    <t xml:space="preserve">Union Parish Library</t>
  </si>
  <si>
    <t xml:space="preserve">Farmerville</t>
  </si>
  <si>
    <t xml:space="preserve">(318) 368-9226</t>
  </si>
  <si>
    <t xml:space="preserve">LA0008</t>
  </si>
  <si>
    <t xml:space="preserve">Vermilion Parish Library</t>
  </si>
  <si>
    <t xml:space="preserve">Abbeville</t>
  </si>
  <si>
    <t xml:space="preserve">(337) 893-2674</t>
  </si>
  <si>
    <t xml:space="preserve">LA0036</t>
  </si>
  <si>
    <t xml:space="preserve">Vernon Parish Library</t>
  </si>
  <si>
    <t xml:space="preserve">Leesville</t>
  </si>
  <si>
    <t xml:space="preserve">(337) 239-2027</t>
  </si>
  <si>
    <t xml:space="preserve">LA0038</t>
  </si>
  <si>
    <t xml:space="preserve">Washington Parish Library</t>
  </si>
  <si>
    <t xml:space="preserve">Franklinton</t>
  </si>
  <si>
    <t xml:space="preserve">(985) 839-7806</t>
  </si>
  <si>
    <t xml:space="preserve">LA0035</t>
  </si>
  <si>
    <t xml:space="preserve">Webster Parish Library</t>
  </si>
  <si>
    <t xml:space="preserve">Minden</t>
  </si>
  <si>
    <t xml:space="preserve">(318) 371-3080</t>
  </si>
  <si>
    <t xml:space="preserve">LA0033</t>
  </si>
  <si>
    <t xml:space="preserve">West Baton Rouge Parish Library</t>
  </si>
  <si>
    <t xml:space="preserve">Port Allen</t>
  </si>
  <si>
    <t xml:space="preserve">West Baton Rouge</t>
  </si>
  <si>
    <t xml:space="preserve">(225) 342-7920</t>
  </si>
  <si>
    <t xml:space="preserve">LA0007</t>
  </si>
  <si>
    <t xml:space="preserve">West Feliciana Parish Library</t>
  </si>
  <si>
    <t xml:space="preserve">St. Francisville</t>
  </si>
  <si>
    <t xml:space="preserve">West Feliciana</t>
  </si>
  <si>
    <t xml:space="preserve">(225) 635-3364</t>
  </si>
  <si>
    <t xml:space="preserve">LA0067</t>
  </si>
  <si>
    <t xml:space="preserve">Winn Parish Library</t>
  </si>
  <si>
    <t xml:space="preserve">Winnfield</t>
  </si>
  <si>
    <t xml:space="preserve">Winn</t>
  </si>
  <si>
    <t xml:space="preserve">(318) 628-4478</t>
  </si>
  <si>
    <t xml:space="preserve">LA0005</t>
  </si>
  <si>
    <t xml:space="preserve">MA</t>
  </si>
  <si>
    <t xml:space="preserve">Abbot Public Library</t>
  </si>
  <si>
    <t xml:space="preserve">Marblehead</t>
  </si>
  <si>
    <t xml:space="preserve">Essex</t>
  </si>
  <si>
    <t xml:space="preserve">(781) 631-9419</t>
  </si>
  <si>
    <t xml:space="preserve">MA0167</t>
  </si>
  <si>
    <t xml:space="preserve">Abington Public Library</t>
  </si>
  <si>
    <t xml:space="preserve">Abington</t>
  </si>
  <si>
    <t xml:space="preserve">(781) 982-2139</t>
  </si>
  <si>
    <t xml:space="preserve">MA0001</t>
  </si>
  <si>
    <t xml:space="preserve">Acton Memorial Library</t>
  </si>
  <si>
    <t xml:space="preserve">Acton</t>
  </si>
  <si>
    <t xml:space="preserve">(978) 929-6655</t>
  </si>
  <si>
    <t xml:space="preserve">MA0002</t>
  </si>
  <si>
    <t xml:space="preserve">Acushnet Public Library</t>
  </si>
  <si>
    <t xml:space="preserve">Acushnet</t>
  </si>
  <si>
    <t xml:space="preserve">(508) 998-0270</t>
  </si>
  <si>
    <t xml:space="preserve">MA0003</t>
  </si>
  <si>
    <t xml:space="preserve">Agawam Public Library</t>
  </si>
  <si>
    <t xml:space="preserve">Agawam</t>
  </si>
  <si>
    <t xml:space="preserve">Hampden</t>
  </si>
  <si>
    <t xml:space="preserve">(413) 789-1550</t>
  </si>
  <si>
    <t xml:space="preserve">MA0005</t>
  </si>
  <si>
    <t xml:space="preserve">Ames Free Library Of Easton, Inc.</t>
  </si>
  <si>
    <t xml:space="preserve">North Easton</t>
  </si>
  <si>
    <t xml:space="preserve">(508) 238-2000</t>
  </si>
  <si>
    <t xml:space="preserve">MA0088</t>
  </si>
  <si>
    <t xml:space="preserve">Amesbury Public Library</t>
  </si>
  <si>
    <t xml:space="preserve">Amesbury</t>
  </si>
  <si>
    <t xml:space="preserve">(978) 388-8148</t>
  </si>
  <si>
    <t xml:space="preserve">MA0007</t>
  </si>
  <si>
    <t xml:space="preserve">Ashland Public Library</t>
  </si>
  <si>
    <t xml:space="preserve">(508) 881-0134</t>
  </si>
  <si>
    <t xml:space="preserve">MA0014</t>
  </si>
  <si>
    <t xml:space="preserve">Athol Public Library</t>
  </si>
  <si>
    <t xml:space="preserve">Athol</t>
  </si>
  <si>
    <t xml:space="preserve">Worcester</t>
  </si>
  <si>
    <t xml:space="preserve">(978) 249-9515</t>
  </si>
  <si>
    <t xml:space="preserve">MA0015</t>
  </si>
  <si>
    <t xml:space="preserve">Attleboro Public Library</t>
  </si>
  <si>
    <t xml:space="preserve">Attleboro</t>
  </si>
  <si>
    <t xml:space="preserve">(508) 222-0157</t>
  </si>
  <si>
    <t xml:space="preserve">MA0016</t>
  </si>
  <si>
    <t xml:space="preserve">Auburn Free Public Library</t>
  </si>
  <si>
    <t xml:space="preserve">(508) 832-7790</t>
  </si>
  <si>
    <t xml:space="preserve">MA0017</t>
  </si>
  <si>
    <t xml:space="preserve">Beals Memorial Library</t>
  </si>
  <si>
    <t xml:space="preserve">Winchendon</t>
  </si>
  <si>
    <t xml:space="preserve">(978) 297-0300</t>
  </si>
  <si>
    <t xml:space="preserve">MA0339</t>
  </si>
  <si>
    <t xml:space="preserve">Bedford Free Public Library</t>
  </si>
  <si>
    <t xml:space="preserve">(781) 275-9440</t>
  </si>
  <si>
    <t xml:space="preserve">MA0023</t>
  </si>
  <si>
    <t xml:space="preserve">Bellingham Public Library</t>
  </si>
  <si>
    <t xml:space="preserve">Bellingham</t>
  </si>
  <si>
    <t xml:space="preserve">Norfolk</t>
  </si>
  <si>
    <t xml:space="preserve">(508) 966-1660</t>
  </si>
  <si>
    <t xml:space="preserve">MA0025</t>
  </si>
  <si>
    <t xml:space="preserve">Belmont Public Library</t>
  </si>
  <si>
    <t xml:space="preserve">Belmont</t>
  </si>
  <si>
    <t xml:space="preserve">(617) 489-2000</t>
  </si>
  <si>
    <t xml:space="preserve">MA0026</t>
  </si>
  <si>
    <t xml:space="preserve">Berkshire Athenaeum</t>
  </si>
  <si>
    <t xml:space="preserve">Pittsfield</t>
  </si>
  <si>
    <t xml:space="preserve">Berkshire</t>
  </si>
  <si>
    <t xml:space="preserve">(413) 499-9480</t>
  </si>
  <si>
    <t xml:space="preserve">MA0233</t>
  </si>
  <si>
    <t xml:space="preserve">Beverly Public Library</t>
  </si>
  <si>
    <t xml:space="preserve">Beverly</t>
  </si>
  <si>
    <t xml:space="preserve">(978) 921-6062</t>
  </si>
  <si>
    <t xml:space="preserve">MA0030</t>
  </si>
  <si>
    <t xml:space="preserve">Bigelow Free Public Library</t>
  </si>
  <si>
    <t xml:space="preserve">(978) 365-4160</t>
  </si>
  <si>
    <t xml:space="preserve">MA0064</t>
  </si>
  <si>
    <t xml:space="preserve">Billerica Public Library</t>
  </si>
  <si>
    <t xml:space="preserve">Billerica</t>
  </si>
  <si>
    <t xml:space="preserve">(978) 671-0948</t>
  </si>
  <si>
    <t xml:space="preserve">MA0031</t>
  </si>
  <si>
    <t xml:space="preserve">Blanding Free Public Library</t>
  </si>
  <si>
    <t xml:space="preserve">Rehoboth</t>
  </si>
  <si>
    <t xml:space="preserve">(508) 252-4236</t>
  </si>
  <si>
    <t xml:space="preserve">MA0244</t>
  </si>
  <si>
    <t xml:space="preserve">Boston Public Library</t>
  </si>
  <si>
    <t xml:space="preserve">Boston</t>
  </si>
  <si>
    <t xml:space="preserve">Suffolk</t>
  </si>
  <si>
    <t xml:space="preserve">(617) 536-5400</t>
  </si>
  <si>
    <t xml:space="preserve">MA0035</t>
  </si>
  <si>
    <t xml:space="preserve">Boyden Library</t>
  </si>
  <si>
    <t xml:space="preserve">Foxborough</t>
  </si>
  <si>
    <t xml:space="preserve">(508) 543-1245</t>
  </si>
  <si>
    <t xml:space="preserve">MA0099</t>
  </si>
  <si>
    <t xml:space="preserve">Brewster Ladies' Library</t>
  </si>
  <si>
    <t xml:space="preserve">Brewster</t>
  </si>
  <si>
    <t xml:space="preserve">Barnstable</t>
  </si>
  <si>
    <t xml:space="preserve">(508) 896-3913</t>
  </si>
  <si>
    <t xml:space="preserve">MA0041</t>
  </si>
  <si>
    <t xml:space="preserve">Bridgewater Public Library</t>
  </si>
  <si>
    <t xml:space="preserve">Bridgewater</t>
  </si>
  <si>
    <t xml:space="preserve">(508) 697-3331</t>
  </si>
  <si>
    <t xml:space="preserve">MA0042</t>
  </si>
  <si>
    <t xml:space="preserve">Brockton Public Library</t>
  </si>
  <si>
    <t xml:space="preserve">Brockton</t>
  </si>
  <si>
    <t xml:space="preserve">(508) 580-7890</t>
  </si>
  <si>
    <t xml:space="preserve">MA0044</t>
  </si>
  <si>
    <t xml:space="preserve">Brookline Public Library</t>
  </si>
  <si>
    <t xml:space="preserve">Brookline</t>
  </si>
  <si>
    <t xml:space="preserve">(617) 730-2360</t>
  </si>
  <si>
    <t xml:space="preserve">MA0046</t>
  </si>
  <si>
    <t xml:space="preserve">Brooks Free Library</t>
  </si>
  <si>
    <t xml:space="preserve">Harwich</t>
  </si>
  <si>
    <t xml:space="preserve">(508) 430-7562</t>
  </si>
  <si>
    <t xml:space="preserve">MA0126</t>
  </si>
  <si>
    <t xml:space="preserve">(781) 270-1690</t>
  </si>
  <si>
    <t xml:space="preserve">MA0048</t>
  </si>
  <si>
    <t xml:space="preserve">Cambridge Public Library</t>
  </si>
  <si>
    <t xml:space="preserve">Cambridge</t>
  </si>
  <si>
    <t xml:space="preserve">(617) 349-4040</t>
  </si>
  <si>
    <t xml:space="preserve">MA0049</t>
  </si>
  <si>
    <t xml:space="preserve">(781) 821-5027</t>
  </si>
  <si>
    <t xml:space="preserve">MA0050</t>
  </si>
  <si>
    <t xml:space="preserve">Carver Public Library</t>
  </si>
  <si>
    <t xml:space="preserve">Carver</t>
  </si>
  <si>
    <t xml:space="preserve">(508) 866-3415</t>
  </si>
  <si>
    <t xml:space="preserve">MA0052</t>
  </si>
  <si>
    <t xml:space="preserve">Cary Memorial Library</t>
  </si>
  <si>
    <t xml:space="preserve">(781) 862-6288</t>
  </si>
  <si>
    <t xml:space="preserve">MA0154</t>
  </si>
  <si>
    <t xml:space="preserve">Charlton Public Library</t>
  </si>
  <si>
    <t xml:space="preserve">Charlton</t>
  </si>
  <si>
    <t xml:space="preserve">(508) 248-0452</t>
  </si>
  <si>
    <t xml:space="preserve">MA0054</t>
  </si>
  <si>
    <t xml:space="preserve">Chelmsford Public Library</t>
  </si>
  <si>
    <t xml:space="preserve">Chelmsford</t>
  </si>
  <si>
    <t xml:space="preserve">(978) 256-5521</t>
  </si>
  <si>
    <t xml:space="preserve">MA0056</t>
  </si>
  <si>
    <t xml:space="preserve">(617) 466-4350</t>
  </si>
  <si>
    <t xml:space="preserve">MA0057</t>
  </si>
  <si>
    <t xml:space="preserve">Chicopee Public Library</t>
  </si>
  <si>
    <t xml:space="preserve">Chicopee</t>
  </si>
  <si>
    <t xml:space="preserve">(413) 594-1800</t>
  </si>
  <si>
    <t xml:space="preserve">MA0061</t>
  </si>
  <si>
    <t xml:space="preserve">Clapp Memorial Library</t>
  </si>
  <si>
    <t xml:space="preserve">Belchertown</t>
  </si>
  <si>
    <t xml:space="preserve">(413) 323-0417</t>
  </si>
  <si>
    <t xml:space="preserve">MA0024</t>
  </si>
  <si>
    <t xml:space="preserve">Concord Free Public Library</t>
  </si>
  <si>
    <t xml:space="preserve">Concord</t>
  </si>
  <si>
    <t xml:space="preserve">(978) 318-3300</t>
  </si>
  <si>
    <t xml:space="preserve">MA0067</t>
  </si>
  <si>
    <t xml:space="preserve">Dartmouth Public Libraries</t>
  </si>
  <si>
    <t xml:space="preserve">Dartmouth</t>
  </si>
  <si>
    <t xml:space="preserve">(508) 999-0726</t>
  </si>
  <si>
    <t xml:space="preserve">MA0072</t>
  </si>
  <si>
    <t xml:space="preserve">Dedham Public Library</t>
  </si>
  <si>
    <t xml:space="preserve">Dedham</t>
  </si>
  <si>
    <t xml:space="preserve">(781) 751-9284</t>
  </si>
  <si>
    <t xml:space="preserve">MA0073</t>
  </si>
  <si>
    <t xml:space="preserve">Duxbury Free Library</t>
  </si>
  <si>
    <t xml:space="preserve">Duxbury</t>
  </si>
  <si>
    <t xml:space="preserve">(781) 934-2721</t>
  </si>
  <si>
    <t xml:space="preserve">MA0082</t>
  </si>
  <si>
    <t xml:space="preserve">East Bridgewater Public Library</t>
  </si>
  <si>
    <t xml:space="preserve">East Bridgewater</t>
  </si>
  <si>
    <t xml:space="preserve">(508) 378-1616</t>
  </si>
  <si>
    <t xml:space="preserve">MA0083</t>
  </si>
  <si>
    <t xml:space="preserve">East Longmeadow Public Library</t>
  </si>
  <si>
    <t xml:space="preserve">East Longmeadow</t>
  </si>
  <si>
    <t xml:space="preserve">(413) 525-5400</t>
  </si>
  <si>
    <t xml:space="preserve">MA0085</t>
  </si>
  <si>
    <t xml:space="preserve">Emily Williston Memorial Library</t>
  </si>
  <si>
    <t xml:space="preserve">Easthampton</t>
  </si>
  <si>
    <t xml:space="preserve">(413) 527-1031</t>
  </si>
  <si>
    <t xml:space="preserve">MA0087</t>
  </si>
  <si>
    <t xml:space="preserve">Everett Public Libraries</t>
  </si>
  <si>
    <t xml:space="preserve">Everett</t>
  </si>
  <si>
    <t xml:space="preserve">(617) 394-2300</t>
  </si>
  <si>
    <t xml:space="preserve">MA0093</t>
  </si>
  <si>
    <t xml:space="preserve">Fall River Public Library</t>
  </si>
  <si>
    <t xml:space="preserve">Fall River</t>
  </si>
  <si>
    <t xml:space="preserve">(508) 324-2700</t>
  </si>
  <si>
    <t xml:space="preserve">MA0095</t>
  </si>
  <si>
    <t xml:space="preserve">Falmouth Public Library</t>
  </si>
  <si>
    <t xml:space="preserve">(508) 457-2555</t>
  </si>
  <si>
    <t xml:space="preserve">MA0096</t>
  </si>
  <si>
    <t xml:space="preserve">Fiske Public Library</t>
  </si>
  <si>
    <t xml:space="preserve">Wrentham</t>
  </si>
  <si>
    <t xml:space="preserve">(508) 384-5440</t>
  </si>
  <si>
    <t xml:space="preserve">MA0346</t>
  </si>
  <si>
    <t xml:space="preserve">Fitchburg Public Library</t>
  </si>
  <si>
    <t xml:space="preserve">Fitchburg</t>
  </si>
  <si>
    <t xml:space="preserve">(978) 829-1780</t>
  </si>
  <si>
    <t xml:space="preserve">MA0097</t>
  </si>
  <si>
    <t xml:space="preserve">Flint Memorial Library</t>
  </si>
  <si>
    <t xml:space="preserve">North Reading</t>
  </si>
  <si>
    <t xml:space="preserve">(978) 664-4942</t>
  </si>
  <si>
    <t xml:space="preserve">MA0210</t>
  </si>
  <si>
    <t xml:space="preserve">Forbes Library</t>
  </si>
  <si>
    <t xml:space="preserve">Northampton</t>
  </si>
  <si>
    <t xml:space="preserve">(413) 587-1011</t>
  </si>
  <si>
    <t xml:space="preserve">MA0211</t>
  </si>
  <si>
    <t xml:space="preserve">Framingham Public Library</t>
  </si>
  <si>
    <t xml:space="preserve">Framingham</t>
  </si>
  <si>
    <t xml:space="preserve">(508) 532-5570</t>
  </si>
  <si>
    <t xml:space="preserve">MA0100</t>
  </si>
  <si>
    <t xml:space="preserve">Franklin Public Library</t>
  </si>
  <si>
    <t xml:space="preserve">(508) 520-4941</t>
  </si>
  <si>
    <t xml:space="preserve">MA0101</t>
  </si>
  <si>
    <t xml:space="preserve">Gale Free Library</t>
  </si>
  <si>
    <t xml:space="preserve">Holden</t>
  </si>
  <si>
    <t xml:space="preserve">(508) 210-5560</t>
  </si>
  <si>
    <t xml:space="preserve">MA0133</t>
  </si>
  <si>
    <t xml:space="preserve">Gladys E. Kelly Public Library</t>
  </si>
  <si>
    <t xml:space="preserve">(508) 949-3880</t>
  </si>
  <si>
    <t xml:space="preserve">MA0312</t>
  </si>
  <si>
    <t xml:space="preserve">Gloucester Lyceum &amp; Sawyer Free Lib</t>
  </si>
  <si>
    <t xml:space="preserve">Gloucester</t>
  </si>
  <si>
    <t xml:space="preserve">(978) 325-5500</t>
  </si>
  <si>
    <t xml:space="preserve">MA0107</t>
  </si>
  <si>
    <t xml:space="preserve">Goodnow Library</t>
  </si>
  <si>
    <t xml:space="preserve">Sudbury</t>
  </si>
  <si>
    <t xml:space="preserve">(978) 443-1035</t>
  </si>
  <si>
    <t xml:space="preserve">MA0285</t>
  </si>
  <si>
    <t xml:space="preserve">Grafton Public Library</t>
  </si>
  <si>
    <t xml:space="preserve">Grafton</t>
  </si>
  <si>
    <t xml:space="preserve">(508) 839-4649</t>
  </si>
  <si>
    <t xml:space="preserve">MA0110</t>
  </si>
  <si>
    <t xml:space="preserve">Greenfield Public Library</t>
  </si>
  <si>
    <t xml:space="preserve">(413) 772-1544</t>
  </si>
  <si>
    <t xml:space="preserve">MA0114</t>
  </si>
  <si>
    <t xml:space="preserve">(978) 448-8000</t>
  </si>
  <si>
    <t xml:space="preserve">MA0115</t>
  </si>
  <si>
    <t xml:space="preserve">Hamilton-Wenham Public Library</t>
  </si>
  <si>
    <t xml:space="preserve">South Hamilton</t>
  </si>
  <si>
    <t xml:space="preserve">(978) 468-5577</t>
  </si>
  <si>
    <t xml:space="preserve">MA9024</t>
  </si>
  <si>
    <t xml:space="preserve">Hanson Public Library</t>
  </si>
  <si>
    <t xml:space="preserve">Hanson</t>
  </si>
  <si>
    <t xml:space="preserve">(781) 293-2151</t>
  </si>
  <si>
    <t xml:space="preserve">MA0123</t>
  </si>
  <si>
    <t xml:space="preserve">Haverhill Public Library</t>
  </si>
  <si>
    <t xml:space="preserve">Haverhill</t>
  </si>
  <si>
    <t xml:space="preserve">(978) 373-1586</t>
  </si>
  <si>
    <t xml:space="preserve">MA0128</t>
  </si>
  <si>
    <t xml:space="preserve">Hingham Public Library</t>
  </si>
  <si>
    <t xml:space="preserve">Hingham</t>
  </si>
  <si>
    <t xml:space="preserve">(781) 741-1405</t>
  </si>
  <si>
    <t xml:space="preserve">MA0130</t>
  </si>
  <si>
    <t xml:space="preserve">Holbrook Public Library</t>
  </si>
  <si>
    <t xml:space="preserve">(781) 767-3644</t>
  </si>
  <si>
    <t xml:space="preserve">MA0132</t>
  </si>
  <si>
    <t xml:space="preserve">Holliston Public Library</t>
  </si>
  <si>
    <t xml:space="preserve">Holliston</t>
  </si>
  <si>
    <t xml:space="preserve">(508) 429-0617</t>
  </si>
  <si>
    <t xml:space="preserve">MA0135</t>
  </si>
  <si>
    <t xml:space="preserve">Holyoke Public Library</t>
  </si>
  <si>
    <t xml:space="preserve">Holyoke</t>
  </si>
  <si>
    <t xml:space="preserve">(413) 420-8101</t>
  </si>
  <si>
    <t xml:space="preserve">MA0136</t>
  </si>
  <si>
    <t xml:space="preserve">Hopkinton Public Library</t>
  </si>
  <si>
    <t xml:space="preserve">Hopkinton</t>
  </si>
  <si>
    <t xml:space="preserve">(508) 497-9777</t>
  </si>
  <si>
    <t xml:space="preserve">MA0138</t>
  </si>
  <si>
    <t xml:space="preserve">Hubbard Memorial Library</t>
  </si>
  <si>
    <t xml:space="preserve">Ludlow</t>
  </si>
  <si>
    <t xml:space="preserve">(413) 583-3408</t>
  </si>
  <si>
    <t xml:space="preserve">MA0160</t>
  </si>
  <si>
    <t xml:space="preserve">Hudson Public Library</t>
  </si>
  <si>
    <t xml:space="preserve">(978) 568-9644</t>
  </si>
  <si>
    <t xml:space="preserve">MA0140</t>
  </si>
  <si>
    <t xml:space="preserve">Hull Public Library</t>
  </si>
  <si>
    <t xml:space="preserve">Hull</t>
  </si>
  <si>
    <t xml:space="preserve">(781) 925-2295</t>
  </si>
  <si>
    <t xml:space="preserve">MA0141</t>
  </si>
  <si>
    <t xml:space="preserve">Hyannis Public Library Assoc.</t>
  </si>
  <si>
    <t xml:space="preserve">Hyannis</t>
  </si>
  <si>
    <t xml:space="preserve">(508) 775-2280</t>
  </si>
  <si>
    <t xml:space="preserve">MA0352</t>
  </si>
  <si>
    <t xml:space="preserve">Ipswich Public Library</t>
  </si>
  <si>
    <t xml:space="preserve">Ipswich</t>
  </si>
  <si>
    <t xml:space="preserve">(978) 356-6648</t>
  </si>
  <si>
    <t xml:space="preserve">MA0143</t>
  </si>
  <si>
    <t xml:space="preserve">J. V. Fletcher Library</t>
  </si>
  <si>
    <t xml:space="preserve">Westford</t>
  </si>
  <si>
    <t xml:space="preserve">(978) 692-5555</t>
  </si>
  <si>
    <t xml:space="preserve">MA0326</t>
  </si>
  <si>
    <t xml:space="preserve">Jacob Edwards Library</t>
  </si>
  <si>
    <t xml:space="preserve">Southbridge</t>
  </si>
  <si>
    <t xml:space="preserve">(508) 764-5426</t>
  </si>
  <si>
    <t xml:space="preserve">MA0275</t>
  </si>
  <si>
    <t xml:space="preserve">John Curtis Free Library</t>
  </si>
  <si>
    <t xml:space="preserve">Hanover</t>
  </si>
  <si>
    <t xml:space="preserve">(781) 826-2972</t>
  </si>
  <si>
    <t xml:space="preserve">MA0122</t>
  </si>
  <si>
    <t xml:space="preserve">Jonathan Bourne Public Library</t>
  </si>
  <si>
    <t xml:space="preserve">Bourne</t>
  </si>
  <si>
    <t xml:space="preserve">(508) 759-0600</t>
  </si>
  <si>
    <t xml:space="preserve">MA0036</t>
  </si>
  <si>
    <t xml:space="preserve">Jones Library, Inc.</t>
  </si>
  <si>
    <t xml:space="preserve">Amherst</t>
  </si>
  <si>
    <t xml:space="preserve">(413) 259-3090</t>
  </si>
  <si>
    <t xml:space="preserve">MA0008</t>
  </si>
  <si>
    <t xml:space="preserve">Kingston Public Library</t>
  </si>
  <si>
    <t xml:space="preserve">Kingston</t>
  </si>
  <si>
    <t xml:space="preserve">(781) 585-0517</t>
  </si>
  <si>
    <t xml:space="preserve">MA0144</t>
  </si>
  <si>
    <t xml:space="preserve">Lakeville Free Public Library</t>
  </si>
  <si>
    <t xml:space="preserve">Lakeville</t>
  </si>
  <si>
    <t xml:space="preserve">(508) 947-9028</t>
  </si>
  <si>
    <t xml:space="preserve">MA0145</t>
  </si>
  <si>
    <t xml:space="preserve">Lawrence Library</t>
  </si>
  <si>
    <t xml:space="preserve">Pepperell</t>
  </si>
  <si>
    <t xml:space="preserve">(978) 433-0330</t>
  </si>
  <si>
    <t xml:space="preserve">MA0229</t>
  </si>
  <si>
    <t xml:space="preserve">(978) 620-3600</t>
  </si>
  <si>
    <t xml:space="preserve">MA0148</t>
  </si>
  <si>
    <t xml:space="preserve">Leicester Public Library</t>
  </si>
  <si>
    <t xml:space="preserve">Leicester</t>
  </si>
  <si>
    <t xml:space="preserve">(508) 892-7020</t>
  </si>
  <si>
    <t xml:space="preserve">MA0150</t>
  </si>
  <si>
    <t xml:space="preserve">Leominster Public Library</t>
  </si>
  <si>
    <t xml:space="preserve">Leominster</t>
  </si>
  <si>
    <t xml:space="preserve">(978) 534-7522</t>
  </si>
  <si>
    <t xml:space="preserve">MA0152</t>
  </si>
  <si>
    <t xml:space="preserve">Levi Heywood Memorial Library</t>
  </si>
  <si>
    <t xml:space="preserve">Gardner</t>
  </si>
  <si>
    <t xml:space="preserve">(978) 632-5298</t>
  </si>
  <si>
    <t xml:space="preserve">MA0103</t>
  </si>
  <si>
    <t xml:space="preserve">Lucius Beebe Memorial Library</t>
  </si>
  <si>
    <t xml:space="preserve">Wakefield</t>
  </si>
  <si>
    <t xml:space="preserve">(781) 246-6335</t>
  </si>
  <si>
    <t xml:space="preserve">MA0302</t>
  </si>
  <si>
    <t xml:space="preserve">Lunenburg Public Library</t>
  </si>
  <si>
    <t xml:space="preserve">Lunenburg</t>
  </si>
  <si>
    <t xml:space="preserve">(978) 582-4140</t>
  </si>
  <si>
    <t xml:space="preserve">MA0161</t>
  </si>
  <si>
    <t xml:space="preserve">Lynn Public Library</t>
  </si>
  <si>
    <t xml:space="preserve">Lynn</t>
  </si>
  <si>
    <t xml:space="preserve">(781) 595-0567</t>
  </si>
  <si>
    <t xml:space="preserve">MA0162</t>
  </si>
  <si>
    <t xml:space="preserve">Lynnfield Public Library</t>
  </si>
  <si>
    <t xml:space="preserve">Lynnfield</t>
  </si>
  <si>
    <t xml:space="preserve">(781) 334-5411</t>
  </si>
  <si>
    <t xml:space="preserve">MA0163</t>
  </si>
  <si>
    <t xml:space="preserve">Malden Public Library</t>
  </si>
  <si>
    <t xml:space="preserve">Malden</t>
  </si>
  <si>
    <t xml:space="preserve">(781) 324-0218</t>
  </si>
  <si>
    <t xml:space="preserve">MA0164</t>
  </si>
  <si>
    <t xml:space="preserve">(508) 261-7382</t>
  </si>
  <si>
    <t xml:space="preserve">MA0166</t>
  </si>
  <si>
    <t xml:space="preserve">Marlborough Public Library</t>
  </si>
  <si>
    <t xml:space="preserve">Marlborough</t>
  </si>
  <si>
    <t xml:space="preserve">(508) 624-6900</t>
  </si>
  <si>
    <t xml:space="preserve">MA0169</t>
  </si>
  <si>
    <t xml:space="preserve">Mashpee Public Library</t>
  </si>
  <si>
    <t xml:space="preserve">Mashpee</t>
  </si>
  <si>
    <t xml:space="preserve">(508) 539-1435</t>
  </si>
  <si>
    <t xml:space="preserve">MA0171</t>
  </si>
  <si>
    <t xml:space="preserve">Maynard Public Library</t>
  </si>
  <si>
    <t xml:space="preserve">Maynard</t>
  </si>
  <si>
    <t xml:space="preserve">(978) 897-1010</t>
  </si>
  <si>
    <t xml:space="preserve">MA0173</t>
  </si>
  <si>
    <t xml:space="preserve">Medfield Memorial Library</t>
  </si>
  <si>
    <t xml:space="preserve">Medfield</t>
  </si>
  <si>
    <t xml:space="preserve">(508) 359-4544</t>
  </si>
  <si>
    <t xml:space="preserve">MA0174</t>
  </si>
  <si>
    <t xml:space="preserve">Medford Public Library</t>
  </si>
  <si>
    <t xml:space="preserve">Medford</t>
  </si>
  <si>
    <t xml:space="preserve">(781) 395-7950</t>
  </si>
  <si>
    <t xml:space="preserve">MA0175</t>
  </si>
  <si>
    <t xml:space="preserve">Medway Public Library</t>
  </si>
  <si>
    <t xml:space="preserve">Medway</t>
  </si>
  <si>
    <t xml:space="preserve">(508) 533-3217</t>
  </si>
  <si>
    <t xml:space="preserve">MA0176</t>
  </si>
  <si>
    <t xml:space="preserve">Melrose Public Library</t>
  </si>
  <si>
    <t xml:space="preserve">Melrose</t>
  </si>
  <si>
    <t xml:space="preserve">(781) 665-2313</t>
  </si>
  <si>
    <t xml:space="preserve">MA0177</t>
  </si>
  <si>
    <t xml:space="preserve">Memorial Hall Library</t>
  </si>
  <si>
    <t xml:space="preserve">(978) 623-8400</t>
  </si>
  <si>
    <t xml:space="preserve">MA0009</t>
  </si>
  <si>
    <t xml:space="preserve">Middleborough Public Library</t>
  </si>
  <si>
    <t xml:space="preserve">Middleborough</t>
  </si>
  <si>
    <t xml:space="preserve">(508) 946-2470</t>
  </si>
  <si>
    <t xml:space="preserve">MA0181</t>
  </si>
  <si>
    <t xml:space="preserve">Milford Town Library</t>
  </si>
  <si>
    <t xml:space="preserve">(508) 473-2145</t>
  </si>
  <si>
    <t xml:space="preserve">MA0184</t>
  </si>
  <si>
    <t xml:space="preserve">Millbury Public Library</t>
  </si>
  <si>
    <t xml:space="preserve">Millbury</t>
  </si>
  <si>
    <t xml:space="preserve">(508) 865-1181</t>
  </si>
  <si>
    <t xml:space="preserve">MA0185</t>
  </si>
  <si>
    <t xml:space="preserve">Millicent Library</t>
  </si>
  <si>
    <t xml:space="preserve">Fairhaven</t>
  </si>
  <si>
    <t xml:space="preserve">(508) 992-5342</t>
  </si>
  <si>
    <t xml:space="preserve">MA0094</t>
  </si>
  <si>
    <t xml:space="preserve">Milton Public Library</t>
  </si>
  <si>
    <t xml:space="preserve">(617) 698-5757</t>
  </si>
  <si>
    <t xml:space="preserve">MA0188</t>
  </si>
  <si>
    <t xml:space="preserve">Morrill Memorial Library</t>
  </si>
  <si>
    <t xml:space="preserve">Norwood</t>
  </si>
  <si>
    <t xml:space="preserve">(781) 769-0200</t>
  </si>
  <si>
    <t xml:space="preserve">MA0217</t>
  </si>
  <si>
    <t xml:space="preserve">Morse Institute Library</t>
  </si>
  <si>
    <t xml:space="preserve">Natick</t>
  </si>
  <si>
    <t xml:space="preserve">(508) 647-6520</t>
  </si>
  <si>
    <t xml:space="preserve">MA0196</t>
  </si>
  <si>
    <t xml:space="preserve">Moses Greeley Parker Memorial Lib.</t>
  </si>
  <si>
    <t xml:space="preserve">Dracut</t>
  </si>
  <si>
    <t xml:space="preserve">(978) 454-5474</t>
  </si>
  <si>
    <t xml:space="preserve">MA0079</t>
  </si>
  <si>
    <t xml:space="preserve">Nantucket Atheneum</t>
  </si>
  <si>
    <t xml:space="preserve">Nantucket</t>
  </si>
  <si>
    <t xml:space="preserve">(508) 228-1110</t>
  </si>
  <si>
    <t xml:space="preserve">MA0195</t>
  </si>
  <si>
    <t xml:space="preserve">Needham Free Public Library</t>
  </si>
  <si>
    <t xml:space="preserve">Needham</t>
  </si>
  <si>
    <t xml:space="preserve">(781) 455-7559</t>
  </si>
  <si>
    <t xml:space="preserve">MA0197</t>
  </si>
  <si>
    <t xml:space="preserve">Nevins Memorial Library</t>
  </si>
  <si>
    <t xml:space="preserve">Methuen</t>
  </si>
  <si>
    <t xml:space="preserve">(978) 686-4080</t>
  </si>
  <si>
    <t xml:space="preserve">MA0180</t>
  </si>
  <si>
    <t xml:space="preserve">New Bedford Free Public Library</t>
  </si>
  <si>
    <t xml:space="preserve">New Bedford</t>
  </si>
  <si>
    <t xml:space="preserve">(508) 991-6275</t>
  </si>
  <si>
    <t xml:space="preserve">MA0198</t>
  </si>
  <si>
    <t xml:space="preserve">Newburyport Public Library</t>
  </si>
  <si>
    <t xml:space="preserve">Newburyport</t>
  </si>
  <si>
    <t xml:space="preserve">(978) 465-4428</t>
  </si>
  <si>
    <t xml:space="preserve">MA0203</t>
  </si>
  <si>
    <t xml:space="preserve">Newton Free Library</t>
  </si>
  <si>
    <t xml:space="preserve">(617) 796-1360</t>
  </si>
  <si>
    <t xml:space="preserve">MA0204</t>
  </si>
  <si>
    <t xml:space="preserve">Norfolk Public Library</t>
  </si>
  <si>
    <t xml:space="preserve">(508) 528-3380</t>
  </si>
  <si>
    <t xml:space="preserve">MA0205</t>
  </si>
  <si>
    <t xml:space="preserve">North Adams Public Library</t>
  </si>
  <si>
    <t xml:space="preserve">North Adams</t>
  </si>
  <si>
    <t xml:space="preserve">(413) 662-3133</t>
  </si>
  <si>
    <t xml:space="preserve">MA0206</t>
  </si>
  <si>
    <t xml:space="preserve">Northborough Free Library</t>
  </si>
  <si>
    <t xml:space="preserve">Northborough</t>
  </si>
  <si>
    <t xml:space="preserve">(508) 393-5025</t>
  </si>
  <si>
    <t xml:space="preserve">MA0212</t>
  </si>
  <si>
    <t xml:space="preserve">Norton Public Library</t>
  </si>
  <si>
    <t xml:space="preserve">Norton</t>
  </si>
  <si>
    <t xml:space="preserve">(508) 285-0265</t>
  </si>
  <si>
    <t xml:space="preserve">MA0215</t>
  </si>
  <si>
    <t xml:space="preserve">Norwell Public Library</t>
  </si>
  <si>
    <t xml:space="preserve">Norwell</t>
  </si>
  <si>
    <t xml:space="preserve">(781) 659-2015</t>
  </si>
  <si>
    <t xml:space="preserve">MA0216</t>
  </si>
  <si>
    <t xml:space="preserve">Oxford Free Public Library</t>
  </si>
  <si>
    <t xml:space="preserve">(508) 987-6003</t>
  </si>
  <si>
    <t xml:space="preserve">MA0223</t>
  </si>
  <si>
    <t xml:space="preserve">(413) 283-3330</t>
  </si>
  <si>
    <t xml:space="preserve">MA0224</t>
  </si>
  <si>
    <t xml:space="preserve">Peabody Institute Library</t>
  </si>
  <si>
    <t xml:space="preserve">Danvers</t>
  </si>
  <si>
    <t xml:space="preserve">(978) 774-0554</t>
  </si>
  <si>
    <t xml:space="preserve">MA0071</t>
  </si>
  <si>
    <t xml:space="preserve">Peabody</t>
  </si>
  <si>
    <t xml:space="preserve">(978) 531-0100</t>
  </si>
  <si>
    <t xml:space="preserve">MA0226</t>
  </si>
  <si>
    <t xml:space="preserve">Pearle L. Crawford Memorial Library</t>
  </si>
  <si>
    <t xml:space="preserve">Dudley</t>
  </si>
  <si>
    <t xml:space="preserve">(508) 949-8021</t>
  </si>
  <si>
    <t xml:space="preserve">MA0080</t>
  </si>
  <si>
    <t xml:space="preserve">Pembroke Public Library</t>
  </si>
  <si>
    <t xml:space="preserve">Pembroke</t>
  </si>
  <si>
    <t xml:space="preserve">(781) 293-6771</t>
  </si>
  <si>
    <t xml:space="preserve">MA0228</t>
  </si>
  <si>
    <t xml:space="preserve">(508) 830-4250</t>
  </si>
  <si>
    <t xml:space="preserve">MA0236</t>
  </si>
  <si>
    <t xml:space="preserve">Raynham Public Library</t>
  </si>
  <si>
    <t xml:space="preserve">Raynham</t>
  </si>
  <si>
    <t xml:space="preserve">(508) 823-1344</t>
  </si>
  <si>
    <t xml:space="preserve">MA0242</t>
  </si>
  <si>
    <t xml:space="preserve">Reading Public Library</t>
  </si>
  <si>
    <t xml:space="preserve">Reading</t>
  </si>
  <si>
    <t xml:space="preserve">(781) 944-0840</t>
  </si>
  <si>
    <t xml:space="preserve">MA0243</t>
  </si>
  <si>
    <t xml:space="preserve">Reuben Hoar Library</t>
  </si>
  <si>
    <t xml:space="preserve">(978) 540-2600</t>
  </si>
  <si>
    <t xml:space="preserve">MA0157</t>
  </si>
  <si>
    <t xml:space="preserve">Revere Public Library</t>
  </si>
  <si>
    <t xml:space="preserve">Revere</t>
  </si>
  <si>
    <t xml:space="preserve">(781) 286-8380</t>
  </si>
  <si>
    <t xml:space="preserve">MA0245</t>
  </si>
  <si>
    <t xml:space="preserve">Richard Salter Storrs Library</t>
  </si>
  <si>
    <t xml:space="preserve">Longmeadow</t>
  </si>
  <si>
    <t xml:space="preserve">(413) 565-4181</t>
  </si>
  <si>
    <t xml:space="preserve">MA0158</t>
  </si>
  <si>
    <t xml:space="preserve">Richard Sugden Public Library</t>
  </si>
  <si>
    <t xml:space="preserve">(508) 885-7513</t>
  </si>
  <si>
    <t xml:space="preserve">MA0277</t>
  </si>
  <si>
    <t xml:space="preserve">Richards Memorial Library</t>
  </si>
  <si>
    <t xml:space="preserve">North Attleborough</t>
  </si>
  <si>
    <t xml:space="preserve">(508) 699-0122</t>
  </si>
  <si>
    <t xml:space="preserve">MA0208</t>
  </si>
  <si>
    <t xml:space="preserve">Robbins Library</t>
  </si>
  <si>
    <t xml:space="preserve">Arlington</t>
  </si>
  <si>
    <t xml:space="preserve">(781) 316-3200</t>
  </si>
  <si>
    <t xml:space="preserve">MA0010</t>
  </si>
  <si>
    <t xml:space="preserve">Rockland Memorial Library</t>
  </si>
  <si>
    <t xml:space="preserve">Rockland</t>
  </si>
  <si>
    <t xml:space="preserve">(781) 878-1236</t>
  </si>
  <si>
    <t xml:space="preserve">MA0248</t>
  </si>
  <si>
    <t xml:space="preserve">Salem Public Library</t>
  </si>
  <si>
    <t xml:space="preserve">(978) 744-0860</t>
  </si>
  <si>
    <t xml:space="preserve">MA0255</t>
  </si>
  <si>
    <t xml:space="preserve">Samuel S. Pollard Memorial Library</t>
  </si>
  <si>
    <t xml:space="preserve">(978) 674-4120</t>
  </si>
  <si>
    <t xml:space="preserve">MA0159</t>
  </si>
  <si>
    <t xml:space="preserve">Sandwich Free Public Library</t>
  </si>
  <si>
    <t xml:space="preserve">Sandwich</t>
  </si>
  <si>
    <t xml:space="preserve">(508) 888-0625</t>
  </si>
  <si>
    <t xml:space="preserve">MA0258</t>
  </si>
  <si>
    <t xml:space="preserve">Saugus Public Library</t>
  </si>
  <si>
    <t xml:space="preserve">Saugus</t>
  </si>
  <si>
    <t xml:space="preserve">(781) 231-4168</t>
  </si>
  <si>
    <t xml:space="preserve">MA0259</t>
  </si>
  <si>
    <t xml:space="preserve">Scituate Town Library</t>
  </si>
  <si>
    <t xml:space="preserve">Scituate</t>
  </si>
  <si>
    <t xml:space="preserve">(781) 545-8727</t>
  </si>
  <si>
    <t xml:space="preserve">MA0261</t>
  </si>
  <si>
    <t xml:space="preserve">Seekonk Public Library</t>
  </si>
  <si>
    <t xml:space="preserve">Seekonk</t>
  </si>
  <si>
    <t xml:space="preserve">(508) 336-8230</t>
  </si>
  <si>
    <t xml:space="preserve">MA0262</t>
  </si>
  <si>
    <t xml:space="preserve">Sharon Public Library</t>
  </si>
  <si>
    <t xml:space="preserve">Sharon</t>
  </si>
  <si>
    <t xml:space="preserve">(781) 784-1578</t>
  </si>
  <si>
    <t xml:space="preserve">MA0263</t>
  </si>
  <si>
    <t xml:space="preserve">Shrewsbury Free Public Library</t>
  </si>
  <si>
    <t xml:space="preserve">Shrewsbury</t>
  </si>
  <si>
    <t xml:space="preserve">(508) 841-8609</t>
  </si>
  <si>
    <t xml:space="preserve">MA0268</t>
  </si>
  <si>
    <t xml:space="preserve">Somerset Public Library</t>
  </si>
  <si>
    <t xml:space="preserve">(508) 646-2829</t>
  </si>
  <si>
    <t xml:space="preserve">MA0270</t>
  </si>
  <si>
    <t xml:space="preserve">Somerville Public Library</t>
  </si>
  <si>
    <t xml:space="preserve">Somerville</t>
  </si>
  <si>
    <t xml:space="preserve">(617) 623-5000</t>
  </si>
  <si>
    <t xml:space="preserve">MA0271</t>
  </si>
  <si>
    <t xml:space="preserve">South Hadley Public Library</t>
  </si>
  <si>
    <t xml:space="preserve">South Hadley</t>
  </si>
  <si>
    <t xml:space="preserve">(413) 538-5045</t>
  </si>
  <si>
    <t xml:space="preserve">MA0272</t>
  </si>
  <si>
    <t xml:space="preserve">Southborough Public Library</t>
  </si>
  <si>
    <t xml:space="preserve">Southborough</t>
  </si>
  <si>
    <t xml:space="preserve">(508) 485-5031</t>
  </si>
  <si>
    <t xml:space="preserve">MA0274</t>
  </si>
  <si>
    <t xml:space="preserve">Springfield City Library</t>
  </si>
  <si>
    <t xml:space="preserve">(413) 263-6828</t>
  </si>
  <si>
    <t xml:space="preserve">MA0278</t>
  </si>
  <si>
    <t xml:space="preserve">Stevens Memorial Library</t>
  </si>
  <si>
    <t xml:space="preserve">North Andover</t>
  </si>
  <si>
    <t xml:space="preserve">(978) 688-9505</t>
  </si>
  <si>
    <t xml:space="preserve">MA0207</t>
  </si>
  <si>
    <t xml:space="preserve">Stoneham Public Library</t>
  </si>
  <si>
    <t xml:space="preserve">Stoneham</t>
  </si>
  <si>
    <t xml:space="preserve">(781) 438-1324</t>
  </si>
  <si>
    <t xml:space="preserve">MA0281</t>
  </si>
  <si>
    <t xml:space="preserve">Stoughton Public Library</t>
  </si>
  <si>
    <t xml:space="preserve">Stoughton</t>
  </si>
  <si>
    <t xml:space="preserve">(781) 344-2711</t>
  </si>
  <si>
    <t xml:space="preserve">MA0282</t>
  </si>
  <si>
    <t xml:space="preserve">Swampscott Public Library</t>
  </si>
  <si>
    <t xml:space="preserve">Swampscott</t>
  </si>
  <si>
    <t xml:space="preserve">(781) 596-8867</t>
  </si>
  <si>
    <t xml:space="preserve">MA0288</t>
  </si>
  <si>
    <t xml:space="preserve">Swansea Free Public Library</t>
  </si>
  <si>
    <t xml:space="preserve">Swansea</t>
  </si>
  <si>
    <t xml:space="preserve">(508) 674-9609</t>
  </si>
  <si>
    <t xml:space="preserve">MA0289</t>
  </si>
  <si>
    <t xml:space="preserve">Taunton Public Library</t>
  </si>
  <si>
    <t xml:space="preserve">Taunton</t>
  </si>
  <si>
    <t xml:space="preserve">(508) 821-1410</t>
  </si>
  <si>
    <t xml:space="preserve">MA0290</t>
  </si>
  <si>
    <t xml:space="preserve">Tewksbury Public Library</t>
  </si>
  <si>
    <t xml:space="preserve">Tewksbury</t>
  </si>
  <si>
    <t xml:space="preserve">(978) 640-4490</t>
  </si>
  <si>
    <t xml:space="preserve">MA0292</t>
  </si>
  <si>
    <t xml:space="preserve">Thayer Public Library</t>
  </si>
  <si>
    <t xml:space="preserve">Braintree</t>
  </si>
  <si>
    <t xml:space="preserve">(781) 848-0405</t>
  </si>
  <si>
    <t xml:space="preserve">MA0040</t>
  </si>
  <si>
    <t xml:space="preserve">Thomas Crane Public Library</t>
  </si>
  <si>
    <t xml:space="preserve">(617) 376-1300</t>
  </si>
  <si>
    <t xml:space="preserve">MA0240</t>
  </si>
  <si>
    <t xml:space="preserve">Turner Free Library</t>
  </si>
  <si>
    <t xml:space="preserve">Randolph</t>
  </si>
  <si>
    <t xml:space="preserve">(781) 961-0932</t>
  </si>
  <si>
    <t xml:space="preserve">MA0241</t>
  </si>
  <si>
    <t xml:space="preserve">Tyngsborough Public Library</t>
  </si>
  <si>
    <t xml:space="preserve">Tyngsborough</t>
  </si>
  <si>
    <t xml:space="preserve">(978) 649-7361</t>
  </si>
  <si>
    <t xml:space="preserve">MA0298</t>
  </si>
  <si>
    <t xml:space="preserve">Uxbridge Free Public Library</t>
  </si>
  <si>
    <t xml:space="preserve">Uxbridge</t>
  </si>
  <si>
    <t xml:space="preserve">(508) 278-8624</t>
  </si>
  <si>
    <t xml:space="preserve">MA0301</t>
  </si>
  <si>
    <t xml:space="preserve">Ventress Memorial Library</t>
  </si>
  <si>
    <t xml:space="preserve">Marshfield</t>
  </si>
  <si>
    <t xml:space="preserve">(781) 834-5535</t>
  </si>
  <si>
    <t xml:space="preserve">MA0170</t>
  </si>
  <si>
    <t xml:space="preserve">Walpole Public Library</t>
  </si>
  <si>
    <t xml:space="preserve">Walpole</t>
  </si>
  <si>
    <t xml:space="preserve">(508) 660-7340</t>
  </si>
  <si>
    <t xml:space="preserve">MA0304</t>
  </si>
  <si>
    <t xml:space="preserve">Waltham Public Library</t>
  </si>
  <si>
    <t xml:space="preserve">Waltham</t>
  </si>
  <si>
    <t xml:space="preserve">(781) 314-3425</t>
  </si>
  <si>
    <t xml:space="preserve">MA0305</t>
  </si>
  <si>
    <t xml:space="preserve">Wareham Free Library</t>
  </si>
  <si>
    <t xml:space="preserve">Wareham</t>
  </si>
  <si>
    <t xml:space="preserve">(508) 295-2343</t>
  </si>
  <si>
    <t xml:space="preserve">MA0307</t>
  </si>
  <si>
    <t xml:space="preserve">Watertown Free Public Library</t>
  </si>
  <si>
    <t xml:space="preserve">(617) 972-6431</t>
  </si>
  <si>
    <t xml:space="preserve">MA0310</t>
  </si>
  <si>
    <t xml:space="preserve">Wayland Free Public Library</t>
  </si>
  <si>
    <t xml:space="preserve">Wayland</t>
  </si>
  <si>
    <t xml:space="preserve">(508) 358-2311</t>
  </si>
  <si>
    <t xml:space="preserve">MA0311</t>
  </si>
  <si>
    <t xml:space="preserve">Wellesley Free Library</t>
  </si>
  <si>
    <t xml:space="preserve">Wellesley</t>
  </si>
  <si>
    <t xml:space="preserve">(781) 235-1610</t>
  </si>
  <si>
    <t xml:space="preserve">MA0313</t>
  </si>
  <si>
    <t xml:space="preserve">West Springfield Public Library</t>
  </si>
  <si>
    <t xml:space="preserve">West Springfield</t>
  </si>
  <si>
    <t xml:space="preserve">(413) 736-4561</t>
  </si>
  <si>
    <t xml:space="preserve">MA0321</t>
  </si>
  <si>
    <t xml:space="preserve">Westborough Public Library</t>
  </si>
  <si>
    <t xml:space="preserve">Westborough</t>
  </si>
  <si>
    <t xml:space="preserve">(508) 366-3050</t>
  </si>
  <si>
    <t xml:space="preserve">MA0324</t>
  </si>
  <si>
    <t xml:space="preserve">Westfield Athenaeum</t>
  </si>
  <si>
    <t xml:space="preserve">(413) 568-7833</t>
  </si>
  <si>
    <t xml:space="preserve">MA0325</t>
  </si>
  <si>
    <t xml:space="preserve">(781) 786-6150</t>
  </si>
  <si>
    <t xml:space="preserve">MA0329</t>
  </si>
  <si>
    <t xml:space="preserve">Westport Free Public Library</t>
  </si>
  <si>
    <t xml:space="preserve">(508) 636-1100</t>
  </si>
  <si>
    <t xml:space="preserve">MA0330</t>
  </si>
  <si>
    <t xml:space="preserve">Westwood Public Library</t>
  </si>
  <si>
    <t xml:space="preserve">Westwood</t>
  </si>
  <si>
    <t xml:space="preserve">(781) 326-7562</t>
  </si>
  <si>
    <t xml:space="preserve">MA0331</t>
  </si>
  <si>
    <t xml:space="preserve">Weymouth Public Libraries</t>
  </si>
  <si>
    <t xml:space="preserve">Weymouth</t>
  </si>
  <si>
    <t xml:space="preserve">(781) 340-5002</t>
  </si>
  <si>
    <t xml:space="preserve">MA0332</t>
  </si>
  <si>
    <t xml:space="preserve">Whitinsville Social Library</t>
  </si>
  <si>
    <t xml:space="preserve">Whitinsville</t>
  </si>
  <si>
    <t xml:space="preserve">(508) 234-2151</t>
  </si>
  <si>
    <t xml:space="preserve">MA0213</t>
  </si>
  <si>
    <t xml:space="preserve">Whitman Public Library</t>
  </si>
  <si>
    <t xml:space="preserve">Whitman</t>
  </si>
  <si>
    <t xml:space="preserve">(781) 447-7613</t>
  </si>
  <si>
    <t xml:space="preserve">MA0334</t>
  </si>
  <si>
    <t xml:space="preserve">Wilbraham Public Library</t>
  </si>
  <si>
    <t xml:space="preserve">Wilbraham</t>
  </si>
  <si>
    <t xml:space="preserve">(413) 596-6141</t>
  </si>
  <si>
    <t xml:space="preserve">MA0335</t>
  </si>
  <si>
    <t xml:space="preserve">Wilmington Memorial Library</t>
  </si>
  <si>
    <t xml:space="preserve">(978) 658-2967</t>
  </si>
  <si>
    <t xml:space="preserve">MA0338</t>
  </si>
  <si>
    <t xml:space="preserve">Winchester Public Library</t>
  </si>
  <si>
    <t xml:space="preserve">(781) 721-7171</t>
  </si>
  <si>
    <t xml:space="preserve">MA0340</t>
  </si>
  <si>
    <t xml:space="preserve">Winthrop Public Library &amp; Museum</t>
  </si>
  <si>
    <t xml:space="preserve">Winthrop</t>
  </si>
  <si>
    <t xml:space="preserve">(617) 846-1703</t>
  </si>
  <si>
    <t xml:space="preserve">MA0342</t>
  </si>
  <si>
    <t xml:space="preserve">Woburn Public Library</t>
  </si>
  <si>
    <t xml:space="preserve">Woburn</t>
  </si>
  <si>
    <t xml:space="preserve">(781) 933-0148</t>
  </si>
  <si>
    <t xml:space="preserve">MA0343</t>
  </si>
  <si>
    <t xml:space="preserve">Worcester Public Library</t>
  </si>
  <si>
    <t xml:space="preserve">(508) 799-1655</t>
  </si>
  <si>
    <t xml:space="preserve">MA0344</t>
  </si>
  <si>
    <t xml:space="preserve">Yarmouth Town Libraries</t>
  </si>
  <si>
    <t xml:space="preserve">South Yarmouth</t>
  </si>
  <si>
    <t xml:space="preserve">(508) 760-4820</t>
  </si>
  <si>
    <t xml:space="preserve">MA0377</t>
  </si>
  <si>
    <t xml:space="preserve">Young Men'S Library Association</t>
  </si>
  <si>
    <t xml:space="preserve">(413) 967-5491</t>
  </si>
  <si>
    <t xml:space="preserve">MA0306</t>
  </si>
  <si>
    <t xml:space="preserve">MD</t>
  </si>
  <si>
    <t xml:space="preserve">Allegany County Library System</t>
  </si>
  <si>
    <t xml:space="preserve">Cumberland</t>
  </si>
  <si>
    <t xml:space="preserve">Allegany</t>
  </si>
  <si>
    <t xml:space="preserve">(301) 777-1200</t>
  </si>
  <si>
    <t xml:space="preserve">MD0001</t>
  </si>
  <si>
    <t xml:space="preserve">Anne Arundel County Public Library</t>
  </si>
  <si>
    <t xml:space="preserve">Annapolis</t>
  </si>
  <si>
    <t xml:space="preserve">Anne Arundel Coun</t>
  </si>
  <si>
    <t xml:space="preserve">(410) 222-7371</t>
  </si>
  <si>
    <t xml:space="preserve">MD0002</t>
  </si>
  <si>
    <t xml:space="preserve">Baltimore County Public Library</t>
  </si>
  <si>
    <t xml:space="preserve">Towson</t>
  </si>
  <si>
    <t xml:space="preserve">Baltimore</t>
  </si>
  <si>
    <t xml:space="preserve">(410) 887-6100</t>
  </si>
  <si>
    <t xml:space="preserve">MD0004</t>
  </si>
  <si>
    <t xml:space="preserve">Calvert Library</t>
  </si>
  <si>
    <t xml:space="preserve">Prince Frederick</t>
  </si>
  <si>
    <t xml:space="preserve">Calvert</t>
  </si>
  <si>
    <t xml:space="preserve">(410) 535-0291</t>
  </si>
  <si>
    <t xml:space="preserve">MD0005</t>
  </si>
  <si>
    <t xml:space="preserve">Caroline County Public Library</t>
  </si>
  <si>
    <t xml:space="preserve">Denton</t>
  </si>
  <si>
    <t xml:space="preserve">Caroline</t>
  </si>
  <si>
    <t xml:space="preserve">(410) 479-1343</t>
  </si>
  <si>
    <t xml:space="preserve">MD0006</t>
  </si>
  <si>
    <t xml:space="preserve">Carroll County Public Library</t>
  </si>
  <si>
    <t xml:space="preserve">New Windsor</t>
  </si>
  <si>
    <t xml:space="preserve">(410) 386-4500</t>
  </si>
  <si>
    <t xml:space="preserve">MD0007</t>
  </si>
  <si>
    <t xml:space="preserve">Cecil County Public Library</t>
  </si>
  <si>
    <t xml:space="preserve">North East</t>
  </si>
  <si>
    <t xml:space="preserve">Cecil</t>
  </si>
  <si>
    <t xml:space="preserve">(410) 996-6269</t>
  </si>
  <si>
    <t xml:space="preserve">MD0008</t>
  </si>
  <si>
    <t xml:space="preserve">Charles County Public Library</t>
  </si>
  <si>
    <t xml:space="preserve">Charles</t>
  </si>
  <si>
    <t xml:space="preserve">(301) 934-9001</t>
  </si>
  <si>
    <t xml:space="preserve">MD0009</t>
  </si>
  <si>
    <t xml:space="preserve">Dorchester County Public Library</t>
  </si>
  <si>
    <t xml:space="preserve">Dorchester</t>
  </si>
  <si>
    <t xml:space="preserve">(410) 228-7332</t>
  </si>
  <si>
    <t xml:space="preserve">MD0010</t>
  </si>
  <si>
    <t xml:space="preserve">Enoch Pratt Free Library</t>
  </si>
  <si>
    <t xml:space="preserve">Baltimore City</t>
  </si>
  <si>
    <t xml:space="preserve">(410) 396-5395</t>
  </si>
  <si>
    <t xml:space="preserve">MD0003</t>
  </si>
  <si>
    <t xml:space="preserve">Frederick County Public Libraries</t>
  </si>
  <si>
    <t xml:space="preserve">Frederick</t>
  </si>
  <si>
    <t xml:space="preserve">(301) 600-1613</t>
  </si>
  <si>
    <t xml:space="preserve">MD0011</t>
  </si>
  <si>
    <t xml:space="preserve">Harford County Public Library</t>
  </si>
  <si>
    <t xml:space="preserve">Belcamp</t>
  </si>
  <si>
    <t xml:space="preserve">Harford</t>
  </si>
  <si>
    <t xml:space="preserve">(410) 273-5600</t>
  </si>
  <si>
    <t xml:space="preserve">MD0013</t>
  </si>
  <si>
    <t xml:space="preserve">Howard County Library System</t>
  </si>
  <si>
    <t xml:space="preserve">Ellicott City</t>
  </si>
  <si>
    <t xml:space="preserve">(410) 313-7750</t>
  </si>
  <si>
    <t xml:space="preserve">MD0014</t>
  </si>
  <si>
    <t xml:space="preserve">Chestertown</t>
  </si>
  <si>
    <t xml:space="preserve">(410) 778-3636</t>
  </si>
  <si>
    <t xml:space="preserve">MD0015</t>
  </si>
  <si>
    <t xml:space="preserve">Montgomery County Public Libraries</t>
  </si>
  <si>
    <t xml:space="preserve">(240) 777-0002</t>
  </si>
  <si>
    <t xml:space="preserve">MD0016</t>
  </si>
  <si>
    <t xml:space="preserve">Prince George`S County Memorial Library Syste</t>
  </si>
  <si>
    <t xml:space="preserve">Largo</t>
  </si>
  <si>
    <t xml:space="preserve">Prince George`S</t>
  </si>
  <si>
    <t xml:space="preserve">(301) 699-3500</t>
  </si>
  <si>
    <t xml:space="preserve">MD0017</t>
  </si>
  <si>
    <t xml:space="preserve">Queen Anne`S County Free Library</t>
  </si>
  <si>
    <t xml:space="preserve">Queen Anne`S</t>
  </si>
  <si>
    <t xml:space="preserve">(410) 758-0980</t>
  </si>
  <si>
    <t xml:space="preserve">MD0018</t>
  </si>
  <si>
    <t xml:space="preserve">Ruth Enlow Library Of Garrett County</t>
  </si>
  <si>
    <t xml:space="preserve">Garrett</t>
  </si>
  <si>
    <t xml:space="preserve">(301) 334-3996</t>
  </si>
  <si>
    <t xml:space="preserve">MD0012</t>
  </si>
  <si>
    <t xml:space="preserve">Somerset County Library</t>
  </si>
  <si>
    <t xml:space="preserve">Princess Anne</t>
  </si>
  <si>
    <t xml:space="preserve">(410) 651-0852</t>
  </si>
  <si>
    <t xml:space="preserve">MD0020</t>
  </si>
  <si>
    <t xml:space="preserve">St. Mary`S County Library</t>
  </si>
  <si>
    <t xml:space="preserve">Leonardtown</t>
  </si>
  <si>
    <t xml:space="preserve">St. Mary`S</t>
  </si>
  <si>
    <t xml:space="preserve">(301) 475-2151</t>
  </si>
  <si>
    <t xml:space="preserve">MD0019</t>
  </si>
  <si>
    <t xml:space="preserve">Takoma Park Maryland Library</t>
  </si>
  <si>
    <t xml:space="preserve">Takoma Park</t>
  </si>
  <si>
    <t xml:space="preserve">(301) 891-7259</t>
  </si>
  <si>
    <t xml:space="preserve">MD9004</t>
  </si>
  <si>
    <t xml:space="preserve">Talbot County Free Library</t>
  </si>
  <si>
    <t xml:space="preserve">Easton</t>
  </si>
  <si>
    <t xml:space="preserve">Talbot</t>
  </si>
  <si>
    <t xml:space="preserve">(410) 822-1626</t>
  </si>
  <si>
    <t xml:space="preserve">MD0021</t>
  </si>
  <si>
    <t xml:space="preserve">Washington County Free Library</t>
  </si>
  <si>
    <t xml:space="preserve">Hagerstown</t>
  </si>
  <si>
    <t xml:space="preserve">(301) 739-3250</t>
  </si>
  <si>
    <t xml:space="preserve">MD0022</t>
  </si>
  <si>
    <t xml:space="preserve">Wicomico County Free Library</t>
  </si>
  <si>
    <t xml:space="preserve">Salisbury</t>
  </si>
  <si>
    <t xml:space="preserve">Wicomico</t>
  </si>
  <si>
    <t xml:space="preserve">(410) 749-3612</t>
  </si>
  <si>
    <t xml:space="preserve">MD0023</t>
  </si>
  <si>
    <t xml:space="preserve">Worcester County Library</t>
  </si>
  <si>
    <t xml:space="preserve">Snow Hill</t>
  </si>
  <si>
    <t xml:space="preserve">(410) 632-2600</t>
  </si>
  <si>
    <t xml:space="preserve">MD0024</t>
  </si>
  <si>
    <t xml:space="preserve">ME</t>
  </si>
  <si>
    <t xml:space="preserve">Androscoggin</t>
  </si>
  <si>
    <t xml:space="preserve">(207) 333-6640</t>
  </si>
  <si>
    <t xml:space="preserve">ME0009</t>
  </si>
  <si>
    <t xml:space="preserve">Bangor Public Library</t>
  </si>
  <si>
    <t xml:space="preserve">Bangor</t>
  </si>
  <si>
    <t xml:space="preserve">Penobscot</t>
  </si>
  <si>
    <t xml:space="preserve">(207) 947-8336</t>
  </si>
  <si>
    <t xml:space="preserve">ME0013</t>
  </si>
  <si>
    <t xml:space="preserve">Baxter Memorial Library</t>
  </si>
  <si>
    <t xml:space="preserve">Gorham</t>
  </si>
  <si>
    <t xml:space="preserve">(207) 222-1190</t>
  </si>
  <si>
    <t xml:space="preserve">ME0088</t>
  </si>
  <si>
    <t xml:space="preserve">Cary Library-Houlton</t>
  </si>
  <si>
    <t xml:space="preserve">Houlton</t>
  </si>
  <si>
    <t xml:space="preserve">Aroostook</t>
  </si>
  <si>
    <t xml:space="preserve">(207) 532-1302</t>
  </si>
  <si>
    <t xml:space="preserve">ME0104</t>
  </si>
  <si>
    <t xml:space="preserve">Curtis Memorial Library</t>
  </si>
  <si>
    <t xml:space="preserve">(207) 725-5242</t>
  </si>
  <si>
    <t xml:space="preserve">ME0033</t>
  </si>
  <si>
    <t xml:space="preserve">Dyer Library</t>
  </si>
  <si>
    <t xml:space="preserve">Saco</t>
  </si>
  <si>
    <t xml:space="preserve">York</t>
  </si>
  <si>
    <t xml:space="preserve">(207) 283-3861</t>
  </si>
  <si>
    <t xml:space="preserve">ME0184</t>
  </si>
  <si>
    <t xml:space="preserve">Ellsworth Public Library</t>
  </si>
  <si>
    <t xml:space="preserve">Ellsworth</t>
  </si>
  <si>
    <t xml:space="preserve">(207) 667-6363</t>
  </si>
  <si>
    <t xml:space="preserve">ME0071</t>
  </si>
  <si>
    <t xml:space="preserve">Falmouth Memorial Library</t>
  </si>
  <si>
    <t xml:space="preserve">(207) 781-2351</t>
  </si>
  <si>
    <t xml:space="preserve">ME0075</t>
  </si>
  <si>
    <t xml:space="preserve">Gardiner Public Library</t>
  </si>
  <si>
    <t xml:space="preserve">Gardiner</t>
  </si>
  <si>
    <t xml:space="preserve">Kennebec</t>
  </si>
  <si>
    <t xml:space="preserve">(207) 582-3312</t>
  </si>
  <si>
    <t xml:space="preserve">ME0084</t>
  </si>
  <si>
    <t xml:space="preserve">Goodall Memorial Library</t>
  </si>
  <si>
    <t xml:space="preserve">Sanford</t>
  </si>
  <si>
    <t xml:space="preserve">(207) 324-4714</t>
  </si>
  <si>
    <t xml:space="preserve">ME0186</t>
  </si>
  <si>
    <t xml:space="preserve">Kennebunk Free Library</t>
  </si>
  <si>
    <t xml:space="preserve">Kennebunk</t>
  </si>
  <si>
    <t xml:space="preserve">(207) 985-2173</t>
  </si>
  <si>
    <t xml:space="preserve">ME0114</t>
  </si>
  <si>
    <t xml:space="preserve">Lewiston Public Library</t>
  </si>
  <si>
    <t xml:space="preserve">(207) 513-3004</t>
  </si>
  <si>
    <t xml:space="preserve">ME0119</t>
  </si>
  <si>
    <t xml:space="preserve">Lithgow Public Library</t>
  </si>
  <si>
    <t xml:space="preserve">(207) 626-2415</t>
  </si>
  <si>
    <t xml:space="preserve">ME0010</t>
  </si>
  <si>
    <t xml:space="preserve">Mcarthur Public Library</t>
  </si>
  <si>
    <t xml:space="preserve">Biddeford</t>
  </si>
  <si>
    <t xml:space="preserve">(207) 284-4181</t>
  </si>
  <si>
    <t xml:space="preserve">ME0018</t>
  </si>
  <si>
    <t xml:space="preserve">North Gorham Public Library</t>
  </si>
  <si>
    <t xml:space="preserve">(207) 892-2575</t>
  </si>
  <si>
    <t xml:space="preserve">ME0247</t>
  </si>
  <si>
    <t xml:space="preserve">Old Town Public Library</t>
  </si>
  <si>
    <t xml:space="preserve">Old Town</t>
  </si>
  <si>
    <t xml:space="preserve">(207) 827-3972</t>
  </si>
  <si>
    <t xml:space="preserve">ME0159</t>
  </si>
  <si>
    <t xml:space="preserve">Orono Public Library</t>
  </si>
  <si>
    <t xml:space="preserve">Orono</t>
  </si>
  <si>
    <t xml:space="preserve">(207) 866-5060</t>
  </si>
  <si>
    <t xml:space="preserve">ME0160</t>
  </si>
  <si>
    <t xml:space="preserve">Patten Free Library</t>
  </si>
  <si>
    <t xml:space="preserve">Sagadahoc</t>
  </si>
  <si>
    <t xml:space="preserve">(207) 443-5141</t>
  </si>
  <si>
    <t xml:space="preserve">ME0015</t>
  </si>
  <si>
    <t xml:space="preserve">Portland Public Library</t>
  </si>
  <si>
    <t xml:space="preserve">(207) 871-1700</t>
  </si>
  <si>
    <t xml:space="preserve">ME0174</t>
  </si>
  <si>
    <t xml:space="preserve">Prince Memorial Library</t>
  </si>
  <si>
    <t xml:space="preserve">(207) 829-2215</t>
  </si>
  <si>
    <t xml:space="preserve">ME0058</t>
  </si>
  <si>
    <t xml:space="preserve">Scarborough Public Library</t>
  </si>
  <si>
    <t xml:space="preserve">Scarborough</t>
  </si>
  <si>
    <t xml:space="preserve">(207) 883-4723</t>
  </si>
  <si>
    <t xml:space="preserve">ME0189</t>
  </si>
  <si>
    <t xml:space="preserve">South Portland Public Library</t>
  </si>
  <si>
    <t xml:space="preserve">South Portland</t>
  </si>
  <si>
    <t xml:space="preserve">(207) 767-7660</t>
  </si>
  <si>
    <t xml:space="preserve">ME0199</t>
  </si>
  <si>
    <t xml:space="preserve">Springvale Public Library</t>
  </si>
  <si>
    <t xml:space="preserve">Springvale</t>
  </si>
  <si>
    <t xml:space="preserve">(207) 324-4624</t>
  </si>
  <si>
    <t xml:space="preserve">ME0187</t>
  </si>
  <si>
    <t xml:space="preserve">Walker Memorial Library</t>
  </si>
  <si>
    <t xml:space="preserve">Westbrook</t>
  </si>
  <si>
    <t xml:space="preserve">(207) 854-0630</t>
  </si>
  <si>
    <t xml:space="preserve">ME0226</t>
  </si>
  <si>
    <t xml:space="preserve">Waterville Public Library</t>
  </si>
  <si>
    <t xml:space="preserve">Waterville</t>
  </si>
  <si>
    <t xml:space="preserve">(207) 872-5433</t>
  </si>
  <si>
    <t xml:space="preserve">ME0221</t>
  </si>
  <si>
    <t xml:space="preserve">Wells Public Library</t>
  </si>
  <si>
    <t xml:space="preserve">(207) 646-8181</t>
  </si>
  <si>
    <t xml:space="preserve">ME0224</t>
  </si>
  <si>
    <t xml:space="preserve">Windham Public Library</t>
  </si>
  <si>
    <t xml:space="preserve">(207) 892-1908</t>
  </si>
  <si>
    <t xml:space="preserve">ME0230</t>
  </si>
  <si>
    <t xml:space="preserve">York Public Library</t>
  </si>
  <si>
    <t xml:space="preserve">(207) 363-2818</t>
  </si>
  <si>
    <t xml:space="preserve">ME0238</t>
  </si>
  <si>
    <t xml:space="preserve">MI</t>
  </si>
  <si>
    <t xml:space="preserve">Adrian District Library</t>
  </si>
  <si>
    <t xml:space="preserve">Adrian</t>
  </si>
  <si>
    <t xml:space="preserve">Lenawee</t>
  </si>
  <si>
    <t xml:space="preserve">(517) 265-2265</t>
  </si>
  <si>
    <t xml:space="preserve">MI0406</t>
  </si>
  <si>
    <t xml:space="preserve">Alanson Area Public Library</t>
  </si>
  <si>
    <t xml:space="preserve">Alanson</t>
  </si>
  <si>
    <t xml:space="preserve">Emmet</t>
  </si>
  <si>
    <t xml:space="preserve">(231) 548-5465</t>
  </si>
  <si>
    <t xml:space="preserve">MI0407</t>
  </si>
  <si>
    <t xml:space="preserve">Albion District Library</t>
  </si>
  <si>
    <t xml:space="preserve">(517) 629-3993</t>
  </si>
  <si>
    <t xml:space="preserve">MI0408</t>
  </si>
  <si>
    <t xml:space="preserve">Allegan District Library</t>
  </si>
  <si>
    <t xml:space="preserve">Allegan</t>
  </si>
  <si>
    <t xml:space="preserve">(269) 673-4625</t>
  </si>
  <si>
    <t xml:space="preserve">MI0410</t>
  </si>
  <si>
    <t xml:space="preserve">Allen Park Public Library</t>
  </si>
  <si>
    <t xml:space="preserve">Allen Park</t>
  </si>
  <si>
    <t xml:space="preserve">(313) 381-2425</t>
  </si>
  <si>
    <t xml:space="preserve">MI9017</t>
  </si>
  <si>
    <t xml:space="preserve">Allendale Township Library</t>
  </si>
  <si>
    <t xml:space="preserve">Allendale</t>
  </si>
  <si>
    <t xml:space="preserve">(616) 895-4178</t>
  </si>
  <si>
    <t xml:space="preserve">MI0411</t>
  </si>
  <si>
    <t xml:space="preserve">Alma Public Library</t>
  </si>
  <si>
    <t xml:space="preserve">Alma</t>
  </si>
  <si>
    <t xml:space="preserve">Gratiot</t>
  </si>
  <si>
    <t xml:space="preserve">(989) 463-3966</t>
  </si>
  <si>
    <t xml:space="preserve">MI0412</t>
  </si>
  <si>
    <t xml:space="preserve">Alpena County Library</t>
  </si>
  <si>
    <t xml:space="preserve">Alpena</t>
  </si>
  <si>
    <t xml:space="preserve">(989) 356-6188</t>
  </si>
  <si>
    <t xml:space="preserve">MI0414</t>
  </si>
  <si>
    <t xml:space="preserve">Alvah N. Belding Memorial Library</t>
  </si>
  <si>
    <t xml:space="preserve">Belding</t>
  </si>
  <si>
    <t xml:space="preserve">Ionia</t>
  </si>
  <si>
    <t xml:space="preserve">(616) 794-1450</t>
  </si>
  <si>
    <t xml:space="preserve">MI0010</t>
  </si>
  <si>
    <t xml:space="preserve">Ann Arbor District Library</t>
  </si>
  <si>
    <t xml:space="preserve">Ann Arbor</t>
  </si>
  <si>
    <t xml:space="preserve">Washtenaw</t>
  </si>
  <si>
    <t xml:space="preserve">(734) 327-4200</t>
  </si>
  <si>
    <t xml:space="preserve">MI0012</t>
  </si>
  <si>
    <t xml:space="preserve">Auburn Hills Public Library</t>
  </si>
  <si>
    <t xml:space="preserve">Auburn Hills</t>
  </si>
  <si>
    <t xml:space="preserve">(248) 370-9466</t>
  </si>
  <si>
    <t xml:space="preserve">MI0015</t>
  </si>
  <si>
    <t xml:space="preserve">Bacon Memorial District Library</t>
  </si>
  <si>
    <t xml:space="preserve">(734) 246-8357</t>
  </si>
  <si>
    <t xml:space="preserve">MI0017</t>
  </si>
  <si>
    <t xml:space="preserve">Baldwin Public Library</t>
  </si>
  <si>
    <t xml:space="preserve">(248) 647-1700</t>
  </si>
  <si>
    <t xml:space="preserve">MI0019</t>
  </si>
  <si>
    <t xml:space="preserve">Bath Township Public Library</t>
  </si>
  <si>
    <t xml:space="preserve">(517) 641-7111</t>
  </si>
  <si>
    <t xml:space="preserve">MI9026</t>
  </si>
  <si>
    <t xml:space="preserve">Bay County Library System</t>
  </si>
  <si>
    <t xml:space="preserve">Bay City</t>
  </si>
  <si>
    <t xml:space="preserve">(989) 894-2837</t>
  </si>
  <si>
    <t xml:space="preserve">MI0021</t>
  </si>
  <si>
    <t xml:space="preserve">Belleville Area District Library</t>
  </si>
  <si>
    <t xml:space="preserve">(734) 699-3291</t>
  </si>
  <si>
    <t xml:space="preserve">MI0430</t>
  </si>
  <si>
    <t xml:space="preserve">Benton Harbor Public Library</t>
  </si>
  <si>
    <t xml:space="preserve">Benton Harbor</t>
  </si>
  <si>
    <t xml:space="preserve">Berrien</t>
  </si>
  <si>
    <t xml:space="preserve">(269) 926-6139</t>
  </si>
  <si>
    <t xml:space="preserve">MI0027</t>
  </si>
  <si>
    <t xml:space="preserve">Berkley Public Library</t>
  </si>
  <si>
    <t xml:space="preserve">Berkley</t>
  </si>
  <si>
    <t xml:space="preserve">(248) 658-3440</t>
  </si>
  <si>
    <t xml:space="preserve">MI0030</t>
  </si>
  <si>
    <t xml:space="preserve">Big Rapids Community Library</t>
  </si>
  <si>
    <t xml:space="preserve">Big Rapids</t>
  </si>
  <si>
    <t xml:space="preserve">Mecosta</t>
  </si>
  <si>
    <t xml:space="preserve">(231) 796-5234</t>
  </si>
  <si>
    <t xml:space="preserve">MI0035</t>
  </si>
  <si>
    <t xml:space="preserve">Blair Memorial Library</t>
  </si>
  <si>
    <t xml:space="preserve">Clawson</t>
  </si>
  <si>
    <t xml:space="preserve">(248) 588-5500</t>
  </si>
  <si>
    <t xml:space="preserve">MI0036</t>
  </si>
  <si>
    <t xml:space="preserve">Bloomfield Township Public Library</t>
  </si>
  <si>
    <t xml:space="preserve">Bloomfield Township</t>
  </si>
  <si>
    <t xml:space="preserve">(248) 642-5800</t>
  </si>
  <si>
    <t xml:space="preserve">MI0037</t>
  </si>
  <si>
    <t xml:space="preserve">Branch District Library</t>
  </si>
  <si>
    <t xml:space="preserve">Coldwater</t>
  </si>
  <si>
    <t xml:space="preserve">Branch</t>
  </si>
  <si>
    <t xml:space="preserve">(517) 278-2341</t>
  </si>
  <si>
    <t xml:space="preserve">MI0039</t>
  </si>
  <si>
    <t xml:space="preserve">Brandon Township Public Library</t>
  </si>
  <si>
    <t xml:space="preserve">Ortonville</t>
  </si>
  <si>
    <t xml:space="preserve">(248) 627-1460</t>
  </si>
  <si>
    <t xml:space="preserve">MI0040</t>
  </si>
  <si>
    <t xml:space="preserve">Saginaw</t>
  </si>
  <si>
    <t xml:space="preserve">(989) 777-6030</t>
  </si>
  <si>
    <t xml:space="preserve">MI0041</t>
  </si>
  <si>
    <t xml:space="preserve">Briggs District Library</t>
  </si>
  <si>
    <t xml:space="preserve">Saint Johns</t>
  </si>
  <si>
    <t xml:space="preserve">(989) 224-4702</t>
  </si>
  <si>
    <t xml:space="preserve">MI0026</t>
  </si>
  <si>
    <t xml:space="preserve">Brighton District Library</t>
  </si>
  <si>
    <t xml:space="preserve">Brighton</t>
  </si>
  <si>
    <t xml:space="preserve">(810) 229-6571</t>
  </si>
  <si>
    <t xml:space="preserve">MI0043</t>
  </si>
  <si>
    <t xml:space="preserve">Buchanan District Library</t>
  </si>
  <si>
    <t xml:space="preserve">(269) 695-1911</t>
  </si>
  <si>
    <t xml:space="preserve">MI0045</t>
  </si>
  <si>
    <t xml:space="preserve">Cadillac Wexford Public Library</t>
  </si>
  <si>
    <t xml:space="preserve">Cadillac</t>
  </si>
  <si>
    <t xml:space="preserve">Wexford</t>
  </si>
  <si>
    <t xml:space="preserve">(231) 775-6541</t>
  </si>
  <si>
    <t xml:space="preserve">MI0049</t>
  </si>
  <si>
    <t xml:space="preserve">(734) 397-0999</t>
  </si>
  <si>
    <t xml:space="preserve">MI0052</t>
  </si>
  <si>
    <t xml:space="preserve">Capital Area District Library</t>
  </si>
  <si>
    <t xml:space="preserve">Ingham</t>
  </si>
  <si>
    <t xml:space="preserve">(517) 367-6300</t>
  </si>
  <si>
    <t xml:space="preserve">MI0424</t>
  </si>
  <si>
    <t xml:space="preserve">Caro Area District Library</t>
  </si>
  <si>
    <t xml:space="preserve">Caro</t>
  </si>
  <si>
    <t xml:space="preserve">Tuscola</t>
  </si>
  <si>
    <t xml:space="preserve">(989) 673-4329</t>
  </si>
  <si>
    <t xml:space="preserve">MI0168</t>
  </si>
  <si>
    <t xml:space="preserve">Carson City Public Library</t>
  </si>
  <si>
    <t xml:space="preserve">Carson City</t>
  </si>
  <si>
    <t xml:space="preserve">Montcalm</t>
  </si>
  <si>
    <t xml:space="preserve">(989) 584-3680</t>
  </si>
  <si>
    <t xml:space="preserve">MI0054</t>
  </si>
  <si>
    <t xml:space="preserve">Cass District Library</t>
  </si>
  <si>
    <t xml:space="preserve">Cassopolis</t>
  </si>
  <si>
    <t xml:space="preserve">(269) 357-7822</t>
  </si>
  <si>
    <t xml:space="preserve">MI0055</t>
  </si>
  <si>
    <t xml:space="preserve">Cedar Springs Public Library</t>
  </si>
  <si>
    <t xml:space="preserve">Cedar Springs</t>
  </si>
  <si>
    <t xml:space="preserve">(616) 696-1910</t>
  </si>
  <si>
    <t xml:space="preserve">MI0056</t>
  </si>
  <si>
    <t xml:space="preserve">Charles A. Ransom District Library</t>
  </si>
  <si>
    <t xml:space="preserve">Plainwell</t>
  </si>
  <si>
    <t xml:space="preserve">(269) 685-8024</t>
  </si>
  <si>
    <t xml:space="preserve">MI0059</t>
  </si>
  <si>
    <t xml:space="preserve">Charlotte Community Library</t>
  </si>
  <si>
    <t xml:space="preserve">Eaton</t>
  </si>
  <si>
    <t xml:space="preserve">(517) 543-8859</t>
  </si>
  <si>
    <t xml:space="preserve">MI0061</t>
  </si>
  <si>
    <t xml:space="preserve">Cheboygan Area Public Library</t>
  </si>
  <si>
    <t xml:space="preserve">Cheboygan</t>
  </si>
  <si>
    <t xml:space="preserve">(231) 627-2381</t>
  </si>
  <si>
    <t xml:space="preserve">MI0063</t>
  </si>
  <si>
    <t xml:space="preserve">Chelsea District Library</t>
  </si>
  <si>
    <t xml:space="preserve">(734) 475-8732</t>
  </si>
  <si>
    <t xml:space="preserve">MI0223</t>
  </si>
  <si>
    <t xml:space="preserve">Chesterfield Township Library</t>
  </si>
  <si>
    <t xml:space="preserve">Chesterfield</t>
  </si>
  <si>
    <t xml:space="preserve">(586) 598-4900</t>
  </si>
  <si>
    <t xml:space="preserve">MI0416</t>
  </si>
  <si>
    <t xml:space="preserve">Chippewa River District Library System</t>
  </si>
  <si>
    <t xml:space="preserve">Isabella</t>
  </si>
  <si>
    <t xml:space="preserve">(989) 773-3242</t>
  </si>
  <si>
    <t xml:space="preserve">MI0348</t>
  </si>
  <si>
    <t xml:space="preserve">Clarkston Independence District Library</t>
  </si>
  <si>
    <t xml:space="preserve">Clarkston</t>
  </si>
  <si>
    <t xml:space="preserve">(248) 625-2212</t>
  </si>
  <si>
    <t xml:space="preserve">MI0166</t>
  </si>
  <si>
    <t xml:space="preserve">Clinton-Macomb Public Library</t>
  </si>
  <si>
    <t xml:space="preserve">Clinton Township</t>
  </si>
  <si>
    <t xml:space="preserve">(586) 226-5000</t>
  </si>
  <si>
    <t xml:space="preserve">MI0397</t>
  </si>
  <si>
    <t xml:space="preserve">Coloma Public Library</t>
  </si>
  <si>
    <t xml:space="preserve">Coloma</t>
  </si>
  <si>
    <t xml:space="preserve">(269) 468-3431</t>
  </si>
  <si>
    <t xml:space="preserve">MI0067</t>
  </si>
  <si>
    <t xml:space="preserve">Commerce Township Community Library</t>
  </si>
  <si>
    <t xml:space="preserve">Commerce Township</t>
  </si>
  <si>
    <t xml:space="preserve">(248) 669-8108</t>
  </si>
  <si>
    <t xml:space="preserve">MI0426</t>
  </si>
  <si>
    <t xml:space="preserve">Community District Library</t>
  </si>
  <si>
    <t xml:space="preserve">Corunna</t>
  </si>
  <si>
    <t xml:space="preserve">Shiawassee</t>
  </si>
  <si>
    <t xml:space="preserve">(989) 743-3287</t>
  </si>
  <si>
    <t xml:space="preserve">MI0310</t>
  </si>
  <si>
    <t xml:space="preserve">Comstock Township Library</t>
  </si>
  <si>
    <t xml:space="preserve">Comstock</t>
  </si>
  <si>
    <t xml:space="preserve">Kalamazoo</t>
  </si>
  <si>
    <t xml:space="preserve">(269) 345-0136</t>
  </si>
  <si>
    <t xml:space="preserve">MI0070</t>
  </si>
  <si>
    <t xml:space="preserve">Coopersville Area District Library</t>
  </si>
  <si>
    <t xml:space="preserve">Coopersville</t>
  </si>
  <si>
    <t xml:space="preserve">(616) 837-6809</t>
  </si>
  <si>
    <t xml:space="preserve">MI0072</t>
  </si>
  <si>
    <t xml:space="preserve">Crawford County Library</t>
  </si>
  <si>
    <t xml:space="preserve">Grayling</t>
  </si>
  <si>
    <t xml:space="preserve">(989) 348-9214</t>
  </si>
  <si>
    <t xml:space="preserve">MI0074</t>
  </si>
  <si>
    <t xml:space="preserve">Cromaine District Library</t>
  </si>
  <si>
    <t xml:space="preserve">Hartland</t>
  </si>
  <si>
    <t xml:space="preserve">(810) 632-5200</t>
  </si>
  <si>
    <t xml:space="preserve">MI0075</t>
  </si>
  <si>
    <t xml:space="preserve">Dearborn Heights City Libraries</t>
  </si>
  <si>
    <t xml:space="preserve">Dearborn Heights</t>
  </si>
  <si>
    <t xml:space="preserve">(313) 791-3804</t>
  </si>
  <si>
    <t xml:space="preserve">MI0425</t>
  </si>
  <si>
    <t xml:space="preserve">Dearborn Public Library</t>
  </si>
  <si>
    <t xml:space="preserve">(313) 943-2037</t>
  </si>
  <si>
    <t xml:space="preserve">MI0078</t>
  </si>
  <si>
    <t xml:space="preserve">Delta Township District Library</t>
  </si>
  <si>
    <t xml:space="preserve">(517) 321-4014</t>
  </si>
  <si>
    <t xml:space="preserve">MI9009</t>
  </si>
  <si>
    <t xml:space="preserve">Detroit Public Library</t>
  </si>
  <si>
    <t xml:space="preserve">Detroit</t>
  </si>
  <si>
    <t xml:space="preserve">(313) 481-1302</t>
  </si>
  <si>
    <t xml:space="preserve">MI0083</t>
  </si>
  <si>
    <t xml:space="preserve">Dewitt District Library</t>
  </si>
  <si>
    <t xml:space="preserve">(517) 669-3156</t>
  </si>
  <si>
    <t xml:space="preserve">MI0106</t>
  </si>
  <si>
    <t xml:space="preserve">Dexter District Library</t>
  </si>
  <si>
    <t xml:space="preserve">Dexter</t>
  </si>
  <si>
    <t xml:space="preserve">(734) 426-4477</t>
  </si>
  <si>
    <t xml:space="preserve">MI0084</t>
  </si>
  <si>
    <t xml:space="preserve">Dickinson County Library</t>
  </si>
  <si>
    <t xml:space="preserve">Iron Mountain</t>
  </si>
  <si>
    <t xml:space="preserve">(906) 774-1218</t>
  </si>
  <si>
    <t xml:space="preserve">MI0085</t>
  </si>
  <si>
    <t xml:space="preserve">Dowagiac District Library</t>
  </si>
  <si>
    <t xml:space="preserve">Dowagiac</t>
  </si>
  <si>
    <t xml:space="preserve">(269) 782-3826</t>
  </si>
  <si>
    <t xml:space="preserve">MI0087</t>
  </si>
  <si>
    <t xml:space="preserve">East Lansing Public Library</t>
  </si>
  <si>
    <t xml:space="preserve">East Lansing</t>
  </si>
  <si>
    <t xml:space="preserve">(517) 351-2420</t>
  </si>
  <si>
    <t xml:space="preserve">MI0093</t>
  </si>
  <si>
    <t xml:space="preserve">Eastpointe Memorial Library</t>
  </si>
  <si>
    <t xml:space="preserve">Eastpointe</t>
  </si>
  <si>
    <t xml:space="preserve">(586) 445-5096</t>
  </si>
  <si>
    <t xml:space="preserve">MI0092</t>
  </si>
  <si>
    <t xml:space="preserve">Eaton Rapids Area District Library</t>
  </si>
  <si>
    <t xml:space="preserve">Eaton Rapids</t>
  </si>
  <si>
    <t xml:space="preserve">(517) 663-0950</t>
  </si>
  <si>
    <t xml:space="preserve">MI0094</t>
  </si>
  <si>
    <t xml:space="preserve">Escanaba Public Library</t>
  </si>
  <si>
    <t xml:space="preserve">Escanaba</t>
  </si>
  <si>
    <t xml:space="preserve">(906) 789-7332</t>
  </si>
  <si>
    <t xml:space="preserve">MI0101</t>
  </si>
  <si>
    <t xml:space="preserve">Farmington Community Library</t>
  </si>
  <si>
    <t xml:space="preserve">Farmington Hills</t>
  </si>
  <si>
    <t xml:space="preserve">(248) 553-0300</t>
  </si>
  <si>
    <t xml:space="preserve">MI0105</t>
  </si>
  <si>
    <t xml:space="preserve">Fennville District Library</t>
  </si>
  <si>
    <t xml:space="preserve">Fennville</t>
  </si>
  <si>
    <t xml:space="preserve">(269) 561-5050</t>
  </si>
  <si>
    <t xml:space="preserve">MI0107</t>
  </si>
  <si>
    <t xml:space="preserve">Ferndale Area District Library</t>
  </si>
  <si>
    <t xml:space="preserve">Ferndale</t>
  </si>
  <si>
    <t xml:space="preserve">(248) 546-2504</t>
  </si>
  <si>
    <t xml:space="preserve">MI0108</t>
  </si>
  <si>
    <t xml:space="preserve">Flat River Community Library</t>
  </si>
  <si>
    <t xml:space="preserve">(616) 754-6359</t>
  </si>
  <si>
    <t xml:space="preserve">MI0133</t>
  </si>
  <si>
    <t xml:space="preserve">Flat Rock Public Library</t>
  </si>
  <si>
    <t xml:space="preserve">Flat Rock</t>
  </si>
  <si>
    <t xml:space="preserve">(734) 782-2430</t>
  </si>
  <si>
    <t xml:space="preserve">MI0421</t>
  </si>
  <si>
    <t xml:space="preserve">Flint Public Library</t>
  </si>
  <si>
    <t xml:space="preserve">Flint</t>
  </si>
  <si>
    <t xml:space="preserve">Genesee</t>
  </si>
  <si>
    <t xml:space="preserve">(810) 232-7111</t>
  </si>
  <si>
    <t xml:space="preserve">MI0111</t>
  </si>
  <si>
    <t xml:space="preserve">Fowlerville District Library</t>
  </si>
  <si>
    <t xml:space="preserve">Fowlerville</t>
  </si>
  <si>
    <t xml:space="preserve">(517) 223-9089</t>
  </si>
  <si>
    <t xml:space="preserve">MI0113</t>
  </si>
  <si>
    <t xml:space="preserve">Fraser Public Library</t>
  </si>
  <si>
    <t xml:space="preserve">Fraser</t>
  </si>
  <si>
    <t xml:space="preserve">(586) 293-2055</t>
  </si>
  <si>
    <t xml:space="preserve">MI0116</t>
  </si>
  <si>
    <t xml:space="preserve">Fremont Area District Library</t>
  </si>
  <si>
    <t xml:space="preserve">Newaygo</t>
  </si>
  <si>
    <t xml:space="preserve">(231) 924-3480</t>
  </si>
  <si>
    <t xml:space="preserve">MI0118</t>
  </si>
  <si>
    <t xml:space="preserve">Fruitport District Library</t>
  </si>
  <si>
    <t xml:space="preserve">Fruitport</t>
  </si>
  <si>
    <t xml:space="preserve">Muskegon</t>
  </si>
  <si>
    <t xml:space="preserve">(231) 366-6107</t>
  </si>
  <si>
    <t xml:space="preserve">MI9022</t>
  </si>
  <si>
    <t xml:space="preserve">Garden City Public Library</t>
  </si>
  <si>
    <t xml:space="preserve">(734) 793-1830</t>
  </si>
  <si>
    <t xml:space="preserve">MI0121</t>
  </si>
  <si>
    <t xml:space="preserve">Gary Byker Memorial Library Of Hudsonville</t>
  </si>
  <si>
    <t xml:space="preserve">Hudsonville</t>
  </si>
  <si>
    <t xml:space="preserve">(616) 669-1255</t>
  </si>
  <si>
    <t xml:space="preserve">MI0162</t>
  </si>
  <si>
    <t xml:space="preserve">Genesee District Library</t>
  </si>
  <si>
    <t xml:space="preserve">(810) 732-5570</t>
  </si>
  <si>
    <t xml:space="preserve">MI0123</t>
  </si>
  <si>
    <t xml:space="preserve">Georgetown Township Public Library</t>
  </si>
  <si>
    <t xml:space="preserve">Jenison</t>
  </si>
  <si>
    <t xml:space="preserve">(616) 457-9620</t>
  </si>
  <si>
    <t xml:space="preserve">MI0124</t>
  </si>
  <si>
    <t xml:space="preserve">Gladstone Area School &amp; Public Library</t>
  </si>
  <si>
    <t xml:space="preserve">Gladstone</t>
  </si>
  <si>
    <t xml:space="preserve">(906) 428-4224</t>
  </si>
  <si>
    <t xml:space="preserve">MI0126</t>
  </si>
  <si>
    <t xml:space="preserve">Gladwin County District Library</t>
  </si>
  <si>
    <t xml:space="preserve">Gladwin</t>
  </si>
  <si>
    <t xml:space="preserve">(989) 426-8221</t>
  </si>
  <si>
    <t xml:space="preserve">MI0127</t>
  </si>
  <si>
    <t xml:space="preserve">Grace A. Dow Memorial Library</t>
  </si>
  <si>
    <t xml:space="preserve">Midland</t>
  </si>
  <si>
    <t xml:space="preserve">(989) 837-3430</t>
  </si>
  <si>
    <t xml:space="preserve">MI0129</t>
  </si>
  <si>
    <t xml:space="preserve">Grand Ledge Area District Library</t>
  </si>
  <si>
    <t xml:space="preserve">Grand Ledge</t>
  </si>
  <si>
    <t xml:space="preserve">(517) 627-7014</t>
  </si>
  <si>
    <t xml:space="preserve">MI0130</t>
  </si>
  <si>
    <t xml:space="preserve">Grand Rapids Public Library</t>
  </si>
  <si>
    <t xml:space="preserve">Grand Rapids</t>
  </si>
  <si>
    <t xml:space="preserve">(616) 988-5400</t>
  </si>
  <si>
    <t xml:space="preserve">MI0131</t>
  </si>
  <si>
    <t xml:space="preserve">Grosse Pointe Public Library</t>
  </si>
  <si>
    <t xml:space="preserve">Grosse Pointe Farms</t>
  </si>
  <si>
    <t xml:space="preserve">(313) 640-4775</t>
  </si>
  <si>
    <t xml:space="preserve">MI0134</t>
  </si>
  <si>
    <t xml:space="preserve">Hackley Public Library</t>
  </si>
  <si>
    <t xml:space="preserve">(231) 722-8000</t>
  </si>
  <si>
    <t xml:space="preserve">MI0135</t>
  </si>
  <si>
    <t xml:space="preserve">Hamburg Township Library</t>
  </si>
  <si>
    <t xml:space="preserve">(810) 231-1771</t>
  </si>
  <si>
    <t xml:space="preserve">MI0137</t>
  </si>
  <si>
    <t xml:space="preserve">Hamtramck Public Library</t>
  </si>
  <si>
    <t xml:space="preserve">Hamtramck</t>
  </si>
  <si>
    <t xml:space="preserve">(313) 733-6822</t>
  </si>
  <si>
    <t xml:space="preserve">MI0138</t>
  </si>
  <si>
    <t xml:space="preserve">Harper Woods Public Library</t>
  </si>
  <si>
    <t xml:space="preserve">Harper Woods</t>
  </si>
  <si>
    <t xml:space="preserve">(313) 343-2575</t>
  </si>
  <si>
    <t xml:space="preserve">MI0141</t>
  </si>
  <si>
    <t xml:space="preserve">Harrison District Library</t>
  </si>
  <si>
    <t xml:space="preserve">Clare</t>
  </si>
  <si>
    <t xml:space="preserve">(989) 539-6711</t>
  </si>
  <si>
    <t xml:space="preserve">MI0142</t>
  </si>
  <si>
    <t xml:space="preserve">Harrison Township Public Library</t>
  </si>
  <si>
    <t xml:space="preserve">Harrison Township</t>
  </si>
  <si>
    <t xml:space="preserve">(586) 329-1261</t>
  </si>
  <si>
    <t xml:space="preserve">MI0435</t>
  </si>
  <si>
    <t xml:space="preserve">Hastings Public Library</t>
  </si>
  <si>
    <t xml:space="preserve">Hastings</t>
  </si>
  <si>
    <t xml:space="preserve">Barry</t>
  </si>
  <si>
    <t xml:space="preserve">(269) 945-4263</t>
  </si>
  <si>
    <t xml:space="preserve">MI0145</t>
  </si>
  <si>
    <t xml:space="preserve">Hazel Park Memorial District Library</t>
  </si>
  <si>
    <t xml:space="preserve">Hazel Park</t>
  </si>
  <si>
    <t xml:space="preserve">(248) 546-4095</t>
  </si>
  <si>
    <t xml:space="preserve">MI0146</t>
  </si>
  <si>
    <t xml:space="preserve">Herrick District Library</t>
  </si>
  <si>
    <t xml:space="preserve">Holland</t>
  </si>
  <si>
    <t xml:space="preserve">(616) 355-3723</t>
  </si>
  <si>
    <t xml:space="preserve">MI0150</t>
  </si>
  <si>
    <t xml:space="preserve">Highland Township Public Library</t>
  </si>
  <si>
    <t xml:space="preserve">Highland</t>
  </si>
  <si>
    <t xml:space="preserve">(248) 887-2218</t>
  </si>
  <si>
    <t xml:space="preserve">MI0152</t>
  </si>
  <si>
    <t xml:space="preserve">Hillsdale Community Library</t>
  </si>
  <si>
    <t xml:space="preserve">Hillsdale</t>
  </si>
  <si>
    <t xml:space="preserve">(517) 437-6470</t>
  </si>
  <si>
    <t xml:space="preserve">MI0232</t>
  </si>
  <si>
    <t xml:space="preserve">Holly Township Library</t>
  </si>
  <si>
    <t xml:space="preserve">Holly</t>
  </si>
  <si>
    <t xml:space="preserve">(248) 634-1754</t>
  </si>
  <si>
    <t xml:space="preserve">MI0153</t>
  </si>
  <si>
    <t xml:space="preserve">Houghton Lake Public Library</t>
  </si>
  <si>
    <t xml:space="preserve">Houghton Lake</t>
  </si>
  <si>
    <t xml:space="preserve">Roscommon</t>
  </si>
  <si>
    <t xml:space="preserve">(989) 366-9230</t>
  </si>
  <si>
    <t xml:space="preserve">MI0158</t>
  </si>
  <si>
    <t xml:space="preserve">Howard Miller Library</t>
  </si>
  <si>
    <t xml:space="preserve">Zeeland</t>
  </si>
  <si>
    <t xml:space="preserve">(616) 772-0874</t>
  </si>
  <si>
    <t xml:space="preserve">MI0378</t>
  </si>
  <si>
    <t xml:space="preserve">Howell Carnegie District Library</t>
  </si>
  <si>
    <t xml:space="preserve">Howell</t>
  </si>
  <si>
    <t xml:space="preserve">(517) 546-0720</t>
  </si>
  <si>
    <t xml:space="preserve">MI0160</t>
  </si>
  <si>
    <t xml:space="preserve">Ionia Community Library</t>
  </si>
  <si>
    <t xml:space="preserve">(616) 527-3680</t>
  </si>
  <si>
    <t xml:space="preserve">MI0136</t>
  </si>
  <si>
    <t xml:space="preserve">Iosco-Arenac District Library</t>
  </si>
  <si>
    <t xml:space="preserve">East Tawas</t>
  </si>
  <si>
    <t xml:space="preserve">Iosco</t>
  </si>
  <si>
    <t xml:space="preserve">(989) 362-2651</t>
  </si>
  <si>
    <t xml:space="preserve">MI0171</t>
  </si>
  <si>
    <t xml:space="preserve">Ishpeming Carnegie Public Library</t>
  </si>
  <si>
    <t xml:space="preserve">Ishpeming</t>
  </si>
  <si>
    <t xml:space="preserve">Marquette</t>
  </si>
  <si>
    <t xml:space="preserve">(906) 486-4381</t>
  </si>
  <si>
    <t xml:space="preserve">MI0173</t>
  </si>
  <si>
    <t xml:space="preserve">Jackson District Library</t>
  </si>
  <si>
    <t xml:space="preserve">(517) 788-4099</t>
  </si>
  <si>
    <t xml:space="preserve">MI0175</t>
  </si>
  <si>
    <t xml:space="preserve">Kalamazoo Public Library</t>
  </si>
  <si>
    <t xml:space="preserve">(269) 553-7800</t>
  </si>
  <si>
    <t xml:space="preserve">MI0180</t>
  </si>
  <si>
    <t xml:space="preserve">Kalkaska County Library</t>
  </si>
  <si>
    <t xml:space="preserve">Kalkaska</t>
  </si>
  <si>
    <t xml:space="preserve">(231) 258-9411</t>
  </si>
  <si>
    <t xml:space="preserve">MI0181</t>
  </si>
  <si>
    <t xml:space="preserve">Kent District Library</t>
  </si>
  <si>
    <t xml:space="preserve">Comstock Park</t>
  </si>
  <si>
    <t xml:space="preserve">(616) 784-2007</t>
  </si>
  <si>
    <t xml:space="preserve">MI0182</t>
  </si>
  <si>
    <t xml:space="preserve">Lapeer District Library</t>
  </si>
  <si>
    <t xml:space="preserve">Lapeer</t>
  </si>
  <si>
    <t xml:space="preserve">(810) 664-9521</t>
  </si>
  <si>
    <t xml:space="preserve">MI0190</t>
  </si>
  <si>
    <t xml:space="preserve">Leanna Hicks Public Library Of Inkster</t>
  </si>
  <si>
    <t xml:space="preserve">Inkster</t>
  </si>
  <si>
    <t xml:space="preserve">(313) 563-2822</t>
  </si>
  <si>
    <t xml:space="preserve">MI0431</t>
  </si>
  <si>
    <t xml:space="preserve">Lenawee District Library</t>
  </si>
  <si>
    <t xml:space="preserve">(517) 263-1011</t>
  </si>
  <si>
    <t xml:space="preserve">MI0195</t>
  </si>
  <si>
    <t xml:space="preserve">Lenox Township Library</t>
  </si>
  <si>
    <t xml:space="preserve">(586) 749-3430</t>
  </si>
  <si>
    <t xml:space="preserve">MI0196</t>
  </si>
  <si>
    <t xml:space="preserve">Lincoln Park Public Library</t>
  </si>
  <si>
    <t xml:space="preserve">Lincoln Park</t>
  </si>
  <si>
    <t xml:space="preserve">(313) 381-0374</t>
  </si>
  <si>
    <t xml:space="preserve">MI9025</t>
  </si>
  <si>
    <t xml:space="preserve">Lincoln Township Public Library</t>
  </si>
  <si>
    <t xml:space="preserve">Stevensville</t>
  </si>
  <si>
    <t xml:space="preserve">(269) 429-9575</t>
  </si>
  <si>
    <t xml:space="preserve">MI0198</t>
  </si>
  <si>
    <t xml:space="preserve">Livonia Public Library</t>
  </si>
  <si>
    <t xml:space="preserve">Livonia</t>
  </si>
  <si>
    <t xml:space="preserve">(734) 466-2491</t>
  </si>
  <si>
    <t xml:space="preserve">MI0200</t>
  </si>
  <si>
    <t xml:space="preserve">Lois Wagner Memorial Library</t>
  </si>
  <si>
    <t xml:space="preserve">(586) 727-2665</t>
  </si>
  <si>
    <t xml:space="preserve">MI0290</t>
  </si>
  <si>
    <t xml:space="preserve">Loutit District Library</t>
  </si>
  <si>
    <t xml:space="preserve">Grand Haven</t>
  </si>
  <si>
    <t xml:space="preserve">(616) 850-6900</t>
  </si>
  <si>
    <t xml:space="preserve">MI0201</t>
  </si>
  <si>
    <t xml:space="preserve">Lyon Township Public Library</t>
  </si>
  <si>
    <t xml:space="preserve">South Lyon</t>
  </si>
  <si>
    <t xml:space="preserve">(248) 437-8800</t>
  </si>
  <si>
    <t xml:space="preserve">MI0204</t>
  </si>
  <si>
    <t xml:space="preserve">Macdonald Public Library</t>
  </si>
  <si>
    <t xml:space="preserve">New Baltimore</t>
  </si>
  <si>
    <t xml:space="preserve">(586) 725-0273</t>
  </si>
  <si>
    <t xml:space="preserve">MI0242</t>
  </si>
  <si>
    <t xml:space="preserve">Madison Heights Public Library</t>
  </si>
  <si>
    <t xml:space="preserve">Madison Heights</t>
  </si>
  <si>
    <t xml:space="preserve">(248) 588-7763</t>
  </si>
  <si>
    <t xml:space="preserve">MI0210</t>
  </si>
  <si>
    <t xml:space="preserve">Manistee County Library</t>
  </si>
  <si>
    <t xml:space="preserve">Manistee</t>
  </si>
  <si>
    <t xml:space="preserve">(231) 723-2519</t>
  </si>
  <si>
    <t xml:space="preserve">MI0213</t>
  </si>
  <si>
    <t xml:space="preserve">Marshall District Library</t>
  </si>
  <si>
    <t xml:space="preserve">(269) 781-7821</t>
  </si>
  <si>
    <t xml:space="preserve">MI0218</t>
  </si>
  <si>
    <t xml:space="preserve">Mason County District Library</t>
  </si>
  <si>
    <t xml:space="preserve">Ludington</t>
  </si>
  <si>
    <t xml:space="preserve">(231) 843-8465</t>
  </si>
  <si>
    <t xml:space="preserve">MI0401</t>
  </si>
  <si>
    <t xml:space="preserve">Maud Preston Palenske Memorial Library</t>
  </si>
  <si>
    <t xml:space="preserve">Saint Joseph</t>
  </si>
  <si>
    <t xml:space="preserve">(269) 983-7167</t>
  </si>
  <si>
    <t xml:space="preserve">MI0220</t>
  </si>
  <si>
    <t xml:space="preserve">Melvindale Public Library</t>
  </si>
  <si>
    <t xml:space="preserve">Melvindale</t>
  </si>
  <si>
    <t xml:space="preserve">(313) 429-1090</t>
  </si>
  <si>
    <t xml:space="preserve">MI9018</t>
  </si>
  <si>
    <t xml:space="preserve">Menominee County Library</t>
  </si>
  <si>
    <t xml:space="preserve">Menominee</t>
  </si>
  <si>
    <t xml:space="preserve">(906) 753-6923</t>
  </si>
  <si>
    <t xml:space="preserve">MI0226</t>
  </si>
  <si>
    <t xml:space="preserve">Milan Public Library</t>
  </si>
  <si>
    <t xml:space="preserve">Milan</t>
  </si>
  <si>
    <t xml:space="preserve">(734) 439-1240</t>
  </si>
  <si>
    <t xml:space="preserve">MI0228</t>
  </si>
  <si>
    <t xml:space="preserve">(248) 684-0845</t>
  </si>
  <si>
    <t xml:space="preserve">MI0229</t>
  </si>
  <si>
    <t xml:space="preserve">Missaukee District Library</t>
  </si>
  <si>
    <t xml:space="preserve">Missaukee</t>
  </si>
  <si>
    <t xml:space="preserve">(231) 839-2166</t>
  </si>
  <si>
    <t xml:space="preserve">MI0231</t>
  </si>
  <si>
    <t xml:space="preserve">Monroe County Library System</t>
  </si>
  <si>
    <t xml:space="preserve">(734) 241-5770</t>
  </si>
  <si>
    <t xml:space="preserve">MI0233</t>
  </si>
  <si>
    <t xml:space="preserve">Mount Clemens Public Library</t>
  </si>
  <si>
    <t xml:space="preserve">Mount Clemens</t>
  </si>
  <si>
    <t xml:space="preserve">(586) 469-6200</t>
  </si>
  <si>
    <t xml:space="preserve">MI0237</t>
  </si>
  <si>
    <t xml:space="preserve">Muskegon Area District Library</t>
  </si>
  <si>
    <t xml:space="preserve">(231) 737-6248</t>
  </si>
  <si>
    <t xml:space="preserve">MI0240</t>
  </si>
  <si>
    <t xml:space="preserve">Niles District Library</t>
  </si>
  <si>
    <t xml:space="preserve">(269) 683-8545</t>
  </si>
  <si>
    <t xml:space="preserve">MI0245</t>
  </si>
  <si>
    <t xml:space="preserve">Northville District Library</t>
  </si>
  <si>
    <t xml:space="preserve">Northville</t>
  </si>
  <si>
    <t xml:space="preserve">(248) 349-3020</t>
  </si>
  <si>
    <t xml:space="preserve">MI0248</t>
  </si>
  <si>
    <t xml:space="preserve">Novi Public Library</t>
  </si>
  <si>
    <t xml:space="preserve">Novi</t>
  </si>
  <si>
    <t xml:space="preserve">(248) 349-0720</t>
  </si>
  <si>
    <t xml:space="preserve">MI0250</t>
  </si>
  <si>
    <t xml:space="preserve">(248) 691-7480</t>
  </si>
  <si>
    <t xml:space="preserve">MI0251</t>
  </si>
  <si>
    <t xml:space="preserve">Ogemaw District Library</t>
  </si>
  <si>
    <t xml:space="preserve">Rose City</t>
  </si>
  <si>
    <t xml:space="preserve">Ogemaw</t>
  </si>
  <si>
    <t xml:space="preserve">(989) 685-3300</t>
  </si>
  <si>
    <t xml:space="preserve">MI0253</t>
  </si>
  <si>
    <t xml:space="preserve">Orion Township Public Library</t>
  </si>
  <si>
    <t xml:space="preserve">Lake Orion</t>
  </si>
  <si>
    <t xml:space="preserve">(248) 693-3000</t>
  </si>
  <si>
    <t xml:space="preserve">MI0255</t>
  </si>
  <si>
    <t xml:space="preserve">Otsego County Library</t>
  </si>
  <si>
    <t xml:space="preserve">Gaylord</t>
  </si>
  <si>
    <t xml:space="preserve">Otsego</t>
  </si>
  <si>
    <t xml:space="preserve">(989) 732-5841</t>
  </si>
  <si>
    <t xml:space="preserve">MI0258</t>
  </si>
  <si>
    <t xml:space="preserve">Otsego District Public Library</t>
  </si>
  <si>
    <t xml:space="preserve">(269) 694-9690</t>
  </si>
  <si>
    <t xml:space="preserve">MI0259</t>
  </si>
  <si>
    <t xml:space="preserve">(248) 628-3034</t>
  </si>
  <si>
    <t xml:space="preserve">MI0262</t>
  </si>
  <si>
    <t xml:space="preserve">Parchment Community Library</t>
  </si>
  <si>
    <t xml:space="preserve">Parchment</t>
  </si>
  <si>
    <t xml:space="preserve">(269) 343-7747</t>
  </si>
  <si>
    <t xml:space="preserve">MI0263</t>
  </si>
  <si>
    <t xml:space="preserve">Paw Paw District Library</t>
  </si>
  <si>
    <t xml:space="preserve">Paw Paw</t>
  </si>
  <si>
    <t xml:space="preserve">(269) 657-3800</t>
  </si>
  <si>
    <t xml:space="preserve">MI0265</t>
  </si>
  <si>
    <t xml:space="preserve">Peter White Public Library</t>
  </si>
  <si>
    <t xml:space="preserve">(906) 228-9510</t>
  </si>
  <si>
    <t xml:space="preserve">MI0268</t>
  </si>
  <si>
    <t xml:space="preserve">Petoskey District Library</t>
  </si>
  <si>
    <t xml:space="preserve">Petoskey</t>
  </si>
  <si>
    <t xml:space="preserve">(231) 758-3100</t>
  </si>
  <si>
    <t xml:space="preserve">MI0269</t>
  </si>
  <si>
    <t xml:space="preserve">Pinckney Community Public Library</t>
  </si>
  <si>
    <t xml:space="preserve">Pinckney</t>
  </si>
  <si>
    <t xml:space="preserve">(734) 878-3888</t>
  </si>
  <si>
    <t xml:space="preserve">MI0271</t>
  </si>
  <si>
    <t xml:space="preserve">Plymouth District Library</t>
  </si>
  <si>
    <t xml:space="preserve">(734) 453-0750</t>
  </si>
  <si>
    <t xml:space="preserve">MI0273</t>
  </si>
  <si>
    <t xml:space="preserve">(248) 758-3942</t>
  </si>
  <si>
    <t xml:space="preserve">MI0274</t>
  </si>
  <si>
    <t xml:space="preserve">Portage District Library</t>
  </si>
  <si>
    <t xml:space="preserve">Portage</t>
  </si>
  <si>
    <t xml:space="preserve">(269) 329-4544</t>
  </si>
  <si>
    <t xml:space="preserve">MI0277</t>
  </si>
  <si>
    <t xml:space="preserve">Portage Lake District Library</t>
  </si>
  <si>
    <t xml:space="preserve">Houghton</t>
  </si>
  <si>
    <t xml:space="preserve">(906) 482-4570</t>
  </si>
  <si>
    <t xml:space="preserve">MI0276</t>
  </si>
  <si>
    <t xml:space="preserve">Portland District Library</t>
  </si>
  <si>
    <t xml:space="preserve">(517) 647-6981</t>
  </si>
  <si>
    <t xml:space="preserve">MI0278</t>
  </si>
  <si>
    <t xml:space="preserve">Presque Isle District Library</t>
  </si>
  <si>
    <t xml:space="preserve">Rogers City</t>
  </si>
  <si>
    <t xml:space="preserve">Presque Isle</t>
  </si>
  <si>
    <t xml:space="preserve">(989) 734-2477</t>
  </si>
  <si>
    <t xml:space="preserve">MI0279</t>
  </si>
  <si>
    <t xml:space="preserve">Public Libraries Of Saginaw</t>
  </si>
  <si>
    <t xml:space="preserve">(989) 755-9833</t>
  </si>
  <si>
    <t xml:space="preserve">MI0299</t>
  </si>
  <si>
    <t xml:space="preserve">Redford Township District Library</t>
  </si>
  <si>
    <t xml:space="preserve">Redford</t>
  </si>
  <si>
    <t xml:space="preserve">(313) 531-5960</t>
  </si>
  <si>
    <t xml:space="preserve">MI0402</t>
  </si>
  <si>
    <t xml:space="preserve">Riverview Public Library</t>
  </si>
  <si>
    <t xml:space="preserve">Riverview</t>
  </si>
  <si>
    <t xml:space="preserve">(734) 283-1250</t>
  </si>
  <si>
    <t xml:space="preserve">MI0292</t>
  </si>
  <si>
    <t xml:space="preserve">Rochester Hills Public Library</t>
  </si>
  <si>
    <t xml:space="preserve">(248) 656-2900</t>
  </si>
  <si>
    <t xml:space="preserve">MI0293</t>
  </si>
  <si>
    <t xml:space="preserve">Romeo District Library</t>
  </si>
  <si>
    <t xml:space="preserve">Romeo</t>
  </si>
  <si>
    <t xml:space="preserve">(586) 752-0603</t>
  </si>
  <si>
    <t xml:space="preserve">MI0294</t>
  </si>
  <si>
    <t xml:space="preserve">Romulus Public Library</t>
  </si>
  <si>
    <t xml:space="preserve">Romulus</t>
  </si>
  <si>
    <t xml:space="preserve">(734) 942-7589</t>
  </si>
  <si>
    <t xml:space="preserve">MI0433</t>
  </si>
  <si>
    <t xml:space="preserve">(586) 685-5750</t>
  </si>
  <si>
    <t xml:space="preserve">MI0295</t>
  </si>
  <si>
    <t xml:space="preserve">Royal Oak Public Library</t>
  </si>
  <si>
    <t xml:space="preserve">Royal Oak</t>
  </si>
  <si>
    <t xml:space="preserve">(248) 246-3700</t>
  </si>
  <si>
    <t xml:space="preserve">MI0296</t>
  </si>
  <si>
    <t xml:space="preserve">Ruth Hughes Memorial District Library</t>
  </si>
  <si>
    <t xml:space="preserve">Imlay City</t>
  </si>
  <si>
    <t xml:space="preserve">(810) 724-8043</t>
  </si>
  <si>
    <t xml:space="preserve">MI0165</t>
  </si>
  <si>
    <t xml:space="preserve">Saint Clair County Library System</t>
  </si>
  <si>
    <t xml:space="preserve">Port Huron</t>
  </si>
  <si>
    <t xml:space="preserve">Saint Clair</t>
  </si>
  <si>
    <t xml:space="preserve">(810) 987-7323</t>
  </si>
  <si>
    <t xml:space="preserve">MI0321</t>
  </si>
  <si>
    <t xml:space="preserve">Saint Clair Shores Public Library</t>
  </si>
  <si>
    <t xml:space="preserve">St. Clair Shores</t>
  </si>
  <si>
    <t xml:space="preserve">(586) 771-9020</t>
  </si>
  <si>
    <t xml:space="preserve">MI0322</t>
  </si>
  <si>
    <t xml:space="preserve">Salem-South Lyon District Library</t>
  </si>
  <si>
    <t xml:space="preserve">(248) 437-6431</t>
  </si>
  <si>
    <t xml:space="preserve">MI0315</t>
  </si>
  <si>
    <t xml:space="preserve">Saline District Library</t>
  </si>
  <si>
    <t xml:space="preserve">(734) 429-5450</t>
  </si>
  <si>
    <t xml:space="preserve">MI0300</t>
  </si>
  <si>
    <t xml:space="preserve">Saranac Public Library</t>
  </si>
  <si>
    <t xml:space="preserve">Saranac</t>
  </si>
  <si>
    <t xml:space="preserve">(616) 642-9146</t>
  </si>
  <si>
    <t xml:space="preserve">MI0303</t>
  </si>
  <si>
    <t xml:space="preserve">Shelby Area District Library</t>
  </si>
  <si>
    <t xml:space="preserve">Oceana</t>
  </si>
  <si>
    <t xml:space="preserve">(231) 861-4565</t>
  </si>
  <si>
    <t xml:space="preserve">MI0309</t>
  </si>
  <si>
    <t xml:space="preserve">Shelby Township Library</t>
  </si>
  <si>
    <t xml:space="preserve">Shelby Township</t>
  </si>
  <si>
    <t xml:space="preserve">(586) 739-7414</t>
  </si>
  <si>
    <t xml:space="preserve">MI0308</t>
  </si>
  <si>
    <t xml:space="preserve">Shiawassee District Library</t>
  </si>
  <si>
    <t xml:space="preserve">Owosso</t>
  </si>
  <si>
    <t xml:space="preserve">(989) 725-5134</t>
  </si>
  <si>
    <t xml:space="preserve">MI0261</t>
  </si>
  <si>
    <t xml:space="preserve">Southfield Public Library</t>
  </si>
  <si>
    <t xml:space="preserve">Southfield</t>
  </si>
  <si>
    <t xml:space="preserve">(248) 796-4200</t>
  </si>
  <si>
    <t xml:space="preserve">MI0316</t>
  </si>
  <si>
    <t xml:space="preserve">Southgate Veterans Memorial Library</t>
  </si>
  <si>
    <t xml:space="preserve">Southgate</t>
  </si>
  <si>
    <t xml:space="preserve">(734) 258-3002</t>
  </si>
  <si>
    <t xml:space="preserve">MI0434</t>
  </si>
  <si>
    <t xml:space="preserve">Spring Lake District Library</t>
  </si>
  <si>
    <t xml:space="preserve">Spring Lake</t>
  </si>
  <si>
    <t xml:space="preserve">(616) 846-5770</t>
  </si>
  <si>
    <t xml:space="preserve">MI0355</t>
  </si>
  <si>
    <t xml:space="preserve">Springfield Township Library</t>
  </si>
  <si>
    <t xml:space="preserve">Davisburg</t>
  </si>
  <si>
    <t xml:space="preserve">(248) 846-6550</t>
  </si>
  <si>
    <t xml:space="preserve">MI0319</t>
  </si>
  <si>
    <t xml:space="preserve">Sterling Heights Public Library</t>
  </si>
  <si>
    <t xml:space="preserve">Sterling Heights</t>
  </si>
  <si>
    <t xml:space="preserve">(586) 446-2665</t>
  </si>
  <si>
    <t xml:space="preserve">MI0325</t>
  </si>
  <si>
    <t xml:space="preserve">Sturgis District Library</t>
  </si>
  <si>
    <t xml:space="preserve">Sturgis</t>
  </si>
  <si>
    <t xml:space="preserve">St. Joseph</t>
  </si>
  <si>
    <t xml:space="preserve">(269) 659-7224</t>
  </si>
  <si>
    <t xml:space="preserve">MI0326</t>
  </si>
  <si>
    <t xml:space="preserve">Superior District Library</t>
  </si>
  <si>
    <t xml:space="preserve">Sault Ste Marie</t>
  </si>
  <si>
    <t xml:space="preserve">Chippewa</t>
  </si>
  <si>
    <t xml:space="preserve">(906) 632-9331</t>
  </si>
  <si>
    <t xml:space="preserve">MI0022</t>
  </si>
  <si>
    <t xml:space="preserve">Tamarack District Library</t>
  </si>
  <si>
    <t xml:space="preserve">Lakeview</t>
  </si>
  <si>
    <t xml:space="preserve">(989) 352-6274</t>
  </si>
  <si>
    <t xml:space="preserve">MI0331</t>
  </si>
  <si>
    <t xml:space="preserve">Taylor Community Library</t>
  </si>
  <si>
    <t xml:space="preserve">(734) 287-4840</t>
  </si>
  <si>
    <t xml:space="preserve">MI9024</t>
  </si>
  <si>
    <t xml:space="preserve">Tecumseh District Library</t>
  </si>
  <si>
    <t xml:space="preserve">Tecumseh</t>
  </si>
  <si>
    <t xml:space="preserve">(517) 423-2238</t>
  </si>
  <si>
    <t xml:space="preserve">MI0333</t>
  </si>
  <si>
    <t xml:space="preserve">Theodore A. Cutler Memorial Library</t>
  </si>
  <si>
    <t xml:space="preserve">Saint Louis</t>
  </si>
  <si>
    <t xml:space="preserve">(989) 681-5141</t>
  </si>
  <si>
    <t xml:space="preserve">MI0335</t>
  </si>
  <si>
    <t xml:space="preserve">Thomas Township Library</t>
  </si>
  <si>
    <t xml:space="preserve">(989) 781-3770</t>
  </si>
  <si>
    <t xml:space="preserve">MI0336</t>
  </si>
  <si>
    <t xml:space="preserve">Thornapple Kellogg School And Community Library</t>
  </si>
  <si>
    <t xml:space="preserve">Middleville</t>
  </si>
  <si>
    <t xml:space="preserve">(269) 795-5434</t>
  </si>
  <si>
    <t xml:space="preserve">MI0338</t>
  </si>
  <si>
    <t xml:space="preserve">Three Rivers Public Library</t>
  </si>
  <si>
    <t xml:space="preserve">Three Rivers</t>
  </si>
  <si>
    <t xml:space="preserve">(269) 273-8666</t>
  </si>
  <si>
    <t xml:space="preserve">MI0340</t>
  </si>
  <si>
    <t xml:space="preserve">Traverse Area District Library</t>
  </si>
  <si>
    <t xml:space="preserve">Traverse City</t>
  </si>
  <si>
    <t xml:space="preserve">Grand Traverse</t>
  </si>
  <si>
    <t xml:space="preserve">(231) 932-8500</t>
  </si>
  <si>
    <t xml:space="preserve">MI0342</t>
  </si>
  <si>
    <t xml:space="preserve">Trenton Veterans Memorial Library</t>
  </si>
  <si>
    <t xml:space="preserve">Trenton</t>
  </si>
  <si>
    <t xml:space="preserve">(734) 676-9777</t>
  </si>
  <si>
    <t xml:space="preserve">MI9020</t>
  </si>
  <si>
    <t xml:space="preserve">(248) 524-3538</t>
  </si>
  <si>
    <t xml:space="preserve">MI0343</t>
  </si>
  <si>
    <t xml:space="preserve">Van Buren District Library</t>
  </si>
  <si>
    <t xml:space="preserve">(269) 423-4771</t>
  </si>
  <si>
    <t xml:space="preserve">MI0345</t>
  </si>
  <si>
    <t xml:space="preserve">Vicksburg District Library</t>
  </si>
  <si>
    <t xml:space="preserve">Vicksburg</t>
  </si>
  <si>
    <t xml:space="preserve">(269) 649-1648</t>
  </si>
  <si>
    <t xml:space="preserve">MI0349</t>
  </si>
  <si>
    <t xml:space="preserve">Warren Public Library</t>
  </si>
  <si>
    <t xml:space="preserve">(586) 574-4564</t>
  </si>
  <si>
    <t xml:space="preserve">MI0356</t>
  </si>
  <si>
    <t xml:space="preserve">Waterford Township Public Library</t>
  </si>
  <si>
    <t xml:space="preserve">(248) 674-4831</t>
  </si>
  <si>
    <t xml:space="preserve">MI0358</t>
  </si>
  <si>
    <t xml:space="preserve">Wayne Public Library</t>
  </si>
  <si>
    <t xml:space="preserve">(734) 721-7832</t>
  </si>
  <si>
    <t xml:space="preserve">MI0403</t>
  </si>
  <si>
    <t xml:space="preserve">West Bloomfield Township Public Library</t>
  </si>
  <si>
    <t xml:space="preserve">West Bloomfield</t>
  </si>
  <si>
    <t xml:space="preserve">(248) 682-2120</t>
  </si>
  <si>
    <t xml:space="preserve">MI0362</t>
  </si>
  <si>
    <t xml:space="preserve">White Lake Community Library</t>
  </si>
  <si>
    <t xml:space="preserve">Whitehall</t>
  </si>
  <si>
    <t xml:space="preserve">(231) 894-9531</t>
  </si>
  <si>
    <t xml:space="preserve">MI0370</t>
  </si>
  <si>
    <t xml:space="preserve">White Lake Township Library</t>
  </si>
  <si>
    <t xml:space="preserve">White Lake</t>
  </si>
  <si>
    <t xml:space="preserve">(248) 698-4942</t>
  </si>
  <si>
    <t xml:space="preserve">MI0366</t>
  </si>
  <si>
    <t xml:space="preserve">Willard Public Library</t>
  </si>
  <si>
    <t xml:space="preserve">Battle Creek</t>
  </si>
  <si>
    <t xml:space="preserve">(269) 968-8166</t>
  </si>
  <si>
    <t xml:space="preserve">MI0371</t>
  </si>
  <si>
    <t xml:space="preserve">William P. Faust Public Library Of Westland</t>
  </si>
  <si>
    <t xml:space="preserve">Westland</t>
  </si>
  <si>
    <t xml:space="preserve">(734) 326-6123</t>
  </si>
  <si>
    <t xml:space="preserve">MI0415</t>
  </si>
  <si>
    <t xml:space="preserve">Wixom Public Library</t>
  </si>
  <si>
    <t xml:space="preserve">Wixom</t>
  </si>
  <si>
    <t xml:space="preserve">(248) 624-2512</t>
  </si>
  <si>
    <t xml:space="preserve">MI0374</t>
  </si>
  <si>
    <t xml:space="preserve">Ypsilanti District Library</t>
  </si>
  <si>
    <t xml:space="preserve">Ypsilanti</t>
  </si>
  <si>
    <t xml:space="preserve">(734) 482-4110</t>
  </si>
  <si>
    <t xml:space="preserve">MI0377</t>
  </si>
  <si>
    <t xml:space="preserve">MN</t>
  </si>
  <si>
    <t xml:space="preserve">Albert Lea Public Library</t>
  </si>
  <si>
    <t xml:space="preserve">Albert Lea</t>
  </si>
  <si>
    <t xml:space="preserve">Freeborn</t>
  </si>
  <si>
    <t xml:space="preserve">(507) 377-4350</t>
  </si>
  <si>
    <t xml:space="preserve">MN0069</t>
  </si>
  <si>
    <t xml:space="preserve">Anoka County Library</t>
  </si>
  <si>
    <t xml:space="preserve">Blaine</t>
  </si>
  <si>
    <t xml:space="preserve">Anoka</t>
  </si>
  <si>
    <t xml:space="preserve">(763) 324-1500</t>
  </si>
  <si>
    <t xml:space="preserve">MN0035</t>
  </si>
  <si>
    <t xml:space="preserve">Arrowhead Library System</t>
  </si>
  <si>
    <t xml:space="preserve">Mountain Iron</t>
  </si>
  <si>
    <t xml:space="preserve">St. Louis</t>
  </si>
  <si>
    <t xml:space="preserve">(218) 741-3840</t>
  </si>
  <si>
    <t xml:space="preserve">MN0001</t>
  </si>
  <si>
    <t xml:space="preserve">Austin Public Library</t>
  </si>
  <si>
    <t xml:space="preserve">Austin</t>
  </si>
  <si>
    <t xml:space="preserve">Mower</t>
  </si>
  <si>
    <t xml:space="preserve">(507) 433-2391</t>
  </si>
  <si>
    <t xml:space="preserve">MN0070</t>
  </si>
  <si>
    <t xml:space="preserve">Blue Earth County Library</t>
  </si>
  <si>
    <t xml:space="preserve">Mankato</t>
  </si>
  <si>
    <t xml:space="preserve">Blue Earth</t>
  </si>
  <si>
    <t xml:space="preserve">(507) 304-4001</t>
  </si>
  <si>
    <t xml:space="preserve">MN0106</t>
  </si>
  <si>
    <t xml:space="preserve">Cannon Falls Library</t>
  </si>
  <si>
    <t xml:space="preserve">Cannon Falls</t>
  </si>
  <si>
    <t xml:space="preserve">Goodhue</t>
  </si>
  <si>
    <t xml:space="preserve">(507) 263-2804</t>
  </si>
  <si>
    <t xml:space="preserve">MN0072</t>
  </si>
  <si>
    <t xml:space="preserve">Carver County Library System</t>
  </si>
  <si>
    <t xml:space="preserve">Chaska</t>
  </si>
  <si>
    <t xml:space="preserve">(952) 361-1430</t>
  </si>
  <si>
    <t xml:space="preserve">MN0038</t>
  </si>
  <si>
    <t xml:space="preserve">Cloquet Public Library</t>
  </si>
  <si>
    <t xml:space="preserve">Cloquet</t>
  </si>
  <si>
    <t xml:space="preserve">Carlton</t>
  </si>
  <si>
    <t xml:space="preserve">(218) 879-1531</t>
  </si>
  <si>
    <t xml:space="preserve">MN0010</t>
  </si>
  <si>
    <t xml:space="preserve">Columbia Heights Public Library</t>
  </si>
  <si>
    <t xml:space="preserve">Columbia Heights</t>
  </si>
  <si>
    <t xml:space="preserve">(763) 706-3690</t>
  </si>
  <si>
    <t xml:space="preserve">MN0037</t>
  </si>
  <si>
    <t xml:space="preserve">Dakota County Library</t>
  </si>
  <si>
    <t xml:space="preserve">Eagan</t>
  </si>
  <si>
    <t xml:space="preserve">Dakota</t>
  </si>
  <si>
    <t xml:space="preserve">(651) 450-2900</t>
  </si>
  <si>
    <t xml:space="preserve">MN0039</t>
  </si>
  <si>
    <t xml:space="preserve">Douglas County Library</t>
  </si>
  <si>
    <t xml:space="preserve">(320) 762-3014</t>
  </si>
  <si>
    <t xml:space="preserve">MN0137</t>
  </si>
  <si>
    <t xml:space="preserve">Duluth Public Library</t>
  </si>
  <si>
    <t xml:space="preserve">Duluth</t>
  </si>
  <si>
    <t xml:space="preserve">(218) 730-4200</t>
  </si>
  <si>
    <t xml:space="preserve">MN0013</t>
  </si>
  <si>
    <t xml:space="preserve">East Central Regional Library</t>
  </si>
  <si>
    <t xml:space="preserve">Isanti</t>
  </si>
  <si>
    <t xml:space="preserve">(763) 689-7390</t>
  </si>
  <si>
    <t xml:space="preserve">MN0031</t>
  </si>
  <si>
    <t xml:space="preserve">Faribault: Buckham Memorial Library</t>
  </si>
  <si>
    <t xml:space="preserve">Faribault</t>
  </si>
  <si>
    <t xml:space="preserve">Rice</t>
  </si>
  <si>
    <t xml:space="preserve">(507) 334-2089</t>
  </si>
  <si>
    <t xml:space="preserve">MN0075</t>
  </si>
  <si>
    <t xml:space="preserve">Fergus Falls Public Library</t>
  </si>
  <si>
    <t xml:space="preserve">Fergus Falls</t>
  </si>
  <si>
    <t xml:space="preserve">Otter Tail</t>
  </si>
  <si>
    <t xml:space="preserve">(218) 739-9387</t>
  </si>
  <si>
    <t xml:space="preserve">MN0113</t>
  </si>
  <si>
    <t xml:space="preserve">Grand Rapids Area Library</t>
  </si>
  <si>
    <t xml:space="preserve">Itasca</t>
  </si>
  <si>
    <t xml:space="preserve">(218) 326-7640</t>
  </si>
  <si>
    <t xml:space="preserve">MN0018</t>
  </si>
  <si>
    <t xml:space="preserve">Great River Regional Library</t>
  </si>
  <si>
    <t xml:space="preserve">St Cloud</t>
  </si>
  <si>
    <t xml:space="preserve">Stearns</t>
  </si>
  <si>
    <t xml:space="preserve">(320) 650-2500</t>
  </si>
  <si>
    <t xml:space="preserve">MN0032</t>
  </si>
  <si>
    <t xml:space="preserve">Hennepin County Library</t>
  </si>
  <si>
    <t xml:space="preserve">Minnetonka</t>
  </si>
  <si>
    <t xml:space="preserve">Hennepin</t>
  </si>
  <si>
    <t xml:space="preserve">(612) 543-8500</t>
  </si>
  <si>
    <t xml:space="preserve">MN0041</t>
  </si>
  <si>
    <t xml:space="preserve">Hibbing Public Library</t>
  </si>
  <si>
    <t xml:space="preserve">Hibbing</t>
  </si>
  <si>
    <t xml:space="preserve">(218) 362-5959</t>
  </si>
  <si>
    <t xml:space="preserve">MN0019</t>
  </si>
  <si>
    <t xml:space="preserve">Kasson Public Library</t>
  </si>
  <si>
    <t xml:space="preserve">Kasson</t>
  </si>
  <si>
    <t xml:space="preserve">(507) 634-7615</t>
  </si>
  <si>
    <t xml:space="preserve">MN0078</t>
  </si>
  <si>
    <t xml:space="preserve">Kitchigami Regional Library</t>
  </si>
  <si>
    <t xml:space="preserve">Pine River</t>
  </si>
  <si>
    <t xml:space="preserve">(218) 587-2171</t>
  </si>
  <si>
    <t xml:space="preserve">MN0145</t>
  </si>
  <si>
    <t xml:space="preserve">Lake Agassiz Regional Library</t>
  </si>
  <si>
    <t xml:space="preserve">Moorhead</t>
  </si>
  <si>
    <t xml:space="preserve">(218) 233-3757</t>
  </si>
  <si>
    <t xml:space="preserve">MN0034</t>
  </si>
  <si>
    <t xml:space="preserve">Lake City Public Library</t>
  </si>
  <si>
    <t xml:space="preserve">Wabasha</t>
  </si>
  <si>
    <t xml:space="preserve">(651) 345-4013</t>
  </si>
  <si>
    <t xml:space="preserve">MN0081</t>
  </si>
  <si>
    <t xml:space="preserve">Lonsdale Public Library</t>
  </si>
  <si>
    <t xml:space="preserve">Lonsdale</t>
  </si>
  <si>
    <t xml:space="preserve">(507) 744-3977</t>
  </si>
  <si>
    <t xml:space="preserve">MN0155</t>
  </si>
  <si>
    <t xml:space="preserve">Marshall-Lyon County Library</t>
  </si>
  <si>
    <t xml:space="preserve">(507) 537-7003</t>
  </si>
  <si>
    <t xml:space="preserve">MN0057</t>
  </si>
  <si>
    <t xml:space="preserve">Martin County Library</t>
  </si>
  <si>
    <t xml:space="preserve">Fairmont</t>
  </si>
  <si>
    <t xml:space="preserve">(507) 238-4207</t>
  </si>
  <si>
    <t xml:space="preserve">MN0105</t>
  </si>
  <si>
    <t xml:space="preserve">New Ulm Public Library</t>
  </si>
  <si>
    <t xml:space="preserve">New Ulm</t>
  </si>
  <si>
    <t xml:space="preserve">(507) 359-8331</t>
  </si>
  <si>
    <t xml:space="preserve">MN0101</t>
  </si>
  <si>
    <t xml:space="preserve">Nobles County Library</t>
  </si>
  <si>
    <t xml:space="preserve">Worthington</t>
  </si>
  <si>
    <t xml:space="preserve">Nobles</t>
  </si>
  <si>
    <t xml:space="preserve">(507) 295-5340</t>
  </si>
  <si>
    <t xml:space="preserve">MN0060</t>
  </si>
  <si>
    <t xml:space="preserve">North Mankato Taylor Library</t>
  </si>
  <si>
    <t xml:space="preserve">North Mankato</t>
  </si>
  <si>
    <t xml:space="preserve">Nicollet</t>
  </si>
  <si>
    <t xml:space="preserve">(507) 345-5120</t>
  </si>
  <si>
    <t xml:space="preserve">MN9027</t>
  </si>
  <si>
    <t xml:space="preserve">Northfield Public Library</t>
  </si>
  <si>
    <t xml:space="preserve">Northfield</t>
  </si>
  <si>
    <t xml:space="preserve">(507) 645-6606</t>
  </si>
  <si>
    <t xml:space="preserve">MN0084</t>
  </si>
  <si>
    <t xml:space="preserve">Northwest Regional Library</t>
  </si>
  <si>
    <t xml:space="preserve">Thief River Falls</t>
  </si>
  <si>
    <t xml:space="preserve">Pennington</t>
  </si>
  <si>
    <t xml:space="preserve">(218) 681-1066</t>
  </si>
  <si>
    <t xml:space="preserve">MN0050</t>
  </si>
  <si>
    <t xml:space="preserve">Owatonna-Steele County Library</t>
  </si>
  <si>
    <t xml:space="preserve">Owatonna</t>
  </si>
  <si>
    <t xml:space="preserve">Steele</t>
  </si>
  <si>
    <t xml:space="preserve">(507) 444-2460</t>
  </si>
  <si>
    <t xml:space="preserve">MN0085</t>
  </si>
  <si>
    <t xml:space="preserve">Pine Island: Van Horn Public Library</t>
  </si>
  <si>
    <t xml:space="preserve">Pine Island</t>
  </si>
  <si>
    <t xml:space="preserve">(507) 356-8558</t>
  </si>
  <si>
    <t xml:space="preserve">MN0086</t>
  </si>
  <si>
    <t xml:space="preserve">Pioneerland Library System</t>
  </si>
  <si>
    <t xml:space="preserve">Willmar</t>
  </si>
  <si>
    <t xml:space="preserve">Kandiyohi</t>
  </si>
  <si>
    <t xml:space="preserve">(320) 235-6106</t>
  </si>
  <si>
    <t xml:space="preserve">MN0051</t>
  </si>
  <si>
    <t xml:space="preserve">Ramsey County Library</t>
  </si>
  <si>
    <t xml:space="preserve">Shoreview</t>
  </si>
  <si>
    <t xml:space="preserve">Ramsey</t>
  </si>
  <si>
    <t xml:space="preserve">(651) 486-2200</t>
  </si>
  <si>
    <t xml:space="preserve">MN0043</t>
  </si>
  <si>
    <t xml:space="preserve">Red Wing Public Library</t>
  </si>
  <si>
    <t xml:space="preserve">Red Wing</t>
  </si>
  <si>
    <t xml:space="preserve">(651) 385-3673</t>
  </si>
  <si>
    <t xml:space="preserve">MN0089</t>
  </si>
  <si>
    <t xml:space="preserve">Rochester Public Library</t>
  </si>
  <si>
    <t xml:space="preserve">Olmsted</t>
  </si>
  <si>
    <t xml:space="preserve">(507) 328-2300</t>
  </si>
  <si>
    <t xml:space="preserve">MN0090</t>
  </si>
  <si>
    <t xml:space="preserve">Saint Paul Public Library</t>
  </si>
  <si>
    <t xml:space="preserve">Saint Paul</t>
  </si>
  <si>
    <t xml:space="preserve">(651) 266-7000</t>
  </si>
  <si>
    <t xml:space="preserve">MN0044</t>
  </si>
  <si>
    <t xml:space="preserve">Scott County Library</t>
  </si>
  <si>
    <t xml:space="preserve">Shakopee</t>
  </si>
  <si>
    <t xml:space="preserve">(952) 496-8010</t>
  </si>
  <si>
    <t xml:space="preserve">MN0045</t>
  </si>
  <si>
    <t xml:space="preserve">Sibley County Library</t>
  </si>
  <si>
    <t xml:space="preserve">Sibley</t>
  </si>
  <si>
    <t xml:space="preserve">(507) 237-4070</t>
  </si>
  <si>
    <t xml:space="preserve">MN9030</t>
  </si>
  <si>
    <t xml:space="preserve">South Saint Paul Public Library</t>
  </si>
  <si>
    <t xml:space="preserve">South St Paul</t>
  </si>
  <si>
    <t xml:space="preserve">(651) 554-3240</t>
  </si>
  <si>
    <t xml:space="preserve">MN0040</t>
  </si>
  <si>
    <t xml:space="preserve">St. Peter Public Library</t>
  </si>
  <si>
    <t xml:space="preserve">Saint Peter</t>
  </si>
  <si>
    <t xml:space="preserve">(507) 934-7420</t>
  </si>
  <si>
    <t xml:space="preserve">MN9028</t>
  </si>
  <si>
    <t xml:space="preserve">Stewartville Public Library</t>
  </si>
  <si>
    <t xml:space="preserve">Stewartville</t>
  </si>
  <si>
    <t xml:space="preserve">(507) 533-4902</t>
  </si>
  <si>
    <t xml:space="preserve">MN0094</t>
  </si>
  <si>
    <t xml:space="preserve">Stillwater Public Library</t>
  </si>
  <si>
    <t xml:space="preserve">Stillwater</t>
  </si>
  <si>
    <t xml:space="preserve">(651) 275-4338</t>
  </si>
  <si>
    <t xml:space="preserve">MN0049</t>
  </si>
  <si>
    <t xml:space="preserve">Viking Library System</t>
  </si>
  <si>
    <t xml:space="preserve">(218) 739-5286</t>
  </si>
  <si>
    <t xml:space="preserve">MN0109</t>
  </si>
  <si>
    <t xml:space="preserve">Waseca-Le Sueur Regional Library</t>
  </si>
  <si>
    <t xml:space="preserve">Waseca</t>
  </si>
  <si>
    <t xml:space="preserve">(507) 835-2910</t>
  </si>
  <si>
    <t xml:space="preserve">MN0107</t>
  </si>
  <si>
    <t xml:space="preserve">Washington County Library</t>
  </si>
  <si>
    <t xml:space="preserve">(651) 275-8500</t>
  </si>
  <si>
    <t xml:space="preserve">MN0046</t>
  </si>
  <si>
    <t xml:space="preserve">Watonwan County Library</t>
  </si>
  <si>
    <t xml:space="preserve">St James</t>
  </si>
  <si>
    <t xml:space="preserve">Watonwan</t>
  </si>
  <si>
    <t xml:space="preserve">(507) 375-1278</t>
  </si>
  <si>
    <t xml:space="preserve">MN0108</t>
  </si>
  <si>
    <t xml:space="preserve">Winona Public Library</t>
  </si>
  <si>
    <t xml:space="preserve">Winona</t>
  </si>
  <si>
    <t xml:space="preserve">(507) 452-4582</t>
  </si>
  <si>
    <t xml:space="preserve">MN0097</t>
  </si>
  <si>
    <t xml:space="preserve">Zumbrota Public Library</t>
  </si>
  <si>
    <t xml:space="preserve">Zumbrota</t>
  </si>
  <si>
    <t xml:space="preserve">(507) 732-5211</t>
  </si>
  <si>
    <t xml:space="preserve">MN0098</t>
  </si>
  <si>
    <t xml:space="preserve">MO</t>
  </si>
  <si>
    <t xml:space="preserve">Kirksville</t>
  </si>
  <si>
    <t xml:space="preserve">(660) 665-6038</t>
  </si>
  <si>
    <t xml:space="preserve">MO0015</t>
  </si>
  <si>
    <t xml:space="preserve">Barry-Lawrence Regional Library</t>
  </si>
  <si>
    <t xml:space="preserve">Monett</t>
  </si>
  <si>
    <t xml:space="preserve">(417) 235-6646</t>
  </si>
  <si>
    <t xml:space="preserve">MO0038</t>
  </si>
  <si>
    <t xml:space="preserve">Barton County Library</t>
  </si>
  <si>
    <t xml:space="preserve">(417) 682-5355</t>
  </si>
  <si>
    <t xml:space="preserve">MO0173</t>
  </si>
  <si>
    <t xml:space="preserve">Bollinger County Library</t>
  </si>
  <si>
    <t xml:space="preserve">Marble Hill</t>
  </si>
  <si>
    <t xml:space="preserve">Bollinger</t>
  </si>
  <si>
    <t xml:space="preserve">(573) 238-2713</t>
  </si>
  <si>
    <t xml:space="preserve">MO0122</t>
  </si>
  <si>
    <t xml:space="preserve">Boonslick Regional Library</t>
  </si>
  <si>
    <t xml:space="preserve">Sedalia</t>
  </si>
  <si>
    <t xml:space="preserve">Pettis</t>
  </si>
  <si>
    <t xml:space="preserve">(660) 827-7111</t>
  </si>
  <si>
    <t xml:space="preserve">MO0039</t>
  </si>
  <si>
    <t xml:space="preserve">Camden County Library</t>
  </si>
  <si>
    <t xml:space="preserve">Camdenton</t>
  </si>
  <si>
    <t xml:space="preserve">(573) 346-7733</t>
  </si>
  <si>
    <t xml:space="preserve">MO0095</t>
  </si>
  <si>
    <t xml:space="preserve">Carthage Public Library</t>
  </si>
  <si>
    <t xml:space="preserve">Carthage</t>
  </si>
  <si>
    <t xml:space="preserve">(417) 237-7040</t>
  </si>
  <si>
    <t xml:space="preserve">MO0121</t>
  </si>
  <si>
    <t xml:space="preserve">Cass County Public Library</t>
  </si>
  <si>
    <t xml:space="preserve">Harrisonville</t>
  </si>
  <si>
    <t xml:space="preserve">(816) 380-4600</t>
  </si>
  <si>
    <t xml:space="preserve">MO0040</t>
  </si>
  <si>
    <t xml:space="preserve">Cedar County Library District</t>
  </si>
  <si>
    <t xml:space="preserve">Cedar</t>
  </si>
  <si>
    <t xml:space="preserve">(417) 276-3413</t>
  </si>
  <si>
    <t xml:space="preserve">MO0178</t>
  </si>
  <si>
    <t xml:space="preserve">Christian County Library</t>
  </si>
  <si>
    <t xml:space="preserve">Nixa</t>
  </si>
  <si>
    <t xml:space="preserve">(417) 724-6100</t>
  </si>
  <si>
    <t xml:space="preserve">MO0110</t>
  </si>
  <si>
    <t xml:space="preserve">City Of St. Louis Municipal Library District</t>
  </si>
  <si>
    <t xml:space="preserve">St. Louis City</t>
  </si>
  <si>
    <t xml:space="preserve">(314) 539-0300</t>
  </si>
  <si>
    <t xml:space="preserve">MO0030</t>
  </si>
  <si>
    <t xml:space="preserve">Steelville</t>
  </si>
  <si>
    <t xml:space="preserve">(573) 775-5035</t>
  </si>
  <si>
    <t xml:space="preserve">MO0234</t>
  </si>
  <si>
    <t xml:space="preserve">Dallas County Library</t>
  </si>
  <si>
    <t xml:space="preserve">Buffalo</t>
  </si>
  <si>
    <t xml:space="preserve">(417) 345-2647</t>
  </si>
  <si>
    <t xml:space="preserve">MO0087</t>
  </si>
  <si>
    <t xml:space="preserve">Daniel Boone Regional Library</t>
  </si>
  <si>
    <t xml:space="preserve">(573) 443-3161</t>
  </si>
  <si>
    <t xml:space="preserve">MO0034</t>
  </si>
  <si>
    <t xml:space="preserve">Doniphan-Ripley County Library District</t>
  </si>
  <si>
    <t xml:space="preserve">Doniphan</t>
  </si>
  <si>
    <t xml:space="preserve">(573) 996-2616</t>
  </si>
  <si>
    <t xml:space="preserve">MO0138</t>
  </si>
  <si>
    <t xml:space="preserve">Douglas County Public Library</t>
  </si>
  <si>
    <t xml:space="preserve">Ava</t>
  </si>
  <si>
    <t xml:space="preserve">(417) 683-5633</t>
  </si>
  <si>
    <t xml:space="preserve">MO0111</t>
  </si>
  <si>
    <t xml:space="preserve">Dunklin County Library</t>
  </si>
  <si>
    <t xml:space="preserve">Kennett</t>
  </si>
  <si>
    <t xml:space="preserve">Dunklin</t>
  </si>
  <si>
    <t xml:space="preserve">(573) 888-3561</t>
  </si>
  <si>
    <t xml:space="preserve">MO0126</t>
  </si>
  <si>
    <t xml:space="preserve">Farmington Public Library</t>
  </si>
  <si>
    <t xml:space="preserve">St. Francois</t>
  </si>
  <si>
    <t xml:space="preserve">(573) 756-5779</t>
  </si>
  <si>
    <t xml:space="preserve">MO0075</t>
  </si>
  <si>
    <t xml:space="preserve">Ferguson Municipal Public Library District</t>
  </si>
  <si>
    <t xml:space="preserve">Ferguson</t>
  </si>
  <si>
    <t xml:space="preserve">(314) 521-4820</t>
  </si>
  <si>
    <t xml:space="preserve">MO0073</t>
  </si>
  <si>
    <t xml:space="preserve">Festus Public Library</t>
  </si>
  <si>
    <t xml:space="preserve">Festus</t>
  </si>
  <si>
    <t xml:space="preserve">(636) 937-2017</t>
  </si>
  <si>
    <t xml:space="preserve">MO0082</t>
  </si>
  <si>
    <t xml:space="preserve">Hannibal Free Public Library</t>
  </si>
  <si>
    <t xml:space="preserve">Hannibal</t>
  </si>
  <si>
    <t xml:space="preserve">(573) 221-0222</t>
  </si>
  <si>
    <t xml:space="preserve">MO0051</t>
  </si>
  <si>
    <t xml:space="preserve">Heartland Regional Library System</t>
  </si>
  <si>
    <t xml:space="preserve">Vienna</t>
  </si>
  <si>
    <t xml:space="preserve">Maries</t>
  </si>
  <si>
    <t xml:space="preserve">(573) 422-9866</t>
  </si>
  <si>
    <t xml:space="preserve">MO0174</t>
  </si>
  <si>
    <t xml:space="preserve">Henry County Library</t>
  </si>
  <si>
    <t xml:space="preserve">(660) 885-2612</t>
  </si>
  <si>
    <t xml:space="preserve">MO0088</t>
  </si>
  <si>
    <t xml:space="preserve">Jefferson County Library District</t>
  </si>
  <si>
    <t xml:space="preserve">High Ridge</t>
  </si>
  <si>
    <t xml:space="preserve">(636) 677-8689</t>
  </si>
  <si>
    <t xml:space="preserve">MO0147</t>
  </si>
  <si>
    <t xml:space="preserve">Joplin Public Library</t>
  </si>
  <si>
    <t xml:space="preserve">Joplin</t>
  </si>
  <si>
    <t xml:space="preserve">(417) 623-7953</t>
  </si>
  <si>
    <t xml:space="preserve">MO0041</t>
  </si>
  <si>
    <t xml:space="preserve">Kansas City Public Library</t>
  </si>
  <si>
    <t xml:space="preserve">(816) 701-3400</t>
  </si>
  <si>
    <t xml:space="preserve">MO0014</t>
  </si>
  <si>
    <t xml:space="preserve">Kirkwood Public Library</t>
  </si>
  <si>
    <t xml:space="preserve">Kirkwood</t>
  </si>
  <si>
    <t xml:space="preserve">(314) 821-5770</t>
  </si>
  <si>
    <t xml:space="preserve">MO0076</t>
  </si>
  <si>
    <t xml:space="preserve">Lebanon-Laclede County Library</t>
  </si>
  <si>
    <t xml:space="preserve">Laclede</t>
  </si>
  <si>
    <t xml:space="preserve">(417) 532-4212</t>
  </si>
  <si>
    <t xml:space="preserve">MO0198</t>
  </si>
  <si>
    <t xml:space="preserve">Little Dixie Regional Libraries</t>
  </si>
  <si>
    <t xml:space="preserve">Moberly</t>
  </si>
  <si>
    <t xml:space="preserve">(660) 263-4426</t>
  </si>
  <si>
    <t xml:space="preserve">MO0053</t>
  </si>
  <si>
    <t xml:space="preserve">Livingston County Library</t>
  </si>
  <si>
    <t xml:space="preserve">(660) 646-0547</t>
  </si>
  <si>
    <t xml:space="preserve">MO0054</t>
  </si>
  <si>
    <t xml:space="preserve">Marshall Public Library</t>
  </si>
  <si>
    <t xml:space="preserve">(660) 886-3391</t>
  </si>
  <si>
    <t xml:space="preserve">MO0140</t>
  </si>
  <si>
    <t xml:space="preserve">Maryville Public Library</t>
  </si>
  <si>
    <t xml:space="preserve">Nodaway</t>
  </si>
  <si>
    <t xml:space="preserve">(660) 582-5281</t>
  </si>
  <si>
    <t xml:space="preserve">MO0055</t>
  </si>
  <si>
    <t xml:space="preserve">Mcdonald County Library</t>
  </si>
  <si>
    <t xml:space="preserve">Pineville</t>
  </si>
  <si>
    <t xml:space="preserve">Mcdonald</t>
  </si>
  <si>
    <t xml:space="preserve">(417) 223-4489</t>
  </si>
  <si>
    <t xml:space="preserve">MO0106</t>
  </si>
  <si>
    <t xml:space="preserve">Mexico-Audrain County Library District</t>
  </si>
  <si>
    <t xml:space="preserve">Mexico</t>
  </si>
  <si>
    <t xml:space="preserve">Audrain</t>
  </si>
  <si>
    <t xml:space="preserve">(573) 581-4939</t>
  </si>
  <si>
    <t xml:space="preserve">MO0091</t>
  </si>
  <si>
    <t xml:space="preserve">Mid-Continent Public Library</t>
  </si>
  <si>
    <t xml:space="preserve">(816) 836-5200</t>
  </si>
  <si>
    <t xml:space="preserve">MO0004</t>
  </si>
  <si>
    <t xml:space="preserve">Mississippi County Library District</t>
  </si>
  <si>
    <t xml:space="preserve">(573) 683-6748</t>
  </si>
  <si>
    <t xml:space="preserve">MO0056</t>
  </si>
  <si>
    <t xml:space="preserve">Missouri River Regional Library</t>
  </si>
  <si>
    <t xml:space="preserve">Jefferson City</t>
  </si>
  <si>
    <t xml:space="preserve">Cole</t>
  </si>
  <si>
    <t xml:space="preserve">(573) 634-2464</t>
  </si>
  <si>
    <t xml:space="preserve">MO0175</t>
  </si>
  <si>
    <t xml:space="preserve">Moniteau County Library</t>
  </si>
  <si>
    <t xml:space="preserve">California</t>
  </si>
  <si>
    <t xml:space="preserve">Moniteau</t>
  </si>
  <si>
    <t xml:space="preserve">(573) 796-2642</t>
  </si>
  <si>
    <t xml:space="preserve">MO0172</t>
  </si>
  <si>
    <t xml:space="preserve">Morgan County Library</t>
  </si>
  <si>
    <t xml:space="preserve">(573) 378-5319</t>
  </si>
  <si>
    <t xml:space="preserve">MO0033</t>
  </si>
  <si>
    <t xml:space="preserve">Municipal Library District Of The City Of Cape Girardeau</t>
  </si>
  <si>
    <t xml:space="preserve">Cape Girardeau</t>
  </si>
  <si>
    <t xml:space="preserve">(573) 334-5279</t>
  </si>
  <si>
    <t xml:space="preserve">MO0048</t>
  </si>
  <si>
    <t xml:space="preserve">Neosho/Newton County Library</t>
  </si>
  <si>
    <t xml:space="preserve">Neosho</t>
  </si>
  <si>
    <t xml:space="preserve">(417) 451-4231</t>
  </si>
  <si>
    <t xml:space="preserve">MO0044</t>
  </si>
  <si>
    <t xml:space="preserve">New Madrid County Library</t>
  </si>
  <si>
    <t xml:space="preserve">Portageville</t>
  </si>
  <si>
    <t xml:space="preserve">New Madrid</t>
  </si>
  <si>
    <t xml:space="preserve">(573) 379-3583</t>
  </si>
  <si>
    <t xml:space="preserve">MO0132</t>
  </si>
  <si>
    <t xml:space="preserve">Northeast Missouri Library Service</t>
  </si>
  <si>
    <t xml:space="preserve">Kahoka</t>
  </si>
  <si>
    <t xml:space="preserve">(660) 727-2327</t>
  </si>
  <si>
    <t xml:space="preserve">MO0059</t>
  </si>
  <si>
    <t xml:space="preserve">Ozark Regional Library</t>
  </si>
  <si>
    <t xml:space="preserve">Ironton</t>
  </si>
  <si>
    <t xml:space="preserve">Iron</t>
  </si>
  <si>
    <t xml:space="preserve">(573) 546-2615</t>
  </si>
  <si>
    <t xml:space="preserve">MO0060</t>
  </si>
  <si>
    <t xml:space="preserve">Polk County Library</t>
  </si>
  <si>
    <t xml:space="preserve">Bolivar</t>
  </si>
  <si>
    <t xml:space="preserve">(417) 326-4531</t>
  </si>
  <si>
    <t xml:space="preserve">MO0181</t>
  </si>
  <si>
    <t xml:space="preserve">Poplar Bluff Municipal Library District</t>
  </si>
  <si>
    <t xml:space="preserve">Poplar Bluff</t>
  </si>
  <si>
    <t xml:space="preserve">(573) 686-8639</t>
  </si>
  <si>
    <t xml:space="preserve">MO0125</t>
  </si>
  <si>
    <t xml:space="preserve">Pulaski County Library</t>
  </si>
  <si>
    <t xml:space="preserve">Waynesville</t>
  </si>
  <si>
    <t xml:space="preserve">(573) 774-5026</t>
  </si>
  <si>
    <t xml:space="preserve">MO0199</t>
  </si>
  <si>
    <t xml:space="preserve">Ralls County Library</t>
  </si>
  <si>
    <t xml:space="preserve">Center</t>
  </si>
  <si>
    <t xml:space="preserve">Ralls</t>
  </si>
  <si>
    <t xml:space="preserve">(573) 267-3200</t>
  </si>
  <si>
    <t xml:space="preserve">MO0169</t>
  </si>
  <si>
    <t xml:space="preserve">Ray County Library</t>
  </si>
  <si>
    <t xml:space="preserve">Ray</t>
  </si>
  <si>
    <t xml:space="preserve">(816) 776-5104</t>
  </si>
  <si>
    <t xml:space="preserve">MO0062</t>
  </si>
  <si>
    <t xml:space="preserve">Riverside Regional Library</t>
  </si>
  <si>
    <t xml:space="preserve">(573) 243-8141</t>
  </si>
  <si>
    <t xml:space="preserve">MO0128</t>
  </si>
  <si>
    <t xml:space="preserve">Rolla Public Library</t>
  </si>
  <si>
    <t xml:space="preserve">Rolla</t>
  </si>
  <si>
    <t xml:space="preserve">Phelps</t>
  </si>
  <si>
    <t xml:space="preserve">(573) 364-2604</t>
  </si>
  <si>
    <t xml:space="preserve">MO0094</t>
  </si>
  <si>
    <t xml:space="preserve">Rolling Hills Consolidated</t>
  </si>
  <si>
    <t xml:space="preserve">(816) 236-2106</t>
  </si>
  <si>
    <t xml:space="preserve">MO0206</t>
  </si>
  <si>
    <t xml:space="preserve">Saint Charles City-County Library District</t>
  </si>
  <si>
    <t xml:space="preserve">St. Peters</t>
  </si>
  <si>
    <t xml:space="preserve">(636) 441-2300</t>
  </si>
  <si>
    <t xml:space="preserve">MO0035</t>
  </si>
  <si>
    <t xml:space="preserve">Saint Joseph Public Library</t>
  </si>
  <si>
    <t xml:space="preserve">(816) 232-4038</t>
  </si>
  <si>
    <t xml:space="preserve">MO0227</t>
  </si>
  <si>
    <t xml:space="preserve">Saint Louis County Library</t>
  </si>
  <si>
    <t xml:space="preserve">(314) 994-3300</t>
  </si>
  <si>
    <t xml:space="preserve">MO0036</t>
  </si>
  <si>
    <t xml:space="preserve">Scenic Regional Library</t>
  </si>
  <si>
    <t xml:space="preserve">(636) 583-0652</t>
  </si>
  <si>
    <t xml:space="preserve">MO0065</t>
  </si>
  <si>
    <t xml:space="preserve">Sedalia Public Library</t>
  </si>
  <si>
    <t xml:space="preserve">(660) 826-1314</t>
  </si>
  <si>
    <t xml:space="preserve">MO0090</t>
  </si>
  <si>
    <t xml:space="preserve">Sikeston Public Library</t>
  </si>
  <si>
    <t xml:space="preserve">Sikeston</t>
  </si>
  <si>
    <t xml:space="preserve">(573) 471-4140</t>
  </si>
  <si>
    <t xml:space="preserve">MO0127</t>
  </si>
  <si>
    <t xml:space="preserve">Springfield-Greene County Library District</t>
  </si>
  <si>
    <t xml:space="preserve">(417) 883-5366</t>
  </si>
  <si>
    <t xml:space="preserve">MO0020</t>
  </si>
  <si>
    <t xml:space="preserve">Stone County Library</t>
  </si>
  <si>
    <t xml:space="preserve">Galena</t>
  </si>
  <si>
    <t xml:space="preserve">(417) 357-6410</t>
  </si>
  <si>
    <t xml:space="preserve">MO0043</t>
  </si>
  <si>
    <t xml:space="preserve">Texas County Library</t>
  </si>
  <si>
    <t xml:space="preserve">Texas</t>
  </si>
  <si>
    <t xml:space="preserve">(417) 967-2258</t>
  </si>
  <si>
    <t xml:space="preserve">MO0116</t>
  </si>
  <si>
    <t xml:space="preserve">Trails Regional Library</t>
  </si>
  <si>
    <t xml:space="preserve">Warrensburg</t>
  </si>
  <si>
    <t xml:space="preserve">(660) 747-1699</t>
  </si>
  <si>
    <t xml:space="preserve">MO0045</t>
  </si>
  <si>
    <t xml:space="preserve">University City Public Library</t>
  </si>
  <si>
    <t xml:space="preserve">University City</t>
  </si>
  <si>
    <t xml:space="preserve">(314) 727-3150</t>
  </si>
  <si>
    <t xml:space="preserve">MO0037</t>
  </si>
  <si>
    <t xml:space="preserve">Potosi</t>
  </si>
  <si>
    <t xml:space="preserve">(573) 438-4691</t>
  </si>
  <si>
    <t xml:space="preserve">MO0068</t>
  </si>
  <si>
    <t xml:space="preserve">Webb City Public Library</t>
  </si>
  <si>
    <t xml:space="preserve">Webb City</t>
  </si>
  <si>
    <t xml:space="preserve">(417) 673-4326</t>
  </si>
  <si>
    <t xml:space="preserve">MO0114</t>
  </si>
  <si>
    <t xml:space="preserve">Webster County Library</t>
  </si>
  <si>
    <t xml:space="preserve">(417) 468-3335</t>
  </si>
  <si>
    <t xml:space="preserve">MO0190</t>
  </si>
  <si>
    <t xml:space="preserve">Webster Groves Public Library</t>
  </si>
  <si>
    <t xml:space="preserve">Webster Groves</t>
  </si>
  <si>
    <t xml:space="preserve">(314) 961-3784</t>
  </si>
  <si>
    <t xml:space="preserve">MO0084</t>
  </si>
  <si>
    <t xml:space="preserve">West Plains Public Library</t>
  </si>
  <si>
    <t xml:space="preserve">West Plains</t>
  </si>
  <si>
    <t xml:space="preserve">(417) 256-4775</t>
  </si>
  <si>
    <t xml:space="preserve">MO0108</t>
  </si>
  <si>
    <t xml:space="preserve">Wright County Library</t>
  </si>
  <si>
    <t xml:space="preserve">Hartville</t>
  </si>
  <si>
    <t xml:space="preserve">Wright</t>
  </si>
  <si>
    <t xml:space="preserve">(417) 741-7595</t>
  </si>
  <si>
    <t xml:space="preserve">MO0011</t>
  </si>
  <si>
    <t xml:space="preserve">MS</t>
  </si>
  <si>
    <t xml:space="preserve">Bolivar County Library</t>
  </si>
  <si>
    <t xml:space="preserve">Cleveland</t>
  </si>
  <si>
    <t xml:space="preserve">(662) 843-2774</t>
  </si>
  <si>
    <t xml:space="preserve">MS0003</t>
  </si>
  <si>
    <t xml:space="preserve">Carnegie Public Library</t>
  </si>
  <si>
    <t xml:space="preserve">Clarksdale</t>
  </si>
  <si>
    <t xml:space="preserve">Coahoma</t>
  </si>
  <si>
    <t xml:space="preserve">(662) 624-4461</t>
  </si>
  <si>
    <t xml:space="preserve">MS0005</t>
  </si>
  <si>
    <t xml:space="preserve">Central Mississippi Regional Library</t>
  </si>
  <si>
    <t xml:space="preserve">Brandon</t>
  </si>
  <si>
    <t xml:space="preserve">Rankin</t>
  </si>
  <si>
    <t xml:space="preserve">(601) 825-0100</t>
  </si>
  <si>
    <t xml:space="preserve">MS0006</t>
  </si>
  <si>
    <t xml:space="preserve">Columbus-Lowndes Public Library</t>
  </si>
  <si>
    <t xml:space="preserve">(662) 329-5300</t>
  </si>
  <si>
    <t xml:space="preserve">MS0028</t>
  </si>
  <si>
    <t xml:space="preserve">Copiah-Jefferson Regional Library</t>
  </si>
  <si>
    <t xml:space="preserve">Hazlehurst</t>
  </si>
  <si>
    <t xml:space="preserve">Copiah</t>
  </si>
  <si>
    <t xml:space="preserve">(601) 894-1681</t>
  </si>
  <si>
    <t xml:space="preserve">MS0008</t>
  </si>
  <si>
    <t xml:space="preserve">Covington County Library System</t>
  </si>
  <si>
    <t xml:space="preserve">Collins</t>
  </si>
  <si>
    <t xml:space="preserve">(601) 765-4612</t>
  </si>
  <si>
    <t xml:space="preserve">MS0051</t>
  </si>
  <si>
    <t xml:space="preserve">Dixie Regional Library System</t>
  </si>
  <si>
    <t xml:space="preserve">Pontotoc</t>
  </si>
  <si>
    <t xml:space="preserve">(662) 489-3960</t>
  </si>
  <si>
    <t xml:space="preserve">MS0009</t>
  </si>
  <si>
    <t xml:space="preserve">East Mississippi Regional Library</t>
  </si>
  <si>
    <t xml:space="preserve">(601) 776-3881</t>
  </si>
  <si>
    <t xml:space="preserve">MS0010</t>
  </si>
  <si>
    <t xml:space="preserve">Elizabeth Jones Library</t>
  </si>
  <si>
    <t xml:space="preserve">Grenada</t>
  </si>
  <si>
    <t xml:space="preserve">(662) 226-2072</t>
  </si>
  <si>
    <t xml:space="preserve">MS0011</t>
  </si>
  <si>
    <t xml:space="preserve">First Regional Library</t>
  </si>
  <si>
    <t xml:space="preserve">(662) 429-4439</t>
  </si>
  <si>
    <t xml:space="preserve">MS0013</t>
  </si>
  <si>
    <t xml:space="preserve">Greenwood-Leflore Public Library</t>
  </si>
  <si>
    <t xml:space="preserve">Leflore</t>
  </si>
  <si>
    <t xml:space="preserve">(662) 453-3634</t>
  </si>
  <si>
    <t xml:space="preserve">MS0012</t>
  </si>
  <si>
    <t xml:space="preserve">Hancock County Library</t>
  </si>
  <si>
    <t xml:space="preserve">Bay Saint Louis</t>
  </si>
  <si>
    <t xml:space="preserve">(228) 467-5282</t>
  </si>
  <si>
    <t xml:space="preserve">MS0014</t>
  </si>
  <si>
    <t xml:space="preserve">Harrison County Library System</t>
  </si>
  <si>
    <t xml:space="preserve">Gulfport</t>
  </si>
  <si>
    <t xml:space="preserve">(228) 539-0110</t>
  </si>
  <si>
    <t xml:space="preserve">MS0016</t>
  </si>
  <si>
    <t xml:space="preserve">Jackson-George Regional Library System</t>
  </si>
  <si>
    <t xml:space="preserve">Pascagoula</t>
  </si>
  <si>
    <t xml:space="preserve">(228) 769-3060</t>
  </si>
  <si>
    <t xml:space="preserve">MS0020</t>
  </si>
  <si>
    <t xml:space="preserve">Jackson/Hinds Library System</t>
  </si>
  <si>
    <t xml:space="preserve">Hinds</t>
  </si>
  <si>
    <t xml:space="preserve">(601) 968-5811</t>
  </si>
  <si>
    <t xml:space="preserve">MS0021</t>
  </si>
  <si>
    <t xml:space="preserve">Judge Armstrong Library</t>
  </si>
  <si>
    <t xml:space="preserve">Natchez</t>
  </si>
  <si>
    <t xml:space="preserve">(601) 445-8862</t>
  </si>
  <si>
    <t xml:space="preserve">MS0018</t>
  </si>
  <si>
    <t xml:space="preserve">Kemper-Newton Regional Library</t>
  </si>
  <si>
    <t xml:space="preserve">(601) 774-5096</t>
  </si>
  <si>
    <t xml:space="preserve">MS0023</t>
  </si>
  <si>
    <t xml:space="preserve">Lamar County Library System</t>
  </si>
  <si>
    <t xml:space="preserve">Purvis</t>
  </si>
  <si>
    <t xml:space="preserve">(601) 794-3221</t>
  </si>
  <si>
    <t xml:space="preserve">MS8001</t>
  </si>
  <si>
    <t xml:space="preserve">Laurel-Jones County Library System, Inc.</t>
  </si>
  <si>
    <t xml:space="preserve">(601) 428-4313</t>
  </si>
  <si>
    <t xml:space="preserve">MS0024</t>
  </si>
  <si>
    <t xml:space="preserve">Lee-Itawamba Library System</t>
  </si>
  <si>
    <t xml:space="preserve">Tupelo</t>
  </si>
  <si>
    <t xml:space="preserve">(662) 841-9027</t>
  </si>
  <si>
    <t xml:space="preserve">MS0025</t>
  </si>
  <si>
    <t xml:space="preserve">Lincoln-Lawrence-Franklin Regional Library</t>
  </si>
  <si>
    <t xml:space="preserve">Brookhaven</t>
  </si>
  <si>
    <t xml:space="preserve">(601) 833-3369</t>
  </si>
  <si>
    <t xml:space="preserve">MS0026</t>
  </si>
  <si>
    <t xml:space="preserve">(228) 863-0711</t>
  </si>
  <si>
    <t xml:space="preserve">MS0027</t>
  </si>
  <si>
    <t xml:space="preserve">Madison County Library System</t>
  </si>
  <si>
    <t xml:space="preserve">(601) 859-3202</t>
  </si>
  <si>
    <t xml:space="preserve">MS0029</t>
  </si>
  <si>
    <t xml:space="preserve">Marshall County Library</t>
  </si>
  <si>
    <t xml:space="preserve">Holly Springs</t>
  </si>
  <si>
    <t xml:space="preserve">(662) 252-3823</t>
  </si>
  <si>
    <t xml:space="preserve">MS0031</t>
  </si>
  <si>
    <t xml:space="preserve">Meridian-Lauderdale County Public Library</t>
  </si>
  <si>
    <t xml:space="preserve">(601) 693-6771</t>
  </si>
  <si>
    <t xml:space="preserve">MS0032</t>
  </si>
  <si>
    <t xml:space="preserve">Mid-Mississippi Regional Library</t>
  </si>
  <si>
    <t xml:space="preserve">Attala</t>
  </si>
  <si>
    <t xml:space="preserve">(662) 289-5141</t>
  </si>
  <si>
    <t xml:space="preserve">MS0033</t>
  </si>
  <si>
    <t xml:space="preserve">Neshoba County Public Library</t>
  </si>
  <si>
    <t xml:space="preserve">Philadelphia</t>
  </si>
  <si>
    <t xml:space="preserve">Neshoba</t>
  </si>
  <si>
    <t xml:space="preserve">(601) 656-4911</t>
  </si>
  <si>
    <t xml:space="preserve">MS0034</t>
  </si>
  <si>
    <t xml:space="preserve">Northeast Regional Library</t>
  </si>
  <si>
    <t xml:space="preserve">Corinth</t>
  </si>
  <si>
    <t xml:space="preserve">Alcorn</t>
  </si>
  <si>
    <t xml:space="preserve">(662) 287-7311</t>
  </si>
  <si>
    <t xml:space="preserve">MS0035</t>
  </si>
  <si>
    <t xml:space="preserve">Noxubee County Library</t>
  </si>
  <si>
    <t xml:space="preserve">Noxubee</t>
  </si>
  <si>
    <t xml:space="preserve">(662) 726-5461</t>
  </si>
  <si>
    <t xml:space="preserve">MS0036</t>
  </si>
  <si>
    <t xml:space="preserve">Pearl River County Library System</t>
  </si>
  <si>
    <t xml:space="preserve">Picayune</t>
  </si>
  <si>
    <t xml:space="preserve">Pearl River</t>
  </si>
  <si>
    <t xml:space="preserve">(601) 798-5081</t>
  </si>
  <si>
    <t xml:space="preserve">MS0039</t>
  </si>
  <si>
    <t xml:space="preserve">Pike-Amite-Walthall Library System</t>
  </si>
  <si>
    <t xml:space="preserve">Mccomb</t>
  </si>
  <si>
    <t xml:space="preserve">(601) 684-2661</t>
  </si>
  <si>
    <t xml:space="preserve">MS0040</t>
  </si>
  <si>
    <t xml:space="preserve">Pine Forest Regional Library</t>
  </si>
  <si>
    <t xml:space="preserve">Richton</t>
  </si>
  <si>
    <t xml:space="preserve">(601) 788-6539</t>
  </si>
  <si>
    <t xml:space="preserve">MS0041</t>
  </si>
  <si>
    <t xml:space="preserve">South Mississippi Regional Library</t>
  </si>
  <si>
    <t xml:space="preserve">(601) 736-5516</t>
  </si>
  <si>
    <t xml:space="preserve">MS0043</t>
  </si>
  <si>
    <t xml:space="preserve">Starkville-Oktibbeha County Public Library System</t>
  </si>
  <si>
    <t xml:space="preserve">Starkville</t>
  </si>
  <si>
    <t xml:space="preserve">Oktibbeha</t>
  </si>
  <si>
    <t xml:space="preserve">(662) 323-2766</t>
  </si>
  <si>
    <t xml:space="preserve">MS0038</t>
  </si>
  <si>
    <t xml:space="preserve">Sunflower County Library</t>
  </si>
  <si>
    <t xml:space="preserve">Sunflower</t>
  </si>
  <si>
    <t xml:space="preserve">(662) 887-1672</t>
  </si>
  <si>
    <t xml:space="preserve">MS0044</t>
  </si>
  <si>
    <t xml:space="preserve">Tallahatchie County Library</t>
  </si>
  <si>
    <t xml:space="preserve">Tallahatchie</t>
  </si>
  <si>
    <t xml:space="preserve">(662) 647-2638</t>
  </si>
  <si>
    <t xml:space="preserve">MS0045</t>
  </si>
  <si>
    <t xml:space="preserve">The Library Of Hattiesburg, Petal &amp; Forrest C</t>
  </si>
  <si>
    <t xml:space="preserve">Hattiesburg</t>
  </si>
  <si>
    <t xml:space="preserve">Forrest</t>
  </si>
  <si>
    <t xml:space="preserve">(601) 582-4461</t>
  </si>
  <si>
    <t xml:space="preserve">MS0017</t>
  </si>
  <si>
    <t xml:space="preserve">Tombigbee Regional Library</t>
  </si>
  <si>
    <t xml:space="preserve">West Point</t>
  </si>
  <si>
    <t xml:space="preserve">(662) 494-4872</t>
  </si>
  <si>
    <t xml:space="preserve">MS0046</t>
  </si>
  <si>
    <t xml:space="preserve">Union County Library System</t>
  </si>
  <si>
    <t xml:space="preserve">(662) 534-1991</t>
  </si>
  <si>
    <t xml:space="preserve">MS0022</t>
  </si>
  <si>
    <t xml:space="preserve">Warren County-Vicksburg Public Library</t>
  </si>
  <si>
    <t xml:space="preserve">(601) 636-6411</t>
  </si>
  <si>
    <t xml:space="preserve">MS0047</t>
  </si>
  <si>
    <t xml:space="preserve">(662) 335-2331</t>
  </si>
  <si>
    <t xml:space="preserve">MS0048</t>
  </si>
  <si>
    <t xml:space="preserve">Waynesboro-Wayne County Library System</t>
  </si>
  <si>
    <t xml:space="preserve">Waynesboro</t>
  </si>
  <si>
    <t xml:space="preserve">(601) 735-2268</t>
  </si>
  <si>
    <t xml:space="preserve">MS8002</t>
  </si>
  <si>
    <t xml:space="preserve">Yalobusha County Library</t>
  </si>
  <si>
    <t xml:space="preserve">Coffeeville</t>
  </si>
  <si>
    <t xml:space="preserve">Yalobusha</t>
  </si>
  <si>
    <t xml:space="preserve">(662) 675-8822</t>
  </si>
  <si>
    <t xml:space="preserve">MS0002</t>
  </si>
  <si>
    <t xml:space="preserve">Yazoo Library Association</t>
  </si>
  <si>
    <t xml:space="preserve">Yazoo City</t>
  </si>
  <si>
    <t xml:space="preserve">Yazoo</t>
  </si>
  <si>
    <t xml:space="preserve">(662) 746-5557</t>
  </si>
  <si>
    <t xml:space="preserve">MS0042</t>
  </si>
  <si>
    <t xml:space="preserve">MT</t>
  </si>
  <si>
    <t xml:space="preserve">Belgrade Community Library</t>
  </si>
  <si>
    <t xml:space="preserve">Belgrade</t>
  </si>
  <si>
    <t xml:space="preserve">Gallatin</t>
  </si>
  <si>
    <t xml:space="preserve">(406) 388-4346</t>
  </si>
  <si>
    <t xml:space="preserve">MT0004</t>
  </si>
  <si>
    <t xml:space="preserve">Big Horn County Public Library</t>
  </si>
  <si>
    <t xml:space="preserve">Big Horn</t>
  </si>
  <si>
    <t xml:space="preserve">(406) 665-1808</t>
  </si>
  <si>
    <t xml:space="preserve">MT0035</t>
  </si>
  <si>
    <t xml:space="preserve">Billings Public Library</t>
  </si>
  <si>
    <t xml:space="preserve">Billings</t>
  </si>
  <si>
    <t xml:space="preserve">Yellowstone</t>
  </si>
  <si>
    <t xml:space="preserve">(406) 657-8258</t>
  </si>
  <si>
    <t xml:space="preserve">MT0006</t>
  </si>
  <si>
    <t xml:space="preserve">Bitterroot Public Library</t>
  </si>
  <si>
    <t xml:space="preserve">Ravalli</t>
  </si>
  <si>
    <t xml:space="preserve">(406) 363-1670</t>
  </si>
  <si>
    <t xml:space="preserve">MT0034</t>
  </si>
  <si>
    <t xml:space="preserve">Bozeman Public Library</t>
  </si>
  <si>
    <t xml:space="preserve">Bozeman</t>
  </si>
  <si>
    <t xml:space="preserve">(406) 582-2402</t>
  </si>
  <si>
    <t xml:space="preserve">MT0008</t>
  </si>
  <si>
    <t xml:space="preserve">Butte-Silver Bow Public Library</t>
  </si>
  <si>
    <t xml:space="preserve">Silver Bow</t>
  </si>
  <si>
    <t xml:space="preserve">(406) 723-3361</t>
  </si>
  <si>
    <t xml:space="preserve">MT0011</t>
  </si>
  <si>
    <t xml:space="preserve">Glacier County Library</t>
  </si>
  <si>
    <t xml:space="preserve">Cut Bank</t>
  </si>
  <si>
    <t xml:space="preserve">Glacier</t>
  </si>
  <si>
    <t xml:space="preserve">(406) 873-4572</t>
  </si>
  <si>
    <t xml:space="preserve">MT0019</t>
  </si>
  <si>
    <t xml:space="preserve">Great Falls Public Library</t>
  </si>
  <si>
    <t xml:space="preserve">Great Falls</t>
  </si>
  <si>
    <t xml:space="preserve">Cascade</t>
  </si>
  <si>
    <t xml:space="preserve">(406) 453-0349</t>
  </si>
  <si>
    <t xml:space="preserve">MT0033</t>
  </si>
  <si>
    <t xml:space="preserve">Havre-Hill County Library</t>
  </si>
  <si>
    <t xml:space="preserve">Havre</t>
  </si>
  <si>
    <t xml:space="preserve">Hill</t>
  </si>
  <si>
    <t xml:space="preserve">(406) 265-2123</t>
  </si>
  <si>
    <t xml:space="preserve">MT0038</t>
  </si>
  <si>
    <t xml:space="preserve">Imagineif Kalispell</t>
  </si>
  <si>
    <t xml:space="preserve">Kalispell</t>
  </si>
  <si>
    <t xml:space="preserve">Flathead</t>
  </si>
  <si>
    <t xml:space="preserve">(406) 758-5821</t>
  </si>
  <si>
    <t xml:space="preserve">MT0043</t>
  </si>
  <si>
    <t xml:space="preserve">Lewis And Clark Library</t>
  </si>
  <si>
    <t xml:space="preserve">Lewis And Clark</t>
  </si>
  <si>
    <t xml:space="preserve">(406) 447-1690</t>
  </si>
  <si>
    <t xml:space="preserve">MT0039</t>
  </si>
  <si>
    <t xml:space="preserve">Lincoln County Public Libraries</t>
  </si>
  <si>
    <t xml:space="preserve">Libby</t>
  </si>
  <si>
    <t xml:space="preserve">(406) 293-2778</t>
  </si>
  <si>
    <t xml:space="preserve">MT0046</t>
  </si>
  <si>
    <t xml:space="preserve">Livingston-Park County Public Library</t>
  </si>
  <si>
    <t xml:space="preserve">(406) 222-0862</t>
  </si>
  <si>
    <t xml:space="preserve">MT0047</t>
  </si>
  <si>
    <t xml:space="preserve">Miles City Public Library</t>
  </si>
  <si>
    <t xml:space="preserve">Miles City</t>
  </si>
  <si>
    <t xml:space="preserve">Custer</t>
  </si>
  <si>
    <t xml:space="preserve">(406) 234-1496</t>
  </si>
  <si>
    <t xml:space="preserve">MT0050</t>
  </si>
  <si>
    <t xml:space="preserve">Missoula Public Library</t>
  </si>
  <si>
    <t xml:space="preserve">Missoula</t>
  </si>
  <si>
    <t xml:space="preserve">(406) 721-2665</t>
  </si>
  <si>
    <t xml:space="preserve">MT0051</t>
  </si>
  <si>
    <t xml:space="preserve">North Lake County Public Library</t>
  </si>
  <si>
    <t xml:space="preserve">Polson</t>
  </si>
  <si>
    <t xml:space="preserve">(406) 883-8225</t>
  </si>
  <si>
    <t xml:space="preserve">MT0056</t>
  </si>
  <si>
    <t xml:space="preserve">North Valley Public Library</t>
  </si>
  <si>
    <t xml:space="preserve">(406) 777-5061</t>
  </si>
  <si>
    <t xml:space="preserve">MT0066</t>
  </si>
  <si>
    <t xml:space="preserve">Roosevelt County Library</t>
  </si>
  <si>
    <t xml:space="preserve">Wolf Point</t>
  </si>
  <si>
    <t xml:space="preserve">Roosevelt</t>
  </si>
  <si>
    <t xml:space="preserve">(406) 653-2411</t>
  </si>
  <si>
    <t xml:space="preserve">MT0082</t>
  </si>
  <si>
    <t xml:space="preserve">Sidney-Richland County Library</t>
  </si>
  <si>
    <t xml:space="preserve">Sidney</t>
  </si>
  <si>
    <t xml:space="preserve">(406) 433-1917</t>
  </si>
  <si>
    <t xml:space="preserve">MT0064</t>
  </si>
  <si>
    <t xml:space="preserve">NC</t>
  </si>
  <si>
    <t xml:space="preserve">Alamance County Public Libraries</t>
  </si>
  <si>
    <t xml:space="preserve">Alamance</t>
  </si>
  <si>
    <t xml:space="preserve">(336) 513-4753</t>
  </si>
  <si>
    <t xml:space="preserve">NC0103</t>
  </si>
  <si>
    <t xml:space="preserve">Albemarle Regional Library</t>
  </si>
  <si>
    <t xml:space="preserve">Winton</t>
  </si>
  <si>
    <t xml:space="preserve">Hertford</t>
  </si>
  <si>
    <t xml:space="preserve">(252) 358-7832</t>
  </si>
  <si>
    <t xml:space="preserve">NC0001</t>
  </si>
  <si>
    <t xml:space="preserve">Alexander County Library</t>
  </si>
  <si>
    <t xml:space="preserve">Alexander</t>
  </si>
  <si>
    <t xml:space="preserve">(828) 632-4058</t>
  </si>
  <si>
    <t xml:space="preserve">NC0016</t>
  </si>
  <si>
    <t xml:space="preserve">Appalachian Regional Library</t>
  </si>
  <si>
    <t xml:space="preserve">West Jefferson</t>
  </si>
  <si>
    <t xml:space="preserve">Ashe</t>
  </si>
  <si>
    <t xml:space="preserve">(336) 846-2041</t>
  </si>
  <si>
    <t xml:space="preserve">NC0002</t>
  </si>
  <si>
    <t xml:space="preserve">Avery-Mitchell-Yancey Regional Library</t>
  </si>
  <si>
    <t xml:space="preserve">Burnsville</t>
  </si>
  <si>
    <t xml:space="preserve">Yancey</t>
  </si>
  <si>
    <t xml:space="preserve">(828) 682-4476</t>
  </si>
  <si>
    <t xml:space="preserve">NC0003</t>
  </si>
  <si>
    <t xml:space="preserve">Beaufort-Hyde-Martin Regional Library</t>
  </si>
  <si>
    <t xml:space="preserve">Beaufort</t>
  </si>
  <si>
    <t xml:space="preserve">(252) 946-6401</t>
  </si>
  <si>
    <t xml:space="preserve">NC0004</t>
  </si>
  <si>
    <t xml:space="preserve">Bladen County Public Library</t>
  </si>
  <si>
    <t xml:space="preserve">Bladen</t>
  </si>
  <si>
    <t xml:space="preserve">(910) 862-6990</t>
  </si>
  <si>
    <t xml:space="preserve">NC0017</t>
  </si>
  <si>
    <t xml:space="preserve">Braswell Memorial Public Library</t>
  </si>
  <si>
    <t xml:space="preserve">Rocky Mount</t>
  </si>
  <si>
    <t xml:space="preserve">Nash</t>
  </si>
  <si>
    <t xml:space="preserve">(252) 442-1951</t>
  </si>
  <si>
    <t xml:space="preserve">NC0046</t>
  </si>
  <si>
    <t xml:space="preserve">Brunswick County Library</t>
  </si>
  <si>
    <t xml:space="preserve">(910) 253-2244</t>
  </si>
  <si>
    <t xml:space="preserve">NC0018</t>
  </si>
  <si>
    <t xml:space="preserve">Buncombe County Public Libraries</t>
  </si>
  <si>
    <t xml:space="preserve">Asheville</t>
  </si>
  <si>
    <t xml:space="preserve">Buncombe</t>
  </si>
  <si>
    <t xml:space="preserve">(828) 250-4714</t>
  </si>
  <si>
    <t xml:space="preserve">NC0019</t>
  </si>
  <si>
    <t xml:space="preserve">Burke County Public Library</t>
  </si>
  <si>
    <t xml:space="preserve">Morganton</t>
  </si>
  <si>
    <t xml:space="preserve">Burke</t>
  </si>
  <si>
    <t xml:space="preserve">(828) 764-9276</t>
  </si>
  <si>
    <t xml:space="preserve">NC0020</t>
  </si>
  <si>
    <t xml:space="preserve">Cabarrus County Public Library</t>
  </si>
  <si>
    <t xml:space="preserve">Cabarrus</t>
  </si>
  <si>
    <t xml:space="preserve">(704) 920-2063</t>
  </si>
  <si>
    <t xml:space="preserve">NC0021</t>
  </si>
  <si>
    <t xml:space="preserve">Caldwell County Public Library</t>
  </si>
  <si>
    <t xml:space="preserve">Lenoir</t>
  </si>
  <si>
    <t xml:space="preserve">(828) 757-1288</t>
  </si>
  <si>
    <t xml:space="preserve">NC0022</t>
  </si>
  <si>
    <t xml:space="preserve">Carteret County Public Library System</t>
  </si>
  <si>
    <t xml:space="preserve">Carteret</t>
  </si>
  <si>
    <t xml:space="preserve">(252) 648-7725</t>
  </si>
  <si>
    <t xml:space="preserve">NC0113</t>
  </si>
  <si>
    <t xml:space="preserve">Caswell County Public Library</t>
  </si>
  <si>
    <t xml:space="preserve">Yanceyville</t>
  </si>
  <si>
    <t xml:space="preserve">Caswell</t>
  </si>
  <si>
    <t xml:space="preserve">(336) 694-6241</t>
  </si>
  <si>
    <t xml:space="preserve">NC0107</t>
  </si>
  <si>
    <t xml:space="preserve">Catawba County Library</t>
  </si>
  <si>
    <t xml:space="preserve">Catawba</t>
  </si>
  <si>
    <t xml:space="preserve">(828) 465-8660</t>
  </si>
  <si>
    <t xml:space="preserve">NC0023</t>
  </si>
  <si>
    <t xml:space="preserve">Chapel Hill Public Library</t>
  </si>
  <si>
    <t xml:space="preserve">Chapel Hill</t>
  </si>
  <si>
    <t xml:space="preserve">(919) 968-2777</t>
  </si>
  <si>
    <t xml:space="preserve">NC0071</t>
  </si>
  <si>
    <t xml:space="preserve">Charlotte Mecklenburg Library</t>
  </si>
  <si>
    <t xml:space="preserve">Mecklenburg</t>
  </si>
  <si>
    <t xml:space="preserve">(704) 416-0626</t>
  </si>
  <si>
    <t xml:space="preserve">NC0045</t>
  </si>
  <si>
    <t xml:space="preserve">Chatham County Public Libraries</t>
  </si>
  <si>
    <t xml:space="preserve">Pittsboro</t>
  </si>
  <si>
    <t xml:space="preserve">(919) 545-8081</t>
  </si>
  <si>
    <t xml:space="preserve">NC0104</t>
  </si>
  <si>
    <t xml:space="preserve">Cleveland County Memorial Library</t>
  </si>
  <si>
    <t xml:space="preserve">(704) 487-9069</t>
  </si>
  <si>
    <t xml:space="preserve">NC0024</t>
  </si>
  <si>
    <t xml:space="preserve">Columbus County Public Library</t>
  </si>
  <si>
    <t xml:space="preserve">Whiteville</t>
  </si>
  <si>
    <t xml:space="preserve">(910) 642-3116</t>
  </si>
  <si>
    <t xml:space="preserve">NC0025</t>
  </si>
  <si>
    <t xml:space="preserve">Craven-Pamlico Regional Library</t>
  </si>
  <si>
    <t xml:space="preserve">New Bern</t>
  </si>
  <si>
    <t xml:space="preserve">Craven</t>
  </si>
  <si>
    <t xml:space="preserve">(252) 638-7812</t>
  </si>
  <si>
    <t xml:space="preserve">NC0006</t>
  </si>
  <si>
    <t xml:space="preserve">Cumberland County Public Library</t>
  </si>
  <si>
    <t xml:space="preserve">(910) 483-7727</t>
  </si>
  <si>
    <t xml:space="preserve">NC0026</t>
  </si>
  <si>
    <t xml:space="preserve">Davidson County Public Library System</t>
  </si>
  <si>
    <t xml:space="preserve">Davidson</t>
  </si>
  <si>
    <t xml:space="preserve">(336) 242-2064</t>
  </si>
  <si>
    <t xml:space="preserve">NC0027</t>
  </si>
  <si>
    <t xml:space="preserve">Davie County Public Library</t>
  </si>
  <si>
    <t xml:space="preserve">Mocksville</t>
  </si>
  <si>
    <t xml:space="preserve">Davie</t>
  </si>
  <si>
    <t xml:space="preserve">(336) 753-6034</t>
  </si>
  <si>
    <t xml:space="preserve">NC0028</t>
  </si>
  <si>
    <t xml:space="preserve">Duplin County Library</t>
  </si>
  <si>
    <t xml:space="preserve">Kenansville</t>
  </si>
  <si>
    <t xml:space="preserve">Duplin</t>
  </si>
  <si>
    <t xml:space="preserve">(910) 296-2117</t>
  </si>
  <si>
    <t xml:space="preserve">NC0029</t>
  </si>
  <si>
    <t xml:space="preserve">Durham County Library</t>
  </si>
  <si>
    <t xml:space="preserve">Durham</t>
  </si>
  <si>
    <t xml:space="preserve">(919) 560-0164</t>
  </si>
  <si>
    <t xml:space="preserve">NC0030</t>
  </si>
  <si>
    <t xml:space="preserve">East Albemarle Regional Library</t>
  </si>
  <si>
    <t xml:space="preserve">Elizabeth City</t>
  </si>
  <si>
    <t xml:space="preserve">Pasquotank</t>
  </si>
  <si>
    <t xml:space="preserve">(252) 473-2372</t>
  </si>
  <si>
    <t xml:space="preserve">NC0007</t>
  </si>
  <si>
    <t xml:space="preserve">Edgecombe County Memorial Library</t>
  </si>
  <si>
    <t xml:space="preserve">Tarboro</t>
  </si>
  <si>
    <t xml:space="preserve">Edgecombe</t>
  </si>
  <si>
    <t xml:space="preserve">(252) 823-1141</t>
  </si>
  <si>
    <t xml:space="preserve">NC0031</t>
  </si>
  <si>
    <t xml:space="preserve">Fontana Regional Library</t>
  </si>
  <si>
    <t xml:space="preserve">Bryson City</t>
  </si>
  <si>
    <t xml:space="preserve">Swain</t>
  </si>
  <si>
    <t xml:space="preserve">(828) 488-2382</t>
  </si>
  <si>
    <t xml:space="preserve">NC0008</t>
  </si>
  <si>
    <t xml:space="preserve">Winston-Salem</t>
  </si>
  <si>
    <t xml:space="preserve">(336) 703-3016</t>
  </si>
  <si>
    <t xml:space="preserve">NC0032</t>
  </si>
  <si>
    <t xml:space="preserve">Franklin County Library</t>
  </si>
  <si>
    <t xml:space="preserve">Louisburg</t>
  </si>
  <si>
    <t xml:space="preserve">(919) 496-2111</t>
  </si>
  <si>
    <t xml:space="preserve">NC0033</t>
  </si>
  <si>
    <t xml:space="preserve">Gaston County Public Library</t>
  </si>
  <si>
    <t xml:space="preserve">Gastonia</t>
  </si>
  <si>
    <t xml:space="preserve">Gaston</t>
  </si>
  <si>
    <t xml:space="preserve">(704) 868-2164</t>
  </si>
  <si>
    <t xml:space="preserve">NC0105</t>
  </si>
  <si>
    <t xml:space="preserve">Givens Memorial Library &amp; Tufts Archive</t>
  </si>
  <si>
    <t xml:space="preserve">Pinehurst</t>
  </si>
  <si>
    <t xml:space="preserve">Moore</t>
  </si>
  <si>
    <t xml:space="preserve">(910) 420-1644</t>
  </si>
  <si>
    <t xml:space="preserve">NC0112</t>
  </si>
  <si>
    <t xml:space="preserve">Granville County Library System</t>
  </si>
  <si>
    <t xml:space="preserve">Granville</t>
  </si>
  <si>
    <t xml:space="preserve">(919) 693-1121</t>
  </si>
  <si>
    <t xml:space="preserve">NC0034</t>
  </si>
  <si>
    <t xml:space="preserve">Greensboro Public Library</t>
  </si>
  <si>
    <t xml:space="preserve">Greensboro</t>
  </si>
  <si>
    <t xml:space="preserve">(336) 373-2716</t>
  </si>
  <si>
    <t xml:space="preserve">NC0035</t>
  </si>
  <si>
    <t xml:space="preserve">H. Leslie Perry Memorial Library</t>
  </si>
  <si>
    <t xml:space="preserve">Vance</t>
  </si>
  <si>
    <t xml:space="preserve">(252) 438-3316</t>
  </si>
  <si>
    <t xml:space="preserve">NC0062</t>
  </si>
  <si>
    <t xml:space="preserve">Halifax County Library System</t>
  </si>
  <si>
    <t xml:space="preserve">Halifax</t>
  </si>
  <si>
    <t xml:space="preserve">(252) 583-3631</t>
  </si>
  <si>
    <t xml:space="preserve">NC0036</t>
  </si>
  <si>
    <t xml:space="preserve">Harnett County Public Library</t>
  </si>
  <si>
    <t xml:space="preserve">Lillington</t>
  </si>
  <si>
    <t xml:space="preserve">Harnett</t>
  </si>
  <si>
    <t xml:space="preserve">(910) 893-3446</t>
  </si>
  <si>
    <t xml:space="preserve">NC0037</t>
  </si>
  <si>
    <t xml:space="preserve">Haywood County Public Library</t>
  </si>
  <si>
    <t xml:space="preserve">Haywood</t>
  </si>
  <si>
    <t xml:space="preserve">(828) 356-2504</t>
  </si>
  <si>
    <t xml:space="preserve">NC0038</t>
  </si>
  <si>
    <t xml:space="preserve">Hendersonville</t>
  </si>
  <si>
    <t xml:space="preserve">(828) 697-4725</t>
  </si>
  <si>
    <t xml:space="preserve">NC0039</t>
  </si>
  <si>
    <t xml:space="preserve">Hickory Public Library</t>
  </si>
  <si>
    <t xml:space="preserve">Hickory</t>
  </si>
  <si>
    <t xml:space="preserve">(828) 261-2275</t>
  </si>
  <si>
    <t xml:space="preserve">NC0079</t>
  </si>
  <si>
    <t xml:space="preserve">High Point Public Library</t>
  </si>
  <si>
    <t xml:space="preserve">High Point</t>
  </si>
  <si>
    <t xml:space="preserve">(336) 883-3694</t>
  </si>
  <si>
    <t xml:space="preserve">NC0080</t>
  </si>
  <si>
    <t xml:space="preserve">Hocutt Ellington Memorial Library</t>
  </si>
  <si>
    <t xml:space="preserve">(919) 553-5542</t>
  </si>
  <si>
    <t xml:space="preserve">NC0110</t>
  </si>
  <si>
    <t xml:space="preserve">Iredell County Library</t>
  </si>
  <si>
    <t xml:space="preserve">Statesville</t>
  </si>
  <si>
    <t xml:space="preserve">Iredell</t>
  </si>
  <si>
    <t xml:space="preserve">(704) 878-3092</t>
  </si>
  <si>
    <t xml:space="preserve">NC0040</t>
  </si>
  <si>
    <t xml:space="preserve">Jacob Mauney Memorial Library</t>
  </si>
  <si>
    <t xml:space="preserve">Kings Mountain</t>
  </si>
  <si>
    <t xml:space="preserve">(704) 739-2371</t>
  </si>
  <si>
    <t xml:space="preserve">NC0100</t>
  </si>
  <si>
    <t xml:space="preserve">Lee County Library</t>
  </si>
  <si>
    <t xml:space="preserve">(919) 718-4665</t>
  </si>
  <si>
    <t xml:space="preserve">NC0042</t>
  </si>
  <si>
    <t xml:space="preserve">Lincolnton</t>
  </si>
  <si>
    <t xml:space="preserve">(704) 735-8044</t>
  </si>
  <si>
    <t xml:space="preserve">NC0106</t>
  </si>
  <si>
    <t xml:space="preserve">(828) 649-3741</t>
  </si>
  <si>
    <t xml:space="preserve">NC0043</t>
  </si>
  <si>
    <t xml:space="preserve">Mcdowell County Public Library</t>
  </si>
  <si>
    <t xml:space="preserve">Mcdowell</t>
  </si>
  <si>
    <t xml:space="preserve">(828) 652-3858</t>
  </si>
  <si>
    <t xml:space="preserve">NC0044</t>
  </si>
  <si>
    <t xml:space="preserve">(704) 660-3272</t>
  </si>
  <si>
    <t xml:space="preserve">NC0083</t>
  </si>
  <si>
    <t xml:space="preserve">Nantahala Regional Library</t>
  </si>
  <si>
    <t xml:space="preserve">Murphy</t>
  </si>
  <si>
    <t xml:space="preserve">(828) 837-2025</t>
  </si>
  <si>
    <t xml:space="preserve">NC0011</t>
  </si>
  <si>
    <t xml:space="preserve">Neuse Regional Library</t>
  </si>
  <si>
    <t xml:space="preserve">Kinston</t>
  </si>
  <si>
    <t xml:space="preserve">(252) 527-7066</t>
  </si>
  <si>
    <t xml:space="preserve">NC0012</t>
  </si>
  <si>
    <t xml:space="preserve">New Hanover County Public Library</t>
  </si>
  <si>
    <t xml:space="preserve">New Hanover</t>
  </si>
  <si>
    <t xml:space="preserve">(910) 798-6322</t>
  </si>
  <si>
    <t xml:space="preserve">NC0047</t>
  </si>
  <si>
    <t xml:space="preserve">Northwestern Regional Library</t>
  </si>
  <si>
    <t xml:space="preserve">Elkin</t>
  </si>
  <si>
    <t xml:space="preserve">Surry</t>
  </si>
  <si>
    <t xml:space="preserve">(336) 835-4894</t>
  </si>
  <si>
    <t xml:space="preserve">NC0013</t>
  </si>
  <si>
    <t xml:space="preserve">Onslow County Public Library</t>
  </si>
  <si>
    <t xml:space="preserve">Onslow</t>
  </si>
  <si>
    <t xml:space="preserve">(910) 455-7350</t>
  </si>
  <si>
    <t xml:space="preserve">NC0048</t>
  </si>
  <si>
    <t xml:space="preserve">Orange County Public Library</t>
  </si>
  <si>
    <t xml:space="preserve">(919) 245-2529</t>
  </si>
  <si>
    <t xml:space="preserve">NC0108</t>
  </si>
  <si>
    <t xml:space="preserve">Pender County Public Library</t>
  </si>
  <si>
    <t xml:space="preserve">Burgaw</t>
  </si>
  <si>
    <t xml:space="preserve">Pender</t>
  </si>
  <si>
    <t xml:space="preserve">(910) 259-0306</t>
  </si>
  <si>
    <t xml:space="preserve">NC0049</t>
  </si>
  <si>
    <t xml:space="preserve">Person County Public Library</t>
  </si>
  <si>
    <t xml:space="preserve">Roxboro</t>
  </si>
  <si>
    <t xml:space="preserve">Person</t>
  </si>
  <si>
    <t xml:space="preserve">(336) 597-7881</t>
  </si>
  <si>
    <t xml:space="preserve">NC0109</t>
  </si>
  <si>
    <t xml:space="preserve">Pettigrew Regional Library</t>
  </si>
  <si>
    <t xml:space="preserve">(252) 793-2875</t>
  </si>
  <si>
    <t xml:space="preserve">NC0014</t>
  </si>
  <si>
    <t xml:space="preserve">Polk County Public Libraries</t>
  </si>
  <si>
    <t xml:space="preserve">(828) 894-8721</t>
  </si>
  <si>
    <t xml:space="preserve">NC0051</t>
  </si>
  <si>
    <t xml:space="preserve">Public Library Of Johnston County &amp; Smithfield</t>
  </si>
  <si>
    <t xml:space="preserve">Smithfield</t>
  </si>
  <si>
    <t xml:space="preserve">(919) 934-8146</t>
  </si>
  <si>
    <t xml:space="preserve">NC0041</t>
  </si>
  <si>
    <t xml:space="preserve">Randolph Public Library</t>
  </si>
  <si>
    <t xml:space="preserve">Asheboro</t>
  </si>
  <si>
    <t xml:space="preserve">(336) 318-6806</t>
  </si>
  <si>
    <t xml:space="preserve">NC0052</t>
  </si>
  <si>
    <t xml:space="preserve">Roanoke Rapids Public Library</t>
  </si>
  <si>
    <t xml:space="preserve">Roanoke Rapids</t>
  </si>
  <si>
    <t xml:space="preserve">(252) 533-2890</t>
  </si>
  <si>
    <t xml:space="preserve">NC0088</t>
  </si>
  <si>
    <t xml:space="preserve">Robeson County Public Library</t>
  </si>
  <si>
    <t xml:space="preserve">Lumberton</t>
  </si>
  <si>
    <t xml:space="preserve">Robeson</t>
  </si>
  <si>
    <t xml:space="preserve">(910) 738-4859</t>
  </si>
  <si>
    <t xml:space="preserve">NC0053</t>
  </si>
  <si>
    <t xml:space="preserve">Rockingham County Public Library</t>
  </si>
  <si>
    <t xml:space="preserve">Eden</t>
  </si>
  <si>
    <t xml:space="preserve">Rockingham</t>
  </si>
  <si>
    <t xml:space="preserve">(336) 627-1106</t>
  </si>
  <si>
    <t xml:space="preserve">NC0054</t>
  </si>
  <si>
    <t xml:space="preserve">Rowan Public Library</t>
  </si>
  <si>
    <t xml:space="preserve">(704) 216-8233</t>
  </si>
  <si>
    <t xml:space="preserve">NC0055</t>
  </si>
  <si>
    <t xml:space="preserve">Rutherford County Library</t>
  </si>
  <si>
    <t xml:space="preserve">Spindale</t>
  </si>
  <si>
    <t xml:space="preserve">Rutherford</t>
  </si>
  <si>
    <t xml:space="preserve">(828) 287-6117</t>
  </si>
  <si>
    <t xml:space="preserve">NC0056</t>
  </si>
  <si>
    <t xml:space="preserve">Sampson-Clinton Public Library</t>
  </si>
  <si>
    <t xml:space="preserve">Sampson</t>
  </si>
  <si>
    <t xml:space="preserve">(910) 592-4153</t>
  </si>
  <si>
    <t xml:space="preserve">NC0057</t>
  </si>
  <si>
    <t xml:space="preserve">Sandhill Regional Library System</t>
  </si>
  <si>
    <t xml:space="preserve">(910) 997-3388</t>
  </si>
  <si>
    <t xml:space="preserve">NC0015</t>
  </si>
  <si>
    <t xml:space="preserve">Scotland County Memorial Library</t>
  </si>
  <si>
    <t xml:space="preserve">Laurinburg</t>
  </si>
  <si>
    <t xml:space="preserve">Scotland</t>
  </si>
  <si>
    <t xml:space="preserve">(910) 276-0577</t>
  </si>
  <si>
    <t xml:space="preserve">NC0058</t>
  </si>
  <si>
    <t xml:space="preserve">Sheppard Memorial Library</t>
  </si>
  <si>
    <t xml:space="preserve">Pitt</t>
  </si>
  <si>
    <t xml:space="preserve">(252) 329-4585</t>
  </si>
  <si>
    <t xml:space="preserve">NC0050</t>
  </si>
  <si>
    <t xml:space="preserve">Southern Pines Public Library</t>
  </si>
  <si>
    <t xml:space="preserve">Southern Pines</t>
  </si>
  <si>
    <t xml:space="preserve">(910) 692-8235</t>
  </si>
  <si>
    <t xml:space="preserve">NC0093</t>
  </si>
  <si>
    <t xml:space="preserve">Stanly County Public Library</t>
  </si>
  <si>
    <t xml:space="preserve">Albemarle</t>
  </si>
  <si>
    <t xml:space="preserve">Stanly</t>
  </si>
  <si>
    <t xml:space="preserve">(704) 986-3766</t>
  </si>
  <si>
    <t xml:space="preserve">NC0059</t>
  </si>
  <si>
    <t xml:space="preserve">Transylvania County Library</t>
  </si>
  <si>
    <t xml:space="preserve">Transylvania</t>
  </si>
  <si>
    <t xml:space="preserve">(828) 884-1818</t>
  </si>
  <si>
    <t xml:space="preserve">NC0060</t>
  </si>
  <si>
    <t xml:space="preserve">Union County Public Library</t>
  </si>
  <si>
    <t xml:space="preserve">(704) 283-3561</t>
  </si>
  <si>
    <t xml:space="preserve">NC0061</t>
  </si>
  <si>
    <t xml:space="preserve">Wake County Public Libraries</t>
  </si>
  <si>
    <t xml:space="preserve">Raleigh</t>
  </si>
  <si>
    <t xml:space="preserve">Wake</t>
  </si>
  <si>
    <t xml:space="preserve">(919) 250-4532</t>
  </si>
  <si>
    <t xml:space="preserve">NC0063</t>
  </si>
  <si>
    <t xml:space="preserve">Warren County Memorial Library</t>
  </si>
  <si>
    <t xml:space="preserve">Warrenton</t>
  </si>
  <si>
    <t xml:space="preserve">(252) 257-4990</t>
  </si>
  <si>
    <t xml:space="preserve">NC0101</t>
  </si>
  <si>
    <t xml:space="preserve">Goldsboro</t>
  </si>
  <si>
    <t xml:space="preserve">(919) 735-1880</t>
  </si>
  <si>
    <t xml:space="preserve">NC0065</t>
  </si>
  <si>
    <t xml:space="preserve">Wilson County Public Library</t>
  </si>
  <si>
    <t xml:space="preserve">Wilson</t>
  </si>
  <si>
    <t xml:space="preserve">(252) 237-5355</t>
  </si>
  <si>
    <t xml:space="preserve">NC0066</t>
  </si>
  <si>
    <t xml:space="preserve">ND</t>
  </si>
  <si>
    <t xml:space="preserve">Bismarck Veterans Memorial Public Library</t>
  </si>
  <si>
    <t xml:space="preserve">Bismarck</t>
  </si>
  <si>
    <t xml:space="preserve">Burleigh</t>
  </si>
  <si>
    <t xml:space="preserve">(701) 355-1480</t>
  </si>
  <si>
    <t xml:space="preserve">ND0007</t>
  </si>
  <si>
    <t xml:space="preserve">Carnegie Regional Library</t>
  </si>
  <si>
    <t xml:space="preserve">Walsh</t>
  </si>
  <si>
    <t xml:space="preserve">(701) 352-2754</t>
  </si>
  <si>
    <t xml:space="preserve">ND0012</t>
  </si>
  <si>
    <t xml:space="preserve">Dickinson Area Public Library</t>
  </si>
  <si>
    <t xml:space="preserve">Stark</t>
  </si>
  <si>
    <t xml:space="preserve">(701) 456-7700</t>
  </si>
  <si>
    <t xml:space="preserve">ND0018</t>
  </si>
  <si>
    <t xml:space="preserve">Fargo Public Library</t>
  </si>
  <si>
    <t xml:space="preserve">Fargo</t>
  </si>
  <si>
    <t xml:space="preserve">(701) 241-1472</t>
  </si>
  <si>
    <t xml:space="preserve">ND0026</t>
  </si>
  <si>
    <t xml:space="preserve">Grand Forks Public Library</t>
  </si>
  <si>
    <t xml:space="preserve">Grand Forks</t>
  </si>
  <si>
    <t xml:space="preserve">(701) 772-8116</t>
  </si>
  <si>
    <t xml:space="preserve">ND0035</t>
  </si>
  <si>
    <t xml:space="preserve">James River Valley Library System</t>
  </si>
  <si>
    <t xml:space="preserve">Stutsman</t>
  </si>
  <si>
    <t xml:space="preserve">(701) 252-2990</t>
  </si>
  <si>
    <t xml:space="preserve">ND0002</t>
  </si>
  <si>
    <t xml:space="preserve">Lake Region Public Library</t>
  </si>
  <si>
    <t xml:space="preserve">Devils Lake</t>
  </si>
  <si>
    <t xml:space="preserve">(701) 662-2220</t>
  </si>
  <si>
    <t xml:space="preserve">ND0011</t>
  </si>
  <si>
    <t xml:space="preserve">Mckenzie County Public Library</t>
  </si>
  <si>
    <t xml:space="preserve">Watford City</t>
  </si>
  <si>
    <t xml:space="preserve">Mckenzie</t>
  </si>
  <si>
    <t xml:space="preserve">(701) 444-3785</t>
  </si>
  <si>
    <t xml:space="preserve">ND0058</t>
  </si>
  <si>
    <t xml:space="preserve">Minot Public Library</t>
  </si>
  <si>
    <t xml:space="preserve">Minot</t>
  </si>
  <si>
    <t xml:space="preserve">Ward</t>
  </si>
  <si>
    <t xml:space="preserve">(701) 852-1045</t>
  </si>
  <si>
    <t xml:space="preserve">ND0062</t>
  </si>
  <si>
    <t xml:space="preserve">Morton Mandan Public Library</t>
  </si>
  <si>
    <t xml:space="preserve">Mandan</t>
  </si>
  <si>
    <t xml:space="preserve">(701) 667-5365</t>
  </si>
  <si>
    <t xml:space="preserve">ND0064</t>
  </si>
  <si>
    <t xml:space="preserve">Valley City Barnes County Public Library</t>
  </si>
  <si>
    <t xml:space="preserve">Valley City</t>
  </si>
  <si>
    <t xml:space="preserve">Barnes</t>
  </si>
  <si>
    <t xml:space="preserve">(701) 845-3821</t>
  </si>
  <si>
    <t xml:space="preserve">ND0084</t>
  </si>
  <si>
    <t xml:space="preserve">Ward County Public Library</t>
  </si>
  <si>
    <t xml:space="preserve">(701) 852-5388</t>
  </si>
  <si>
    <t xml:space="preserve">ND0087</t>
  </si>
  <si>
    <t xml:space="preserve">West Fargo Public Library</t>
  </si>
  <si>
    <t xml:space="preserve">West Fargo</t>
  </si>
  <si>
    <t xml:space="preserve">(701) 551-8940</t>
  </si>
  <si>
    <t xml:space="preserve">ND0091</t>
  </si>
  <si>
    <t xml:space="preserve">Williston Community Library</t>
  </si>
  <si>
    <t xml:space="preserve">Williston</t>
  </si>
  <si>
    <t xml:space="preserve">Williams</t>
  </si>
  <si>
    <t xml:space="preserve">(701) 774-8805</t>
  </si>
  <si>
    <t xml:space="preserve">ND0092</t>
  </si>
  <si>
    <t xml:space="preserve">NE</t>
  </si>
  <si>
    <t xml:space="preserve">Beatrice Public Library</t>
  </si>
  <si>
    <t xml:space="preserve">Beatrice</t>
  </si>
  <si>
    <t xml:space="preserve">Gage</t>
  </si>
  <si>
    <t xml:space="preserve">(402) 223-3584</t>
  </si>
  <si>
    <t xml:space="preserve">NE0024</t>
  </si>
  <si>
    <t xml:space="preserve">Bellevue Public Library</t>
  </si>
  <si>
    <t xml:space="preserve">Bellevue</t>
  </si>
  <si>
    <t xml:space="preserve">Sarpy</t>
  </si>
  <si>
    <t xml:space="preserve">(402) 293-3157</t>
  </si>
  <si>
    <t xml:space="preserve">NE0028</t>
  </si>
  <si>
    <t xml:space="preserve">Columbus Public Library</t>
  </si>
  <si>
    <t xml:space="preserve">Platte</t>
  </si>
  <si>
    <t xml:space="preserve">(402) 564-7116</t>
  </si>
  <si>
    <t xml:space="preserve">NE0057</t>
  </si>
  <si>
    <t xml:space="preserve">Grand Island Public Library</t>
  </si>
  <si>
    <t xml:space="preserve">Grand Island</t>
  </si>
  <si>
    <t xml:space="preserve">(308) 385-5333</t>
  </si>
  <si>
    <t xml:space="preserve">NE0099</t>
  </si>
  <si>
    <t xml:space="preserve">(402) 461-2346</t>
  </si>
  <si>
    <t xml:space="preserve">NE0108</t>
  </si>
  <si>
    <t xml:space="preserve">Kearney Public Library</t>
  </si>
  <si>
    <t xml:space="preserve">Kearney</t>
  </si>
  <si>
    <t xml:space="preserve">(308) 233-3282</t>
  </si>
  <si>
    <t xml:space="preserve">NE0121</t>
  </si>
  <si>
    <t xml:space="preserve">Keene Memorial Library</t>
  </si>
  <si>
    <t xml:space="preserve">(402) 727-2694</t>
  </si>
  <si>
    <t xml:space="preserve">NE0090</t>
  </si>
  <si>
    <t xml:space="preserve">La Vista Public Library</t>
  </si>
  <si>
    <t xml:space="preserve">La Vista</t>
  </si>
  <si>
    <t xml:space="preserve">(402) 537-3900</t>
  </si>
  <si>
    <t xml:space="preserve">NE9008</t>
  </si>
  <si>
    <t xml:space="preserve">(308) 324-2151</t>
  </si>
  <si>
    <t xml:space="preserve">NE0125</t>
  </si>
  <si>
    <t xml:space="preserve">Lied Scottsbluff Public Library</t>
  </si>
  <si>
    <t xml:space="preserve">Scottsbluff</t>
  </si>
  <si>
    <t xml:space="preserve">Scotts Bluff</t>
  </si>
  <si>
    <t xml:space="preserve">(308) 630-6250</t>
  </si>
  <si>
    <t xml:space="preserve">NE0199</t>
  </si>
  <si>
    <t xml:space="preserve">Lincoln City Libraries</t>
  </si>
  <si>
    <t xml:space="preserve">(402) 441-8500</t>
  </si>
  <si>
    <t xml:space="preserve">NE0126</t>
  </si>
  <si>
    <t xml:space="preserve">(402) 844-2100</t>
  </si>
  <si>
    <t xml:space="preserve">NE0155</t>
  </si>
  <si>
    <t xml:space="preserve">North Platte Public Library</t>
  </si>
  <si>
    <t xml:space="preserve">North Platte</t>
  </si>
  <si>
    <t xml:space="preserve">(308) 535-8036</t>
  </si>
  <si>
    <t xml:space="preserve">NE0158</t>
  </si>
  <si>
    <t xml:space="preserve">Omaha Public Library</t>
  </si>
  <si>
    <t xml:space="preserve">Omaha</t>
  </si>
  <si>
    <t xml:space="preserve">(402) 444-4800</t>
  </si>
  <si>
    <t xml:space="preserve">NE0162</t>
  </si>
  <si>
    <t xml:space="preserve">Papillion Public Library</t>
  </si>
  <si>
    <t xml:space="preserve">Papillion</t>
  </si>
  <si>
    <t xml:space="preserve">(402) 597-2040</t>
  </si>
  <si>
    <t xml:space="preserve">NE0276</t>
  </si>
  <si>
    <t xml:space="preserve">South Sioux City Public Library</t>
  </si>
  <si>
    <t xml:space="preserve">South Sioux City</t>
  </si>
  <si>
    <t xml:space="preserve">(402) 494-7545</t>
  </si>
  <si>
    <t xml:space="preserve">NE0208</t>
  </si>
  <si>
    <t xml:space="preserve">NH</t>
  </si>
  <si>
    <t xml:space="preserve">Amherst Town Library</t>
  </si>
  <si>
    <t xml:space="preserve">(603) 673-2288</t>
  </si>
  <si>
    <t xml:space="preserve">NH0184</t>
  </si>
  <si>
    <t xml:space="preserve">(603) 472-2300</t>
  </si>
  <si>
    <t xml:space="preserve">NH0078</t>
  </si>
  <si>
    <t xml:space="preserve">Concord Public Library</t>
  </si>
  <si>
    <t xml:space="preserve">Merrimack</t>
  </si>
  <si>
    <t xml:space="preserve">(603) 225-8670</t>
  </si>
  <si>
    <t xml:space="preserve">NH0167</t>
  </si>
  <si>
    <t xml:space="preserve">Derry Public Library</t>
  </si>
  <si>
    <t xml:space="preserve">Derry</t>
  </si>
  <si>
    <t xml:space="preserve">(603) 432-6140</t>
  </si>
  <si>
    <t xml:space="preserve">NH0176</t>
  </si>
  <si>
    <t xml:space="preserve">Strafford</t>
  </si>
  <si>
    <t xml:space="preserve">(603) 516-6050</t>
  </si>
  <si>
    <t xml:space="preserve">NH0179</t>
  </si>
  <si>
    <t xml:space="preserve">Dudley-Tucker Library</t>
  </si>
  <si>
    <t xml:space="preserve">Raymond</t>
  </si>
  <si>
    <t xml:space="preserve">(603) 895-7056</t>
  </si>
  <si>
    <t xml:space="preserve">NH0085</t>
  </si>
  <si>
    <t xml:space="preserve">Durham Public Library</t>
  </si>
  <si>
    <t xml:space="preserve">(603) 868-6699</t>
  </si>
  <si>
    <t xml:space="preserve">NH0182</t>
  </si>
  <si>
    <t xml:space="preserve">East Rochester Public Library</t>
  </si>
  <si>
    <t xml:space="preserve">East Rochester</t>
  </si>
  <si>
    <t xml:space="preserve">(603) 332-8013</t>
  </si>
  <si>
    <t xml:space="preserve">NH0090</t>
  </si>
  <si>
    <t xml:space="preserve">Exeter Public Library</t>
  </si>
  <si>
    <t xml:space="preserve">Exeter</t>
  </si>
  <si>
    <t xml:space="preserve">(603) 772-3101</t>
  </si>
  <si>
    <t xml:space="preserve">NH0191</t>
  </si>
  <si>
    <t xml:space="preserve">Fiske Free Library</t>
  </si>
  <si>
    <t xml:space="preserve">Claremont</t>
  </si>
  <si>
    <t xml:space="preserve">(603) 542-7017</t>
  </si>
  <si>
    <t xml:space="preserve">NH0164</t>
  </si>
  <si>
    <t xml:space="preserve">George H. And Ella M. Rodgers Memorial Library</t>
  </si>
  <si>
    <t xml:space="preserve">(603) 886-6030</t>
  </si>
  <si>
    <t xml:space="preserve">NH0011</t>
  </si>
  <si>
    <t xml:space="preserve">Goffstown Public Library</t>
  </si>
  <si>
    <t xml:space="preserve">Goffstown</t>
  </si>
  <si>
    <t xml:space="preserve">(603) 497-2102</t>
  </si>
  <si>
    <t xml:space="preserve">NH0204</t>
  </si>
  <si>
    <t xml:space="preserve">Hanover Town Library</t>
  </si>
  <si>
    <t xml:space="preserve">Etna</t>
  </si>
  <si>
    <t xml:space="preserve">(603) 643-3116</t>
  </si>
  <si>
    <t xml:space="preserve">NH0243</t>
  </si>
  <si>
    <t xml:space="preserve">Hooksett Public Library</t>
  </si>
  <si>
    <t xml:space="preserve">Hooksett</t>
  </si>
  <si>
    <t xml:space="preserve">(603) 485-6092</t>
  </si>
  <si>
    <t xml:space="preserve">NH0009</t>
  </si>
  <si>
    <t xml:space="preserve">Howe Library</t>
  </si>
  <si>
    <t xml:space="preserve">(603) 643-4120</t>
  </si>
  <si>
    <t xml:space="preserve">NH0218</t>
  </si>
  <si>
    <t xml:space="preserve">Keene Public Library</t>
  </si>
  <si>
    <t xml:space="preserve">Keene</t>
  </si>
  <si>
    <t xml:space="preserve">(603) 352-0157</t>
  </si>
  <si>
    <t xml:space="preserve">NH0016</t>
  </si>
  <si>
    <t xml:space="preserve">Kelley Library</t>
  </si>
  <si>
    <t xml:space="preserve">(603) 898-7064</t>
  </si>
  <si>
    <t xml:space="preserve">NH0093</t>
  </si>
  <si>
    <t xml:space="preserve">Laconia Public Library</t>
  </si>
  <si>
    <t xml:space="preserve">Laconia</t>
  </si>
  <si>
    <t xml:space="preserve">Belknap</t>
  </si>
  <si>
    <t xml:space="preserve">(603) 524-4775</t>
  </si>
  <si>
    <t xml:space="preserve">NH0019</t>
  </si>
  <si>
    <t xml:space="preserve">Lane Memorial Library</t>
  </si>
  <si>
    <t xml:space="preserve">Hampton</t>
  </si>
  <si>
    <t xml:space="preserve">(603) 926-3368</t>
  </si>
  <si>
    <t xml:space="preserve">NH0214</t>
  </si>
  <si>
    <t xml:space="preserve">Leach Library</t>
  </si>
  <si>
    <t xml:space="preserve">Londonderry</t>
  </si>
  <si>
    <t xml:space="preserve">(603) 432-1132</t>
  </si>
  <si>
    <t xml:space="preserve">NH0029</t>
  </si>
  <si>
    <t xml:space="preserve">(603) 448-2459</t>
  </si>
  <si>
    <t xml:space="preserve">NH0021</t>
  </si>
  <si>
    <t xml:space="preserve">Manchester City Library</t>
  </si>
  <si>
    <t xml:space="preserve">(603) 624-6550</t>
  </si>
  <si>
    <t xml:space="preserve">NH0035</t>
  </si>
  <si>
    <t xml:space="preserve">Merrimack Public Library</t>
  </si>
  <si>
    <t xml:space="preserve">(603) 424-5021</t>
  </si>
  <si>
    <t xml:space="preserve">NH0040</t>
  </si>
  <si>
    <t xml:space="preserve">Nashua Public Library</t>
  </si>
  <si>
    <t xml:space="preserve">Nashua</t>
  </si>
  <si>
    <t xml:space="preserve">(603) 589-4600</t>
  </si>
  <si>
    <t xml:space="preserve">NH0049</t>
  </si>
  <si>
    <t xml:space="preserve">Nesmith Library</t>
  </si>
  <si>
    <t xml:space="preserve">(603) 432-7154</t>
  </si>
  <si>
    <t xml:space="preserve">NH0147</t>
  </si>
  <si>
    <t xml:space="preserve">(603) 635-7581</t>
  </si>
  <si>
    <t xml:space="preserve">NH0073</t>
  </si>
  <si>
    <t xml:space="preserve">Portsmouth Public Library</t>
  </si>
  <si>
    <t xml:space="preserve">Portsmouth</t>
  </si>
  <si>
    <t xml:space="preserve">(603) 427-1540</t>
  </si>
  <si>
    <t xml:space="preserve">NH0084</t>
  </si>
  <si>
    <t xml:space="preserve">(603) 332-1428</t>
  </si>
  <si>
    <t xml:space="preserve">NH0089</t>
  </si>
  <si>
    <t xml:space="preserve">Somersworth Public Library</t>
  </si>
  <si>
    <t xml:space="preserve">Somersworth</t>
  </si>
  <si>
    <t xml:space="preserve">(603) 692-4587</t>
  </si>
  <si>
    <t xml:space="preserve">NH0101</t>
  </si>
  <si>
    <t xml:space="preserve">Taylor Library</t>
  </si>
  <si>
    <t xml:space="preserve">East Derry</t>
  </si>
  <si>
    <t xml:space="preserve">(603) 432-7186</t>
  </si>
  <si>
    <t xml:space="preserve">NH0177</t>
  </si>
  <si>
    <t xml:space="preserve">William Y. Wadleigh Memorial Library</t>
  </si>
  <si>
    <t xml:space="preserve">(603) 249-0645</t>
  </si>
  <si>
    <t xml:space="preserve">NH0042</t>
  </si>
  <si>
    <t xml:space="preserve">NJ</t>
  </si>
  <si>
    <t xml:space="preserve">Alfred H. Baumann Library/West Paterso</t>
  </si>
  <si>
    <t xml:space="preserve">Passaic</t>
  </si>
  <si>
    <t xml:space="preserve">(973) 345-8120</t>
  </si>
  <si>
    <t xml:space="preserve">NJ0269</t>
  </si>
  <si>
    <t xml:space="preserve">Asbury Park Free Public Library</t>
  </si>
  <si>
    <t xml:space="preserve">Asbury Park</t>
  </si>
  <si>
    <t xml:space="preserve">(732) 774-4221</t>
  </si>
  <si>
    <t xml:space="preserve">NJ0197</t>
  </si>
  <si>
    <t xml:space="preserve">Atlantic City Free Public Library</t>
  </si>
  <si>
    <t xml:space="preserve">Atlantic City</t>
  </si>
  <si>
    <t xml:space="preserve">Atlantic</t>
  </si>
  <si>
    <t xml:space="preserve">(609) 345-2269</t>
  </si>
  <si>
    <t xml:space="preserve">NJ0003</t>
  </si>
  <si>
    <t xml:space="preserve">Atlantic County Library</t>
  </si>
  <si>
    <t xml:space="preserve">Mays Landing</t>
  </si>
  <si>
    <t xml:space="preserve">(609) 625-2776</t>
  </si>
  <si>
    <t xml:space="preserve">NJ0001</t>
  </si>
  <si>
    <t xml:space="preserve">Bayonne Free Public Library</t>
  </si>
  <si>
    <t xml:space="preserve">Bayonne</t>
  </si>
  <si>
    <t xml:space="preserve">(201) 858-6973</t>
  </si>
  <si>
    <t xml:space="preserve">NJ0146</t>
  </si>
  <si>
    <t xml:space="preserve">(973) 450-3434</t>
  </si>
  <si>
    <t xml:space="preserve">NJ0110</t>
  </si>
  <si>
    <t xml:space="preserve">Bergenfield Free Public Library</t>
  </si>
  <si>
    <t xml:space="preserve">Bergenfield</t>
  </si>
  <si>
    <t xml:space="preserve">Bergen</t>
  </si>
  <si>
    <t xml:space="preserve">(201) 387-4040</t>
  </si>
  <si>
    <t xml:space="preserve">NJ0009</t>
  </si>
  <si>
    <t xml:space="preserve">Berkeley Heights Free Public Library</t>
  </si>
  <si>
    <t xml:space="preserve">Berkeley Heights</t>
  </si>
  <si>
    <t xml:space="preserve">(908) 464-9333</t>
  </si>
  <si>
    <t xml:space="preserve">NJ0286</t>
  </si>
  <si>
    <t xml:space="preserve">Bernards Township Library</t>
  </si>
  <si>
    <t xml:space="preserve">Basking Ridge</t>
  </si>
  <si>
    <t xml:space="preserve">(908) 204-3031</t>
  </si>
  <si>
    <t xml:space="preserve">NJ0277</t>
  </si>
  <si>
    <t xml:space="preserve">(973) 566-6200</t>
  </si>
  <si>
    <t xml:space="preserve">NJ0111</t>
  </si>
  <si>
    <t xml:space="preserve">Bridgeton Free Public Library</t>
  </si>
  <si>
    <t xml:space="preserve">Bridgeton</t>
  </si>
  <si>
    <t xml:space="preserve">(856) 451-2620</t>
  </si>
  <si>
    <t xml:space="preserve">NJ0105</t>
  </si>
  <si>
    <t xml:space="preserve">Burlington County Library</t>
  </si>
  <si>
    <t xml:space="preserve">Westampton</t>
  </si>
  <si>
    <t xml:space="preserve">(609) 267-9660</t>
  </si>
  <si>
    <t xml:space="preserve">NJ0070</t>
  </si>
  <si>
    <t xml:space="preserve">Voorhees</t>
  </si>
  <si>
    <t xml:space="preserve">(856) 772-1636</t>
  </si>
  <si>
    <t xml:space="preserve">NJ0083</t>
  </si>
  <si>
    <t xml:space="preserve">Cape May County Library</t>
  </si>
  <si>
    <t xml:space="preserve">Cape May Court House</t>
  </si>
  <si>
    <t xml:space="preserve">Cape May</t>
  </si>
  <si>
    <t xml:space="preserve">(609) 463-6350</t>
  </si>
  <si>
    <t xml:space="preserve">NJ0100</t>
  </si>
  <si>
    <t xml:space="preserve">Carteret Free Public Library</t>
  </si>
  <si>
    <t xml:space="preserve">(732) 541-3830</t>
  </si>
  <si>
    <t xml:space="preserve">NJ0171</t>
  </si>
  <si>
    <t xml:space="preserve">Cedar Grove Free Public Library</t>
  </si>
  <si>
    <t xml:space="preserve">Cedar Grove</t>
  </si>
  <si>
    <t xml:space="preserve">(973) 239-1447</t>
  </si>
  <si>
    <t xml:space="preserve">NJ0113</t>
  </si>
  <si>
    <t xml:space="preserve">Chathams Joint Free Public Library</t>
  </si>
  <si>
    <t xml:space="preserve">(973) 635-0603</t>
  </si>
  <si>
    <t xml:space="preserve">NJ0224</t>
  </si>
  <si>
    <t xml:space="preserve">Cherry Hill Free Public Library</t>
  </si>
  <si>
    <t xml:space="preserve">Cherry Hill</t>
  </si>
  <si>
    <t xml:space="preserve">(856) 667-0300</t>
  </si>
  <si>
    <t xml:space="preserve">NJ0087</t>
  </si>
  <si>
    <t xml:space="preserve">Clark Public Library</t>
  </si>
  <si>
    <t xml:space="preserve">(732) 388-5999</t>
  </si>
  <si>
    <t xml:space="preserve">NJ0287</t>
  </si>
  <si>
    <t xml:space="preserve">Cliffside Park Free Public Library</t>
  </si>
  <si>
    <t xml:space="preserve">Cliffside Park</t>
  </si>
  <si>
    <t xml:space="preserve">(201) 945-2867</t>
  </si>
  <si>
    <t xml:space="preserve">NJ0012</t>
  </si>
  <si>
    <t xml:space="preserve">Clifton Public Library</t>
  </si>
  <si>
    <t xml:space="preserve">Clifton</t>
  </si>
  <si>
    <t xml:space="preserve">(973) 772-5500</t>
  </si>
  <si>
    <t xml:space="preserve">NJ0256</t>
  </si>
  <si>
    <t xml:space="preserve">Collingswood Free Public Library</t>
  </si>
  <si>
    <t xml:space="preserve">Collingswood</t>
  </si>
  <si>
    <t xml:space="preserve">(856) 858-0649</t>
  </si>
  <si>
    <t xml:space="preserve">NJ0089</t>
  </si>
  <si>
    <t xml:space="preserve">Cranford Public Library</t>
  </si>
  <si>
    <t xml:space="preserve">Cranford</t>
  </si>
  <si>
    <t xml:space="preserve">(908) 709-7272</t>
  </si>
  <si>
    <t xml:space="preserve">NJ0288</t>
  </si>
  <si>
    <t xml:space="preserve">Cumberland County Library</t>
  </si>
  <si>
    <t xml:space="preserve">(856) 453-2210</t>
  </si>
  <si>
    <t xml:space="preserve">NJ0104</t>
  </si>
  <si>
    <t xml:space="preserve">Denville Free Public Library</t>
  </si>
  <si>
    <t xml:space="preserve">Denville</t>
  </si>
  <si>
    <t xml:space="preserve">(973) 627-6555</t>
  </si>
  <si>
    <t xml:space="preserve">NJ0226</t>
  </si>
  <si>
    <t xml:space="preserve">Dixon Homestead Library</t>
  </si>
  <si>
    <t xml:space="preserve">Dumont</t>
  </si>
  <si>
    <t xml:space="preserve">(201) 384-2030</t>
  </si>
  <si>
    <t xml:space="preserve">NJ0016</t>
  </si>
  <si>
    <t xml:space="preserve">Dover Free Public Library</t>
  </si>
  <si>
    <t xml:space="preserve">(973) 361-0172</t>
  </si>
  <si>
    <t xml:space="preserve">NJ0227</t>
  </si>
  <si>
    <t xml:space="preserve">Dwight D. Eisenhower Library</t>
  </si>
  <si>
    <t xml:space="preserve">Totowa</t>
  </si>
  <si>
    <t xml:space="preserve">(973) 790-3265</t>
  </si>
  <si>
    <t xml:space="preserve">NJ0265</t>
  </si>
  <si>
    <t xml:space="preserve">East Brunswick Public Library</t>
  </si>
  <si>
    <t xml:space="preserve">East Brunswick</t>
  </si>
  <si>
    <t xml:space="preserve">(732) 390-6950</t>
  </si>
  <si>
    <t xml:space="preserve">NJ0174</t>
  </si>
  <si>
    <t xml:space="preserve">East Hanover Township Free Public Library</t>
  </si>
  <si>
    <t xml:space="preserve">East Hanover</t>
  </si>
  <si>
    <t xml:space="preserve">(973) 428-3075</t>
  </si>
  <si>
    <t xml:space="preserve">NJ0228</t>
  </si>
  <si>
    <t xml:space="preserve">East Orange Public Library</t>
  </si>
  <si>
    <t xml:space="preserve">East Orange</t>
  </si>
  <si>
    <t xml:space="preserve">(973) 266-5607</t>
  </si>
  <si>
    <t xml:space="preserve">NJ0114</t>
  </si>
  <si>
    <t xml:space="preserve">East Rutherford Memorial Library</t>
  </si>
  <si>
    <t xml:space="preserve">East Rutherford</t>
  </si>
  <si>
    <t xml:space="preserve">(201) 939-3930</t>
  </si>
  <si>
    <t xml:space="preserve">NJ0017</t>
  </si>
  <si>
    <t xml:space="preserve">Eatontown Public Library</t>
  </si>
  <si>
    <t xml:space="preserve">Eatontown</t>
  </si>
  <si>
    <t xml:space="preserve">(732) 389-2665</t>
  </si>
  <si>
    <t xml:space="preserve">NJ0203</t>
  </si>
  <si>
    <t xml:space="preserve">Edgewater Free Public Library</t>
  </si>
  <si>
    <t xml:space="preserve">Edgewater</t>
  </si>
  <si>
    <t xml:space="preserve">(201) 224-6144</t>
  </si>
  <si>
    <t xml:space="preserve">NJ0018</t>
  </si>
  <si>
    <t xml:space="preserve">Edison Township Free Public Library</t>
  </si>
  <si>
    <t xml:space="preserve">Edison</t>
  </si>
  <si>
    <t xml:space="preserve">(732) 287-2298</t>
  </si>
  <si>
    <t xml:space="preserve">NJ0175</t>
  </si>
  <si>
    <t xml:space="preserve">Elizabeth Free Public Library</t>
  </si>
  <si>
    <t xml:space="preserve">(908) 354-6060</t>
  </si>
  <si>
    <t xml:space="preserve">NJ0289</t>
  </si>
  <si>
    <t xml:space="preserve">Elmwood Park Free Public Library</t>
  </si>
  <si>
    <t xml:space="preserve">(201) 796-8888</t>
  </si>
  <si>
    <t xml:space="preserve">NJ0019</t>
  </si>
  <si>
    <t xml:space="preserve">Englewood Free Public Library</t>
  </si>
  <si>
    <t xml:space="preserve">(201) 568-2215</t>
  </si>
  <si>
    <t xml:space="preserve">NJ0021</t>
  </si>
  <si>
    <t xml:space="preserve">Fairview Free Public Library</t>
  </si>
  <si>
    <t xml:space="preserve">Fairview</t>
  </si>
  <si>
    <t xml:space="preserve">(201) 943-6244</t>
  </si>
  <si>
    <t xml:space="preserve">NJ0023</t>
  </si>
  <si>
    <t xml:space="preserve">Florence Township Library</t>
  </si>
  <si>
    <t xml:space="preserve">Roebling</t>
  </si>
  <si>
    <t xml:space="preserve">(609) 499-0143</t>
  </si>
  <si>
    <t xml:space="preserve">NJ0075</t>
  </si>
  <si>
    <t xml:space="preserve">Florham Park Free Public Library</t>
  </si>
  <si>
    <t xml:space="preserve">Florham Park</t>
  </si>
  <si>
    <t xml:space="preserve">(973) 377-2694</t>
  </si>
  <si>
    <t xml:space="preserve">NJ0229</t>
  </si>
  <si>
    <t xml:space="preserve">Fort Lee Free Public Library</t>
  </si>
  <si>
    <t xml:space="preserve">Fort Lee</t>
  </si>
  <si>
    <t xml:space="preserve">(201) 592-3614</t>
  </si>
  <si>
    <t xml:space="preserve">NJ0024</t>
  </si>
  <si>
    <t xml:space="preserve">Franklin Lakes Free Public Library</t>
  </si>
  <si>
    <t xml:space="preserve">Franklin Lakes</t>
  </si>
  <si>
    <t xml:space="preserve">(201) 891-2224</t>
  </si>
  <si>
    <t xml:space="preserve">NJ0025</t>
  </si>
  <si>
    <t xml:space="preserve">Franklin Twp Public Library/Gloucester</t>
  </si>
  <si>
    <t xml:space="preserve">Franklinville</t>
  </si>
  <si>
    <t xml:space="preserve">(856) 694-2833</t>
  </si>
  <si>
    <t xml:space="preserve">NJ0133</t>
  </si>
  <si>
    <t xml:space="preserve">Franklin Twp Public Library/Somerset</t>
  </si>
  <si>
    <t xml:space="preserve">(732) 873-8700</t>
  </si>
  <si>
    <t xml:space="preserve">NJ0280</t>
  </si>
  <si>
    <t xml:space="preserve">Freehold Public Library</t>
  </si>
  <si>
    <t xml:space="preserve">Freehold</t>
  </si>
  <si>
    <t xml:space="preserve">(732) 462-5135</t>
  </si>
  <si>
    <t xml:space="preserve">NJ0205</t>
  </si>
  <si>
    <t xml:space="preserve">Garfield Free Public Library</t>
  </si>
  <si>
    <t xml:space="preserve">(973) 478-3800</t>
  </si>
  <si>
    <t xml:space="preserve">NJ0026</t>
  </si>
  <si>
    <t xml:space="preserve">Glen Rock Public Library</t>
  </si>
  <si>
    <t xml:space="preserve">Glen Rock</t>
  </si>
  <si>
    <t xml:space="preserve">(201) 670-3970</t>
  </si>
  <si>
    <t xml:space="preserve">NJ0027</t>
  </si>
  <si>
    <t xml:space="preserve">Gloucester City Library</t>
  </si>
  <si>
    <t xml:space="preserve">Gloucester City</t>
  </si>
  <si>
    <t xml:space="preserve">(856) 456-4181</t>
  </si>
  <si>
    <t xml:space="preserve">NJ0091</t>
  </si>
  <si>
    <t xml:space="preserve">Gloucester County Library</t>
  </si>
  <si>
    <t xml:space="preserve">Mullica Hill</t>
  </si>
  <si>
    <t xml:space="preserve">(856) 223-6000</t>
  </si>
  <si>
    <t xml:space="preserve">NJ0130</t>
  </si>
  <si>
    <t xml:space="preserve">Hackettstown Free Public Library</t>
  </si>
  <si>
    <t xml:space="preserve">Hackettstown</t>
  </si>
  <si>
    <t xml:space="preserve">(908) 852-4936</t>
  </si>
  <si>
    <t xml:space="preserve">NJ0310</t>
  </si>
  <si>
    <t xml:space="preserve">Haddonfield Public Library</t>
  </si>
  <si>
    <t xml:space="preserve">Haddonfield</t>
  </si>
  <si>
    <t xml:space="preserve">(856) 429-1304</t>
  </si>
  <si>
    <t xml:space="preserve">NJ0092</t>
  </si>
  <si>
    <t xml:space="preserve">Hamilton Township Free Public Library</t>
  </si>
  <si>
    <t xml:space="preserve">(609) 581-4060</t>
  </si>
  <si>
    <t xml:space="preserve">NJ0166</t>
  </si>
  <si>
    <t xml:space="preserve">Harrison Public Library</t>
  </si>
  <si>
    <t xml:space="preserve">(973) 483-2366</t>
  </si>
  <si>
    <t xml:space="preserve">NJ0147</t>
  </si>
  <si>
    <t xml:space="preserve">Hasbrouck Heights Free Public Library</t>
  </si>
  <si>
    <t xml:space="preserve">Hasbrouck Heights</t>
  </si>
  <si>
    <t xml:space="preserve">(201) 288-0488</t>
  </si>
  <si>
    <t xml:space="preserve">NJ0030</t>
  </si>
  <si>
    <t xml:space="preserve">(732) 572-2750</t>
  </si>
  <si>
    <t xml:space="preserve">NJ0176</t>
  </si>
  <si>
    <t xml:space="preserve">Hillsdale Free Public Library</t>
  </si>
  <si>
    <t xml:space="preserve">(201) 358-5072</t>
  </si>
  <si>
    <t xml:space="preserve">NJ0032</t>
  </si>
  <si>
    <t xml:space="preserve">Hillside Free Public Library</t>
  </si>
  <si>
    <t xml:space="preserve">Hillside</t>
  </si>
  <si>
    <t xml:space="preserve">(973) 923-4413</t>
  </si>
  <si>
    <t xml:space="preserve">NJ0292</t>
  </si>
  <si>
    <t xml:space="preserve">Hoboken Public Library</t>
  </si>
  <si>
    <t xml:space="preserve">Hoboken</t>
  </si>
  <si>
    <t xml:space="preserve">(201) 420-2346</t>
  </si>
  <si>
    <t xml:space="preserve">NJ0148</t>
  </si>
  <si>
    <t xml:space="preserve">Hunterdon County Library</t>
  </si>
  <si>
    <t xml:space="preserve">Flemington</t>
  </si>
  <si>
    <t xml:space="preserve">Hunterdon</t>
  </si>
  <si>
    <t xml:space="preserve">(908) 788-1444</t>
  </si>
  <si>
    <t xml:space="preserve">NJ0156</t>
  </si>
  <si>
    <t xml:space="preserve">Irvington Public Library</t>
  </si>
  <si>
    <t xml:space="preserve">Irvington</t>
  </si>
  <si>
    <t xml:space="preserve">(973) 372-6400</t>
  </si>
  <si>
    <t xml:space="preserve">NJ0117</t>
  </si>
  <si>
    <t xml:space="preserve">James H. Johnson Memorial Library</t>
  </si>
  <si>
    <t xml:space="preserve">Deptford</t>
  </si>
  <si>
    <t xml:space="preserve">(856) 848-9149</t>
  </si>
  <si>
    <t xml:space="preserve">NJ0131</t>
  </si>
  <si>
    <t xml:space="preserve">Jefferson Township Public Library</t>
  </si>
  <si>
    <t xml:space="preserve">Oak Ridge</t>
  </si>
  <si>
    <t xml:space="preserve">(973) 208-6245</t>
  </si>
  <si>
    <t xml:space="preserve">NJ0231</t>
  </si>
  <si>
    <t xml:space="preserve">Jersey City Free Public Library</t>
  </si>
  <si>
    <t xml:space="preserve">Jersey City</t>
  </si>
  <si>
    <t xml:space="preserve">(201) 547-4788</t>
  </si>
  <si>
    <t xml:space="preserve">NJ0149</t>
  </si>
  <si>
    <t xml:space="preserve">John F. Kennedy Memorial Library</t>
  </si>
  <si>
    <t xml:space="preserve">Wallington</t>
  </si>
  <si>
    <t xml:space="preserve">(973) 471-1692</t>
  </si>
  <si>
    <t xml:space="preserve">NJ0065</t>
  </si>
  <si>
    <t xml:space="preserve">Johnson Free Public Library</t>
  </si>
  <si>
    <t xml:space="preserve">Hackensack</t>
  </si>
  <si>
    <t xml:space="preserve">(201) 343-4169</t>
  </si>
  <si>
    <t xml:space="preserve">NJ0028</t>
  </si>
  <si>
    <t xml:space="preserve">Kearny Public Library</t>
  </si>
  <si>
    <t xml:space="preserve">Kearny</t>
  </si>
  <si>
    <t xml:space="preserve">(201) 998-2666</t>
  </si>
  <si>
    <t xml:space="preserve">NJ0150</t>
  </si>
  <si>
    <t xml:space="preserve">(973) 694-8283</t>
  </si>
  <si>
    <t xml:space="preserve">NJ0233</t>
  </si>
  <si>
    <t xml:space="preserve">Linden Free Public Library</t>
  </si>
  <si>
    <t xml:space="preserve">Linden</t>
  </si>
  <si>
    <t xml:space="preserve">(908) 298-3830</t>
  </si>
  <si>
    <t xml:space="preserve">NJ0294</t>
  </si>
  <si>
    <t xml:space="preserve">Little Falls Public Library</t>
  </si>
  <si>
    <t xml:space="preserve">Little Falls</t>
  </si>
  <si>
    <t xml:space="preserve">(973) 256-2784</t>
  </si>
  <si>
    <t xml:space="preserve">NJ0259</t>
  </si>
  <si>
    <t xml:space="preserve">Little Ferry Free Public Library</t>
  </si>
  <si>
    <t xml:space="preserve">Little Ferry</t>
  </si>
  <si>
    <t xml:space="preserve">(201) 641-3721</t>
  </si>
  <si>
    <t xml:space="preserve">NJ0035</t>
  </si>
  <si>
    <t xml:space="preserve">Lodi Memorial Library</t>
  </si>
  <si>
    <t xml:space="preserve">(973) 365-4044</t>
  </si>
  <si>
    <t xml:space="preserve">NJ0036</t>
  </si>
  <si>
    <t xml:space="preserve">Long Branch Free Public Library</t>
  </si>
  <si>
    <t xml:space="preserve">Long Branch</t>
  </si>
  <si>
    <t xml:space="preserve">(732) 222-3900</t>
  </si>
  <si>
    <t xml:space="preserve">NJ0209</t>
  </si>
  <si>
    <t xml:space="preserve">Louis Bay 2Nd Library</t>
  </si>
  <si>
    <t xml:space="preserve">Hawthorne</t>
  </si>
  <si>
    <t xml:space="preserve">(973) 427-5745</t>
  </si>
  <si>
    <t xml:space="preserve">NJ0258</t>
  </si>
  <si>
    <t xml:space="preserve">Lyndhurst Free Public Library</t>
  </si>
  <si>
    <t xml:space="preserve">Lyndhurst</t>
  </si>
  <si>
    <t xml:space="preserve">(201) 804-2478</t>
  </si>
  <si>
    <t xml:space="preserve">NJ0037</t>
  </si>
  <si>
    <t xml:space="preserve">Madison Public Library</t>
  </si>
  <si>
    <t xml:space="preserve">(973) 377-0722</t>
  </si>
  <si>
    <t xml:space="preserve">NJ0234</t>
  </si>
  <si>
    <t xml:space="preserve">Mahwah Free Public Library</t>
  </si>
  <si>
    <t xml:space="preserve">Mahwah Township</t>
  </si>
  <si>
    <t xml:space="preserve">(201) 529-7323</t>
  </si>
  <si>
    <t xml:space="preserve">NJ0038</t>
  </si>
  <si>
    <t xml:space="preserve">Maplewood Memorial Library</t>
  </si>
  <si>
    <t xml:space="preserve">Maplewood</t>
  </si>
  <si>
    <t xml:space="preserve">(973) 762-1622</t>
  </si>
  <si>
    <t xml:space="preserve">NJ0119</t>
  </si>
  <si>
    <t xml:space="preserve">Margaret E. Heggan Free Public Library</t>
  </si>
  <si>
    <t xml:space="preserve">Sewell</t>
  </si>
  <si>
    <t xml:space="preserve">(856) 589-3334</t>
  </si>
  <si>
    <t xml:space="preserve">NJ0141</t>
  </si>
  <si>
    <t xml:space="preserve">Matawan-Aberdeen Public Library</t>
  </si>
  <si>
    <t xml:space="preserve">Matawan</t>
  </si>
  <si>
    <t xml:space="preserve">(732) 583-9100</t>
  </si>
  <si>
    <t xml:space="preserve">NJ0196</t>
  </si>
  <si>
    <t xml:space="preserve">Maurice M. Pine Free Public Library</t>
  </si>
  <si>
    <t xml:space="preserve">Fair Lawn</t>
  </si>
  <si>
    <t xml:space="preserve">(201) 796-3400</t>
  </si>
  <si>
    <t xml:space="preserve">NJ0022</t>
  </si>
  <si>
    <t xml:space="preserve">Maywood Public Library</t>
  </si>
  <si>
    <t xml:space="preserve">(201) 845-2915</t>
  </si>
  <si>
    <t xml:space="preserve">NJ0039</t>
  </si>
  <si>
    <t xml:space="preserve">Mercer County Library</t>
  </si>
  <si>
    <t xml:space="preserve">(609) 689-6916</t>
  </si>
  <si>
    <t xml:space="preserve">NJ0165</t>
  </si>
  <si>
    <t xml:space="preserve">Metuchen Public Library</t>
  </si>
  <si>
    <t xml:space="preserve">Metuchen</t>
  </si>
  <si>
    <t xml:space="preserve">(732) 632-8526</t>
  </si>
  <si>
    <t xml:space="preserve">NJ0178</t>
  </si>
  <si>
    <t xml:space="preserve">Middlesex Public Library</t>
  </si>
  <si>
    <t xml:space="preserve">(732) 356-6602</t>
  </si>
  <si>
    <t xml:space="preserve">NJ0179</t>
  </si>
  <si>
    <t xml:space="preserve">Middletown Township Public Library</t>
  </si>
  <si>
    <t xml:space="preserve">(732) 671-3700</t>
  </si>
  <si>
    <t xml:space="preserve">NJ0211</t>
  </si>
  <si>
    <t xml:space="preserve">Millburn Free Public Library</t>
  </si>
  <si>
    <t xml:space="preserve">Millburn</t>
  </si>
  <si>
    <t xml:space="preserve">(973) 376-1006</t>
  </si>
  <si>
    <t xml:space="preserve">NJ0120</t>
  </si>
  <si>
    <t xml:space="preserve">Millville Public Library</t>
  </si>
  <si>
    <t xml:space="preserve">Millville</t>
  </si>
  <si>
    <t xml:space="preserve">(856) 825-7087</t>
  </si>
  <si>
    <t xml:space="preserve">NJ0108</t>
  </si>
  <si>
    <t xml:space="preserve">Monmouth County Library</t>
  </si>
  <si>
    <t xml:space="preserve">Manalapan</t>
  </si>
  <si>
    <t xml:space="preserve">(732) 431-7235</t>
  </si>
  <si>
    <t xml:space="preserve">NJ0195</t>
  </si>
  <si>
    <t xml:space="preserve">Monroe Twp Public Library/Gloucester</t>
  </si>
  <si>
    <t xml:space="preserve">(856) 629-1212</t>
  </si>
  <si>
    <t xml:space="preserve">NJ0136</t>
  </si>
  <si>
    <t xml:space="preserve">Monroe Twp Public Library/Middlesex</t>
  </si>
  <si>
    <t xml:space="preserve">Monroe Township</t>
  </si>
  <si>
    <t xml:space="preserve">(732) 521-5000</t>
  </si>
  <si>
    <t xml:space="preserve">NJ0181</t>
  </si>
  <si>
    <t xml:space="preserve">Montclair Public Library</t>
  </si>
  <si>
    <t xml:space="preserve">Montclair</t>
  </si>
  <si>
    <t xml:space="preserve">(973) 744-0500</t>
  </si>
  <si>
    <t xml:space="preserve">NJ0121</t>
  </si>
  <si>
    <t xml:space="preserve">Montville Township Public Library</t>
  </si>
  <si>
    <t xml:space="preserve">Montville</t>
  </si>
  <si>
    <t xml:space="preserve">(973) 402-0900</t>
  </si>
  <si>
    <t xml:space="preserve">NJ0237</t>
  </si>
  <si>
    <t xml:space="preserve">Moorestown Library</t>
  </si>
  <si>
    <t xml:space="preserve">Moorestown</t>
  </si>
  <si>
    <t xml:space="preserve">(856) 234-0333</t>
  </si>
  <si>
    <t xml:space="preserve">NJ0076</t>
  </si>
  <si>
    <t xml:space="preserve">Morris County Library</t>
  </si>
  <si>
    <t xml:space="preserve">Whippany</t>
  </si>
  <si>
    <t xml:space="preserve">(973) 285-6930</t>
  </si>
  <si>
    <t xml:space="preserve">NJ0221</t>
  </si>
  <si>
    <t xml:space="preserve">Morristown-Morris Twp Joint Public Library</t>
  </si>
  <si>
    <t xml:space="preserve">Morristown</t>
  </si>
  <si>
    <t xml:space="preserve">(973) 538-6161</t>
  </si>
  <si>
    <t xml:space="preserve">NJ0238</t>
  </si>
  <si>
    <t xml:space="preserve">Mount Laurel Library</t>
  </si>
  <si>
    <t xml:space="preserve">Mount Laurel</t>
  </si>
  <si>
    <t xml:space="preserve">(856) 234-7319</t>
  </si>
  <si>
    <t xml:space="preserve">NJ0078</t>
  </si>
  <si>
    <t xml:space="preserve">Mount Olive Public Library</t>
  </si>
  <si>
    <t xml:space="preserve">Flanders</t>
  </si>
  <si>
    <t xml:space="preserve">(973) 691-8686</t>
  </si>
  <si>
    <t xml:space="preserve">NJ0242</t>
  </si>
  <si>
    <t xml:space="preserve">Neptune Township Public Library</t>
  </si>
  <si>
    <t xml:space="preserve">Neptune</t>
  </si>
  <si>
    <t xml:space="preserve">(732) 775-8241</t>
  </si>
  <si>
    <t xml:space="preserve">NJ0213</t>
  </si>
  <si>
    <t xml:space="preserve">New Brunswick Free Public Library</t>
  </si>
  <si>
    <t xml:space="preserve">New Brunswick</t>
  </si>
  <si>
    <t xml:space="preserve">(732) 745-5108</t>
  </si>
  <si>
    <t xml:space="preserve">NJ0182</t>
  </si>
  <si>
    <t xml:space="preserve">(201) 262-1221</t>
  </si>
  <si>
    <t xml:space="preserve">NJ0042</t>
  </si>
  <si>
    <t xml:space="preserve">New Providence Memorial Library</t>
  </si>
  <si>
    <t xml:space="preserve">New Providence</t>
  </si>
  <si>
    <t xml:space="preserve">(908) 665-0311</t>
  </si>
  <si>
    <t xml:space="preserve">NJ0296</t>
  </si>
  <si>
    <t xml:space="preserve">Newark Public Library</t>
  </si>
  <si>
    <t xml:space="preserve">Newark</t>
  </si>
  <si>
    <t xml:space="preserve">(973) 733-7780</t>
  </si>
  <si>
    <t xml:space="preserve">NJ0122</t>
  </si>
  <si>
    <t xml:space="preserve">North Arlington Public Library</t>
  </si>
  <si>
    <t xml:space="preserve">North Arlington</t>
  </si>
  <si>
    <t xml:space="preserve">(201) 955-5640</t>
  </si>
  <si>
    <t xml:space="preserve">NJ0043</t>
  </si>
  <si>
    <t xml:space="preserve">North Bergen Free Public Library</t>
  </si>
  <si>
    <t xml:space="preserve">North Bergen</t>
  </si>
  <si>
    <t xml:space="preserve">(201) 869-4715</t>
  </si>
  <si>
    <t xml:space="preserve">NJ0151</t>
  </si>
  <si>
    <t xml:space="preserve">North Brunswick Free Public Library</t>
  </si>
  <si>
    <t xml:space="preserve">North Brunswick</t>
  </si>
  <si>
    <t xml:space="preserve">(732) 246-3545</t>
  </si>
  <si>
    <t xml:space="preserve">NJ0183</t>
  </si>
  <si>
    <t xml:space="preserve">Nutley Free Public Library</t>
  </si>
  <si>
    <t xml:space="preserve">Nutley</t>
  </si>
  <si>
    <t xml:space="preserve">(973) 667-0405</t>
  </si>
  <si>
    <t xml:space="preserve">NJ0123</t>
  </si>
  <si>
    <t xml:space="preserve">(201) 337-3742</t>
  </si>
  <si>
    <t xml:space="preserve">NJ0046</t>
  </si>
  <si>
    <t xml:space="preserve">Ocean City Free Public Library</t>
  </si>
  <si>
    <t xml:space="preserve">Ocean City</t>
  </si>
  <si>
    <t xml:space="preserve">(609) 399-2434</t>
  </si>
  <si>
    <t xml:space="preserve">NJ0102</t>
  </si>
  <si>
    <t xml:space="preserve">Ocean County Library</t>
  </si>
  <si>
    <t xml:space="preserve">Toms River</t>
  </si>
  <si>
    <t xml:space="preserve">Ocean</t>
  </si>
  <si>
    <t xml:space="preserve">(732) 349-6200</t>
  </si>
  <si>
    <t xml:space="preserve">NJ0252</t>
  </si>
  <si>
    <t xml:space="preserve">Old Bridge Public Library</t>
  </si>
  <si>
    <t xml:space="preserve">Old Bridge</t>
  </si>
  <si>
    <t xml:space="preserve">(732) 721-5600</t>
  </si>
  <si>
    <t xml:space="preserve">NJ0184</t>
  </si>
  <si>
    <t xml:space="preserve">Palisades Park Free Public Library</t>
  </si>
  <si>
    <t xml:space="preserve">Palisades Park</t>
  </si>
  <si>
    <t xml:space="preserve">(201) 585-4150</t>
  </si>
  <si>
    <t xml:space="preserve">NJ0049</t>
  </si>
  <si>
    <t xml:space="preserve">Paramus Public Library</t>
  </si>
  <si>
    <t xml:space="preserve">Paramus</t>
  </si>
  <si>
    <t xml:space="preserve">(201) 599-1300</t>
  </si>
  <si>
    <t xml:space="preserve">NJ0050</t>
  </si>
  <si>
    <t xml:space="preserve">Parsippany-Troy Hills Public Library</t>
  </si>
  <si>
    <t xml:space="preserve">Parsippany</t>
  </si>
  <si>
    <t xml:space="preserve">(973) 887-8907</t>
  </si>
  <si>
    <t xml:space="preserve">NJ0243</t>
  </si>
  <si>
    <t xml:space="preserve">Passaic Public Library</t>
  </si>
  <si>
    <t xml:space="preserve">(973) 779-0474</t>
  </si>
  <si>
    <t xml:space="preserve">NJ0261</t>
  </si>
  <si>
    <t xml:space="preserve">Paterson Free Public Library</t>
  </si>
  <si>
    <t xml:space="preserve">Paterson</t>
  </si>
  <si>
    <t xml:space="preserve">(973) 321-1223</t>
  </si>
  <si>
    <t xml:space="preserve">NJ0262</t>
  </si>
  <si>
    <t xml:space="preserve">Pennsauken Free Public Library</t>
  </si>
  <si>
    <t xml:space="preserve">Pennsauken</t>
  </si>
  <si>
    <t xml:space="preserve">(856) 665-5959</t>
  </si>
  <si>
    <t xml:space="preserve">NJ0095</t>
  </si>
  <si>
    <t xml:space="preserve">Pennsville Public Library</t>
  </si>
  <si>
    <t xml:space="preserve">Pennsville</t>
  </si>
  <si>
    <t xml:space="preserve">(856) 678-5473</t>
  </si>
  <si>
    <t xml:space="preserve">NJ0272</t>
  </si>
  <si>
    <t xml:space="preserve">Pequannock Township Public Library</t>
  </si>
  <si>
    <t xml:space="preserve">Pompton Plains</t>
  </si>
  <si>
    <t xml:space="preserve">(973) 835-7460</t>
  </si>
  <si>
    <t xml:space="preserve">NJ0245</t>
  </si>
  <si>
    <t xml:space="preserve">Perth Amboy Free Public Library</t>
  </si>
  <si>
    <t xml:space="preserve">Perth Amboy</t>
  </si>
  <si>
    <t xml:space="preserve">(732) 826-2600</t>
  </si>
  <si>
    <t xml:space="preserve">NJ0185</t>
  </si>
  <si>
    <t xml:space="preserve">Phillipsburg Free Public Library</t>
  </si>
  <si>
    <t xml:space="preserve">Phillipsburg</t>
  </si>
  <si>
    <t xml:space="preserve">(908) 454-3712</t>
  </si>
  <si>
    <t xml:space="preserve">NJ0312</t>
  </si>
  <si>
    <t xml:space="preserve">Piscataway Public Library</t>
  </si>
  <si>
    <t xml:space="preserve">Piscataway</t>
  </si>
  <si>
    <t xml:space="preserve">(732) 463-1633</t>
  </si>
  <si>
    <t xml:space="preserve">NJ0186</t>
  </si>
  <si>
    <t xml:space="preserve">Plainfield Free Public Library</t>
  </si>
  <si>
    <t xml:space="preserve">(908) 757-1111</t>
  </si>
  <si>
    <t xml:space="preserve">NJ0297</t>
  </si>
  <si>
    <t xml:space="preserve">Plainsboro Free Public Library</t>
  </si>
  <si>
    <t xml:space="preserve">Plainsboro</t>
  </si>
  <si>
    <t xml:space="preserve">(609) 275-2897</t>
  </si>
  <si>
    <t xml:space="preserve">NJ0187</t>
  </si>
  <si>
    <t xml:space="preserve">Pompton Lakes Borough Free Public Library</t>
  </si>
  <si>
    <t xml:space="preserve">Pompton Lakes</t>
  </si>
  <si>
    <t xml:space="preserve">(973) 835-0482</t>
  </si>
  <si>
    <t xml:space="preserve">NJ0263</t>
  </si>
  <si>
    <t xml:space="preserve">(609) 924-8822</t>
  </si>
  <si>
    <t xml:space="preserve">NJ0169</t>
  </si>
  <si>
    <t xml:space="preserve">Rahway Public Library</t>
  </si>
  <si>
    <t xml:space="preserve">Rahway</t>
  </si>
  <si>
    <t xml:space="preserve">(732) 340-1551</t>
  </si>
  <si>
    <t xml:space="preserve">NJ0298</t>
  </si>
  <si>
    <t xml:space="preserve">Ramsey Free Public Library</t>
  </si>
  <si>
    <t xml:space="preserve">(201) 327-1445</t>
  </si>
  <si>
    <t xml:space="preserve">NJ0052</t>
  </si>
  <si>
    <t xml:space="preserve">Randolph Township Free Public Library</t>
  </si>
  <si>
    <t xml:space="preserve">(973) 895-3556</t>
  </si>
  <si>
    <t xml:space="preserve">NJ0246</t>
  </si>
  <si>
    <t xml:space="preserve">Red Bank Public Library</t>
  </si>
  <si>
    <t xml:space="preserve">Red Bank</t>
  </si>
  <si>
    <t xml:space="preserve">(732) 842-0690</t>
  </si>
  <si>
    <t xml:space="preserve">NJ0215</t>
  </si>
  <si>
    <t xml:space="preserve">Ridgefield Free Public Library</t>
  </si>
  <si>
    <t xml:space="preserve">(201) 941-0192</t>
  </si>
  <si>
    <t xml:space="preserve">NJ0053</t>
  </si>
  <si>
    <t xml:space="preserve">Ridgefield Park Public Library</t>
  </si>
  <si>
    <t xml:space="preserve">Ridgefield Park</t>
  </si>
  <si>
    <t xml:space="preserve">(201) 641-0689</t>
  </si>
  <si>
    <t xml:space="preserve">NJ0054</t>
  </si>
  <si>
    <t xml:space="preserve">Ridgewood Public Library</t>
  </si>
  <si>
    <t xml:space="preserve">Ridgewood</t>
  </si>
  <si>
    <t xml:space="preserve">(201) 670-5600</t>
  </si>
  <si>
    <t xml:space="preserve">NJ0055</t>
  </si>
  <si>
    <t xml:space="preserve">Ringwood Public Library</t>
  </si>
  <si>
    <t xml:space="preserve">Ringwood</t>
  </si>
  <si>
    <t xml:space="preserve">(973) 962-6256</t>
  </si>
  <si>
    <t xml:space="preserve">NJ0264</t>
  </si>
  <si>
    <t xml:space="preserve">River Edge Free Public Library</t>
  </si>
  <si>
    <t xml:space="preserve">River Edge</t>
  </si>
  <si>
    <t xml:space="preserve">(201) 261-1663</t>
  </si>
  <si>
    <t xml:space="preserve">NJ0056</t>
  </si>
  <si>
    <t xml:space="preserve">Rockaway Township Free Public Library</t>
  </si>
  <si>
    <t xml:space="preserve">Rockaway</t>
  </si>
  <si>
    <t xml:space="preserve">(973) 627-2344</t>
  </si>
  <si>
    <t xml:space="preserve">NJ0248</t>
  </si>
  <si>
    <t xml:space="preserve">Roselle Free Public Library</t>
  </si>
  <si>
    <t xml:space="preserve">(908) 245-5809</t>
  </si>
  <si>
    <t xml:space="preserve">NJ0299</t>
  </si>
  <si>
    <t xml:space="preserve">Roselle Park Veteran`S Memorial Library</t>
  </si>
  <si>
    <t xml:space="preserve">Roselle Park</t>
  </si>
  <si>
    <t xml:space="preserve">(908) 245-2456</t>
  </si>
  <si>
    <t xml:space="preserve">NJ0300</t>
  </si>
  <si>
    <t xml:space="preserve">Roxbury Public Library</t>
  </si>
  <si>
    <t xml:space="preserve">Succasunna</t>
  </si>
  <si>
    <t xml:space="preserve">(973) 584-2400</t>
  </si>
  <si>
    <t xml:space="preserve">NJ0249</t>
  </si>
  <si>
    <t xml:space="preserve">Ruth L. Rockwood Memorial Library</t>
  </si>
  <si>
    <t xml:space="preserve">(973) 992-4600</t>
  </si>
  <si>
    <t xml:space="preserve">NJ0118</t>
  </si>
  <si>
    <t xml:space="preserve">Rutherford Free Public Library</t>
  </si>
  <si>
    <t xml:space="preserve">(201) 939-8600</t>
  </si>
  <si>
    <t xml:space="preserve">NJ0059</t>
  </si>
  <si>
    <t xml:space="preserve">Saddle Brook Free Public Library</t>
  </si>
  <si>
    <t xml:space="preserve">Saddle Brook</t>
  </si>
  <si>
    <t xml:space="preserve">(201) 843-3287</t>
  </si>
  <si>
    <t xml:space="preserve">NJ0060</t>
  </si>
  <si>
    <t xml:space="preserve">Sally Stretch Keen Memorial Library</t>
  </si>
  <si>
    <t xml:space="preserve">Vincentown</t>
  </si>
  <si>
    <t xml:space="preserve">(609) 859-3598</t>
  </si>
  <si>
    <t xml:space="preserve">NJ0081</t>
  </si>
  <si>
    <t xml:space="preserve">Sayreville Free Public Library</t>
  </si>
  <si>
    <t xml:space="preserve">Parlin</t>
  </si>
  <si>
    <t xml:space="preserve">(732) 727-0212</t>
  </si>
  <si>
    <t xml:space="preserve">NJ0188</t>
  </si>
  <si>
    <t xml:space="preserve">Scotch Plains Public Library</t>
  </si>
  <si>
    <t xml:space="preserve">Scotch Plains</t>
  </si>
  <si>
    <t xml:space="preserve">(908) 322-5007</t>
  </si>
  <si>
    <t xml:space="preserve">NJ0301</t>
  </si>
  <si>
    <t xml:space="preserve">Secaucus Free Public Library</t>
  </si>
  <si>
    <t xml:space="preserve">Secaucus</t>
  </si>
  <si>
    <t xml:space="preserve">(201) 330-2083</t>
  </si>
  <si>
    <t xml:space="preserve">NJ0152</t>
  </si>
  <si>
    <t xml:space="preserve">(908) 526-4016</t>
  </si>
  <si>
    <t xml:space="preserve">NJ0275</t>
  </si>
  <si>
    <t xml:space="preserve">South Brunswick Public Library</t>
  </si>
  <si>
    <t xml:space="preserve">Monmouth Junction</t>
  </si>
  <si>
    <t xml:space="preserve">(732) 329-4000</t>
  </si>
  <si>
    <t xml:space="preserve">NJ0190</t>
  </si>
  <si>
    <t xml:space="preserve">South Orange Public Library</t>
  </si>
  <si>
    <t xml:space="preserve">South Orange</t>
  </si>
  <si>
    <t xml:space="preserve">(973) 762-0230</t>
  </si>
  <si>
    <t xml:space="preserve">NJ0126</t>
  </si>
  <si>
    <t xml:space="preserve">South Plainfield Free Public Library</t>
  </si>
  <si>
    <t xml:space="preserve">South Plainfield</t>
  </si>
  <si>
    <t xml:space="preserve">(908) 754-7885</t>
  </si>
  <si>
    <t xml:space="preserve">NJ0191</t>
  </si>
  <si>
    <t xml:space="preserve">South River Public Library</t>
  </si>
  <si>
    <t xml:space="preserve">South River</t>
  </si>
  <si>
    <t xml:space="preserve">(732) 254-2488</t>
  </si>
  <si>
    <t xml:space="preserve">NJ0192</t>
  </si>
  <si>
    <t xml:space="preserve">Sparta Public Library</t>
  </si>
  <si>
    <t xml:space="preserve">Sparta</t>
  </si>
  <si>
    <t xml:space="preserve">(973) 729-3101</t>
  </si>
  <si>
    <t xml:space="preserve">NJ0285</t>
  </si>
  <si>
    <t xml:space="preserve">Springfield Free Public Library</t>
  </si>
  <si>
    <t xml:space="preserve">(973) 376-4930</t>
  </si>
  <si>
    <t xml:space="preserve">NJ0302</t>
  </si>
  <si>
    <t xml:space="preserve">Summit Free Public Library</t>
  </si>
  <si>
    <t xml:space="preserve">(908) 273-0350</t>
  </si>
  <si>
    <t xml:space="preserve">NJ0303</t>
  </si>
  <si>
    <t xml:space="preserve">Sussex County Library</t>
  </si>
  <si>
    <t xml:space="preserve">(973) 948-3660</t>
  </si>
  <si>
    <t xml:space="preserve">NJ0284</t>
  </si>
  <si>
    <t xml:space="preserve">Teaneck Public Library</t>
  </si>
  <si>
    <t xml:space="preserve">Teaneck</t>
  </si>
  <si>
    <t xml:space="preserve">(201) 837-4171</t>
  </si>
  <si>
    <t xml:space="preserve">NJ0061</t>
  </si>
  <si>
    <t xml:space="preserve">Tenafly Free Public Library</t>
  </si>
  <si>
    <t xml:space="preserve">Tenafly</t>
  </si>
  <si>
    <t xml:space="preserve">(201) 568-8680</t>
  </si>
  <si>
    <t xml:space="preserve">NJ0062</t>
  </si>
  <si>
    <t xml:space="preserve">The Orange Public Library</t>
  </si>
  <si>
    <t xml:space="preserve">(973) 673-0153</t>
  </si>
  <si>
    <t xml:space="preserve">NJ0124</t>
  </si>
  <si>
    <t xml:space="preserve">Tinton Falls Public Library</t>
  </si>
  <si>
    <t xml:space="preserve">Tinton Falls</t>
  </si>
  <si>
    <t xml:space="preserve">(732) 542-3110</t>
  </si>
  <si>
    <t xml:space="preserve">NJ0218</t>
  </si>
  <si>
    <t xml:space="preserve">Trenton Free Public Library</t>
  </si>
  <si>
    <t xml:space="preserve">(609) 392-7188</t>
  </si>
  <si>
    <t xml:space="preserve">NJ0170</t>
  </si>
  <si>
    <t xml:space="preserve">Union City Public Library</t>
  </si>
  <si>
    <t xml:space="preserve">Union City</t>
  </si>
  <si>
    <t xml:space="preserve">(201) 866-7500</t>
  </si>
  <si>
    <t xml:space="preserve">NJ0153</t>
  </si>
  <si>
    <t xml:space="preserve">Union Free Public Library</t>
  </si>
  <si>
    <t xml:space="preserve">(908) 851-5450</t>
  </si>
  <si>
    <t xml:space="preserve">NJ0304</t>
  </si>
  <si>
    <t xml:space="preserve">Verona Free Public Library</t>
  </si>
  <si>
    <t xml:space="preserve">Verona</t>
  </si>
  <si>
    <t xml:space="preserve">(973) 857-4848</t>
  </si>
  <si>
    <t xml:space="preserve">NJ0127</t>
  </si>
  <si>
    <t xml:space="preserve">Vineland Public Library</t>
  </si>
  <si>
    <t xml:space="preserve">Vineland</t>
  </si>
  <si>
    <t xml:space="preserve">(856) 794-4244</t>
  </si>
  <si>
    <t xml:space="preserve">NJ0109</t>
  </si>
  <si>
    <t xml:space="preserve">Waldwick Public Library</t>
  </si>
  <si>
    <t xml:space="preserve">Waldwick</t>
  </si>
  <si>
    <t xml:space="preserve">(201) 652-5104</t>
  </si>
  <si>
    <t xml:space="preserve">NJ0064</t>
  </si>
  <si>
    <t xml:space="preserve">Wanaque Borough Free Public Library</t>
  </si>
  <si>
    <t xml:space="preserve">Wanaque</t>
  </si>
  <si>
    <t xml:space="preserve">(973) 839-4434</t>
  </si>
  <si>
    <t xml:space="preserve">NJ0266</t>
  </si>
  <si>
    <t xml:space="preserve">Warren County Library</t>
  </si>
  <si>
    <t xml:space="preserve">(908) 475-6322</t>
  </si>
  <si>
    <t xml:space="preserve">NJ0306</t>
  </si>
  <si>
    <t xml:space="preserve">Washington Twp Public Library/Morris</t>
  </si>
  <si>
    <t xml:space="preserve">Long Valley</t>
  </si>
  <si>
    <t xml:space="preserve">(908) 876-3596</t>
  </si>
  <si>
    <t xml:space="preserve">NJ0250</t>
  </si>
  <si>
    <t xml:space="preserve">Atco</t>
  </si>
  <si>
    <t xml:space="preserve">(856) 767-7727</t>
  </si>
  <si>
    <t xml:space="preserve">NJ0099</t>
  </si>
  <si>
    <t xml:space="preserve">(973) 694-4272</t>
  </si>
  <si>
    <t xml:space="preserve">NJ0267</t>
  </si>
  <si>
    <t xml:space="preserve">Weehawken Free Public Library</t>
  </si>
  <si>
    <t xml:space="preserve">Weehawken</t>
  </si>
  <si>
    <t xml:space="preserve">(201) 863-7823</t>
  </si>
  <si>
    <t xml:space="preserve">NJ0154</t>
  </si>
  <si>
    <t xml:space="preserve">West Caldwell Public Library</t>
  </si>
  <si>
    <t xml:space="preserve">West Caldwell</t>
  </si>
  <si>
    <t xml:space="preserve">(973) 226-5441</t>
  </si>
  <si>
    <t xml:space="preserve">NJ0128</t>
  </si>
  <si>
    <t xml:space="preserve">West Deptford Free Public Library</t>
  </si>
  <si>
    <t xml:space="preserve">West Deptford</t>
  </si>
  <si>
    <t xml:space="preserve">(856) 845-5593</t>
  </si>
  <si>
    <t xml:space="preserve">NJ0143</t>
  </si>
  <si>
    <t xml:space="preserve">West Milford Township Library</t>
  </si>
  <si>
    <t xml:space="preserve">West Milford</t>
  </si>
  <si>
    <t xml:space="preserve">(973) 728-2820</t>
  </si>
  <si>
    <t xml:space="preserve">NJ0268</t>
  </si>
  <si>
    <t xml:space="preserve">West New York Free Public Library</t>
  </si>
  <si>
    <t xml:space="preserve">West New York</t>
  </si>
  <si>
    <t xml:space="preserve">(201) 295-5135</t>
  </si>
  <si>
    <t xml:space="preserve">NJ0155</t>
  </si>
  <si>
    <t xml:space="preserve">West Orange Free Public Library</t>
  </si>
  <si>
    <t xml:space="preserve">West Orange</t>
  </si>
  <si>
    <t xml:space="preserve">(973) 736-0198</t>
  </si>
  <si>
    <t xml:space="preserve">NJ0129</t>
  </si>
  <si>
    <t xml:space="preserve">Westfield Memorial Library</t>
  </si>
  <si>
    <t xml:space="preserve">(908) 789-4090</t>
  </si>
  <si>
    <t xml:space="preserve">NJ0305</t>
  </si>
  <si>
    <t xml:space="preserve">Westwood Free Public Library</t>
  </si>
  <si>
    <t xml:space="preserve">(201) 664-0583</t>
  </si>
  <si>
    <t xml:space="preserve">NJ0067</t>
  </si>
  <si>
    <t xml:space="preserve">Whippanong Library/Hanover Township</t>
  </si>
  <si>
    <t xml:space="preserve">(973) 428-2460</t>
  </si>
  <si>
    <t xml:space="preserve">NJ0230</t>
  </si>
  <si>
    <t xml:space="preserve">Willingboro Public Library</t>
  </si>
  <si>
    <t xml:space="preserve">Willingboro</t>
  </si>
  <si>
    <t xml:space="preserve">(609) 877-6668</t>
  </si>
  <si>
    <t xml:space="preserve">NJ0082</t>
  </si>
  <si>
    <t xml:space="preserve">Wood-Ridge Memorial Library</t>
  </si>
  <si>
    <t xml:space="preserve">Wood-Ridge</t>
  </si>
  <si>
    <t xml:space="preserve">(201) 438-2455</t>
  </si>
  <si>
    <t xml:space="preserve">NJ0068</t>
  </si>
  <si>
    <t xml:space="preserve">Woodbridge Public Library</t>
  </si>
  <si>
    <t xml:space="preserve">Woodbridge</t>
  </si>
  <si>
    <t xml:space="preserve">(732) 634-4450</t>
  </si>
  <si>
    <t xml:space="preserve">NJ0194</t>
  </si>
  <si>
    <t xml:space="preserve">Wyckoff Free Public Library</t>
  </si>
  <si>
    <t xml:space="preserve">Wyckoff</t>
  </si>
  <si>
    <t xml:space="preserve">(201) 891-4866</t>
  </si>
  <si>
    <t xml:space="preserve">NJ0069</t>
  </si>
  <si>
    <t xml:space="preserve">NM</t>
  </si>
  <si>
    <t xml:space="preserve">Alamogordo Public Library</t>
  </si>
  <si>
    <t xml:space="preserve">Alamogordo</t>
  </si>
  <si>
    <t xml:space="preserve">Otero</t>
  </si>
  <si>
    <t xml:space="preserve">(575) 439-4140</t>
  </si>
  <si>
    <t xml:space="preserve">NM0001</t>
  </si>
  <si>
    <t xml:space="preserve">Albuquerque/Bernalillo County Library System</t>
  </si>
  <si>
    <t xml:space="preserve">Albuquerque</t>
  </si>
  <si>
    <t xml:space="preserve">Bernalillo</t>
  </si>
  <si>
    <t xml:space="preserve">(505) 768-5100</t>
  </si>
  <si>
    <t xml:space="preserve">NM0002</t>
  </si>
  <si>
    <t xml:space="preserve">Artesia Public Library</t>
  </si>
  <si>
    <t xml:space="preserve">Artesia</t>
  </si>
  <si>
    <t xml:space="preserve">Eddy</t>
  </si>
  <si>
    <t xml:space="preserve">(575) 746-4252</t>
  </si>
  <si>
    <t xml:space="preserve">NM0003</t>
  </si>
  <si>
    <t xml:space="preserve">Carlsbad Public Library</t>
  </si>
  <si>
    <t xml:space="preserve">(575) 885-6776</t>
  </si>
  <si>
    <t xml:space="preserve">NM0007</t>
  </si>
  <si>
    <t xml:space="preserve">Las Vegas</t>
  </si>
  <si>
    <t xml:space="preserve">San Miguel</t>
  </si>
  <si>
    <t xml:space="preserve">(505) 426-3302</t>
  </si>
  <si>
    <t xml:space="preserve">NM0023</t>
  </si>
  <si>
    <t xml:space="preserve">Clovis Carver Public Library</t>
  </si>
  <si>
    <t xml:space="preserve">Clovis</t>
  </si>
  <si>
    <t xml:space="preserve">Curry</t>
  </si>
  <si>
    <t xml:space="preserve">(575) 769-7840</t>
  </si>
  <si>
    <t xml:space="preserve">NM0010</t>
  </si>
  <si>
    <t xml:space="preserve">Espanola Public Library</t>
  </si>
  <si>
    <t xml:space="preserve">Espanola</t>
  </si>
  <si>
    <t xml:space="preserve">Rio Arriba</t>
  </si>
  <si>
    <t xml:space="preserve">(505) 747-6087</t>
  </si>
  <si>
    <t xml:space="preserve">NM0012</t>
  </si>
  <si>
    <t xml:space="preserve">San Juan</t>
  </si>
  <si>
    <t xml:space="preserve">(505) 599-1270</t>
  </si>
  <si>
    <t xml:space="preserve">NM0014</t>
  </si>
  <si>
    <t xml:space="preserve">Hobbs Public Library</t>
  </si>
  <si>
    <t xml:space="preserve">Hobbs</t>
  </si>
  <si>
    <t xml:space="preserve">Lea</t>
  </si>
  <si>
    <t xml:space="preserve">(575) 397-9328</t>
  </si>
  <si>
    <t xml:space="preserve">NM0019</t>
  </si>
  <si>
    <t xml:space="preserve">Los Alamos County Library System</t>
  </si>
  <si>
    <t xml:space="preserve">Los Alamos</t>
  </si>
  <si>
    <t xml:space="preserve">(505) 662-8240</t>
  </si>
  <si>
    <t xml:space="preserve">NM0025</t>
  </si>
  <si>
    <t xml:space="preserve">Los Lunas Public Library</t>
  </si>
  <si>
    <t xml:space="preserve">Los Lunas</t>
  </si>
  <si>
    <t xml:space="preserve">Valencia</t>
  </si>
  <si>
    <t xml:space="preserve">(505) 839-3850</t>
  </si>
  <si>
    <t xml:space="preserve">NM0026</t>
  </si>
  <si>
    <t xml:space="preserve">Lovington Public Library</t>
  </si>
  <si>
    <t xml:space="preserve">Lovington</t>
  </si>
  <si>
    <t xml:space="preserve">(505) 396-3144</t>
  </si>
  <si>
    <t xml:space="preserve">NM0027</t>
  </si>
  <si>
    <t xml:space="preserve">Marshall Memorial Library</t>
  </si>
  <si>
    <t xml:space="preserve">Deming</t>
  </si>
  <si>
    <t xml:space="preserve">Luna</t>
  </si>
  <si>
    <t xml:space="preserve">(575) 546-9202</t>
  </si>
  <si>
    <t xml:space="preserve">NM0011</t>
  </si>
  <si>
    <t xml:space="preserve">Octavia Fellin Public Library</t>
  </si>
  <si>
    <t xml:space="preserve">Gallup</t>
  </si>
  <si>
    <t xml:space="preserve">Mckinley</t>
  </si>
  <si>
    <t xml:space="preserve">(505) 863-1291</t>
  </si>
  <si>
    <t xml:space="preserve">NM0016</t>
  </si>
  <si>
    <t xml:space="preserve">Portales Public Library</t>
  </si>
  <si>
    <t xml:space="preserve">Portales</t>
  </si>
  <si>
    <t xml:space="preserve">(575) 356-3940</t>
  </si>
  <si>
    <t xml:space="preserve">NM0028</t>
  </si>
  <si>
    <t xml:space="preserve">Rio Rancho Public Library</t>
  </si>
  <si>
    <t xml:space="preserve">Rio Rancho</t>
  </si>
  <si>
    <t xml:space="preserve">Sandoval</t>
  </si>
  <si>
    <t xml:space="preserve">(505) 891-5013</t>
  </si>
  <si>
    <t xml:space="preserve">NM0030</t>
  </si>
  <si>
    <t xml:space="preserve">Roswell Public Library</t>
  </si>
  <si>
    <t xml:space="preserve">Roswell</t>
  </si>
  <si>
    <t xml:space="preserve">Chaves</t>
  </si>
  <si>
    <t xml:space="preserve">(575) 622-7101</t>
  </si>
  <si>
    <t xml:space="preserve">NM0031</t>
  </si>
  <si>
    <t xml:space="preserve">Santa Fe Public Library</t>
  </si>
  <si>
    <t xml:space="preserve">Santa Fe</t>
  </si>
  <si>
    <t xml:space="preserve">(505) 955-6780</t>
  </si>
  <si>
    <t xml:space="preserve">NM0033</t>
  </si>
  <si>
    <t xml:space="preserve">Silver City Public Library</t>
  </si>
  <si>
    <t xml:space="preserve">Silver City</t>
  </si>
  <si>
    <t xml:space="preserve">(575) 538-3672</t>
  </si>
  <si>
    <t xml:space="preserve">NM0035</t>
  </si>
  <si>
    <t xml:space="preserve">Sunland Park Community Library</t>
  </si>
  <si>
    <t xml:space="preserve">Sunland Park</t>
  </si>
  <si>
    <t xml:space="preserve">Dona Ana</t>
  </si>
  <si>
    <t xml:space="preserve">(575) 874-0873</t>
  </si>
  <si>
    <t xml:space="preserve">NM0116</t>
  </si>
  <si>
    <t xml:space="preserve">Thomas Branigan Memorial Library</t>
  </si>
  <si>
    <t xml:space="preserve">Las Cruces</t>
  </si>
  <si>
    <t xml:space="preserve">(575) 528-4000</t>
  </si>
  <si>
    <t xml:space="preserve">NM0022</t>
  </si>
  <si>
    <t xml:space="preserve">NV</t>
  </si>
  <si>
    <t xml:space="preserve">Boulder City Library District</t>
  </si>
  <si>
    <t xml:space="preserve">Boulder City</t>
  </si>
  <si>
    <t xml:space="preserve">(702) 293-1281</t>
  </si>
  <si>
    <t xml:space="preserve">NV0003</t>
  </si>
  <si>
    <t xml:space="preserve">Carson City Library</t>
  </si>
  <si>
    <t xml:space="preserve">(775) 887-2244</t>
  </si>
  <si>
    <t xml:space="preserve">NV0019</t>
  </si>
  <si>
    <t xml:space="preserve">Churchill County Library</t>
  </si>
  <si>
    <t xml:space="preserve">Fallon</t>
  </si>
  <si>
    <t xml:space="preserve">Churchill</t>
  </si>
  <si>
    <t xml:space="preserve">(775) 423-7581</t>
  </si>
  <si>
    <t xml:space="preserve">NV0004</t>
  </si>
  <si>
    <t xml:space="preserve">(775) 782-9841</t>
  </si>
  <si>
    <t xml:space="preserve">NV0006</t>
  </si>
  <si>
    <t xml:space="preserve">Elko-Lander-Eureka County Library System</t>
  </si>
  <si>
    <t xml:space="preserve">Elko</t>
  </si>
  <si>
    <t xml:space="preserve">(775) 738-3066</t>
  </si>
  <si>
    <t xml:space="preserve">NV0007</t>
  </si>
  <si>
    <t xml:space="preserve">Henderson District Public Libraries</t>
  </si>
  <si>
    <t xml:space="preserve">(702) 707-2665</t>
  </si>
  <si>
    <t xml:space="preserve">NV0012</t>
  </si>
  <si>
    <t xml:space="preserve">Winnemucca</t>
  </si>
  <si>
    <t xml:space="preserve">(775) 623-6388</t>
  </si>
  <si>
    <t xml:space="preserve">NV0013</t>
  </si>
  <si>
    <t xml:space="preserve">Las Vegas-Clark County Library District</t>
  </si>
  <si>
    <t xml:space="preserve">(702) 734-7323</t>
  </si>
  <si>
    <t xml:space="preserve">NV0008</t>
  </si>
  <si>
    <t xml:space="preserve">Lyon County Library System</t>
  </si>
  <si>
    <t xml:space="preserve">Yerington</t>
  </si>
  <si>
    <t xml:space="preserve">(775) 463-6645</t>
  </si>
  <si>
    <t xml:space="preserve">NV0015</t>
  </si>
  <si>
    <t xml:space="preserve">North Las Vegas Library District</t>
  </si>
  <si>
    <t xml:space="preserve">North Las Vegas</t>
  </si>
  <si>
    <t xml:space="preserve">(702) 633-1070</t>
  </si>
  <si>
    <t xml:space="preserve">NV0018</t>
  </si>
  <si>
    <t xml:space="preserve">Pahrump Community Library</t>
  </si>
  <si>
    <t xml:space="preserve">Pahrump</t>
  </si>
  <si>
    <t xml:space="preserve">Nye</t>
  </si>
  <si>
    <t xml:space="preserve">(775) 727-5930</t>
  </si>
  <si>
    <t xml:space="preserve">NV0005</t>
  </si>
  <si>
    <t xml:space="preserve">Washoe County Library System</t>
  </si>
  <si>
    <t xml:space="preserve">Washoe</t>
  </si>
  <si>
    <t xml:space="preserve">(775) 327-8341</t>
  </si>
  <si>
    <t xml:space="preserve">NV0025</t>
  </si>
  <si>
    <t xml:space="preserve">White Pine County Library</t>
  </si>
  <si>
    <t xml:space="preserve">Ely</t>
  </si>
  <si>
    <t xml:space="preserve">White Pine</t>
  </si>
  <si>
    <t xml:space="preserve">(775) 293-6900</t>
  </si>
  <si>
    <t xml:space="preserve">NV0026</t>
  </si>
  <si>
    <t xml:space="preserve">NY</t>
  </si>
  <si>
    <t xml:space="preserve">Albany Public Library</t>
  </si>
  <si>
    <t xml:space="preserve">(518) 427-4300</t>
  </si>
  <si>
    <t xml:space="preserve">NY0697</t>
  </si>
  <si>
    <t xml:space="preserve">Albert Wisner Public Library</t>
  </si>
  <si>
    <t xml:space="preserve">Warwick</t>
  </si>
  <si>
    <t xml:space="preserve">(845) 986-1047</t>
  </si>
  <si>
    <t xml:space="preserve">NY0580</t>
  </si>
  <si>
    <t xml:space="preserve">Amherst Public Library</t>
  </si>
  <si>
    <t xml:space="preserve">Erie</t>
  </si>
  <si>
    <t xml:space="preserve">(716) 688-4919</t>
  </si>
  <si>
    <t xml:space="preserve">NY0027</t>
  </si>
  <si>
    <t xml:space="preserve">Amityville Public Library</t>
  </si>
  <si>
    <t xml:space="preserve">Amityville</t>
  </si>
  <si>
    <t xml:space="preserve">(631) 264-0567</t>
  </si>
  <si>
    <t xml:space="preserve">NY0643</t>
  </si>
  <si>
    <t xml:space="preserve">Amsterdam Free Library</t>
  </si>
  <si>
    <t xml:space="preserve">Amsterdam</t>
  </si>
  <si>
    <t xml:space="preserve">(518) 842-1080</t>
  </si>
  <si>
    <t xml:space="preserve">NY0321</t>
  </si>
  <si>
    <t xml:space="preserve">Aurora Town Public Library</t>
  </si>
  <si>
    <t xml:space="preserve">East Aurora</t>
  </si>
  <si>
    <t xml:space="preserve">(716) 652-4440</t>
  </si>
  <si>
    <t xml:space="preserve">NY0013</t>
  </si>
  <si>
    <t xml:space="preserve">Babylon School District Public Library</t>
  </si>
  <si>
    <t xml:space="preserve">Babylon</t>
  </si>
  <si>
    <t xml:space="preserve">(631) 669-1624</t>
  </si>
  <si>
    <t xml:space="preserve">NY0644</t>
  </si>
  <si>
    <t xml:space="preserve">(516) 223-6228</t>
  </si>
  <si>
    <t xml:space="preserve">NY0334</t>
  </si>
  <si>
    <t xml:space="preserve">Baldwinsville Public Library</t>
  </si>
  <si>
    <t xml:space="preserve">Baldwinsville</t>
  </si>
  <si>
    <t xml:space="preserve">Onondaga</t>
  </si>
  <si>
    <t xml:space="preserve">(315) 635-5631</t>
  </si>
  <si>
    <t xml:space="preserve">NY0477</t>
  </si>
  <si>
    <t xml:space="preserve">Ballston Community Public Library</t>
  </si>
  <si>
    <t xml:space="preserve">Burnt Hills</t>
  </si>
  <si>
    <t xml:space="preserve">Saratoga</t>
  </si>
  <si>
    <t xml:space="preserve">(518) 399-8174</t>
  </si>
  <si>
    <t xml:space="preserve">NY0615</t>
  </si>
  <si>
    <t xml:space="preserve">Bay Shore-Brightwaters Public Library</t>
  </si>
  <si>
    <t xml:space="preserve">Brightwaters</t>
  </si>
  <si>
    <t xml:space="preserve">(631) 665-4350</t>
  </si>
  <si>
    <t xml:space="preserve">NY0650</t>
  </si>
  <si>
    <t xml:space="preserve">Bayport-Blue Point Public Library</t>
  </si>
  <si>
    <t xml:space="preserve">Blue Point</t>
  </si>
  <si>
    <t xml:space="preserve">(631) 363-6133</t>
  </si>
  <si>
    <t xml:space="preserve">NY0646</t>
  </si>
  <si>
    <t xml:space="preserve">Beekman Library</t>
  </si>
  <si>
    <t xml:space="preserve">Hopewell Junction</t>
  </si>
  <si>
    <t xml:space="preserve">Dutchess</t>
  </si>
  <si>
    <t xml:space="preserve">(845) 724-3414</t>
  </si>
  <si>
    <t xml:space="preserve">NY0232</t>
  </si>
  <si>
    <t xml:space="preserve">Bellmore Memorial Library</t>
  </si>
  <si>
    <t xml:space="preserve">Bellmore</t>
  </si>
  <si>
    <t xml:space="preserve">(516) 785-2990</t>
  </si>
  <si>
    <t xml:space="preserve">NY0336</t>
  </si>
  <si>
    <t xml:space="preserve">Bethlehem Public Library</t>
  </si>
  <si>
    <t xml:space="preserve">Delmar</t>
  </si>
  <si>
    <t xml:space="preserve">(518) 439-9314</t>
  </si>
  <si>
    <t xml:space="preserve">NY0702</t>
  </si>
  <si>
    <t xml:space="preserve">Bethpage Public Library</t>
  </si>
  <si>
    <t xml:space="preserve">Bethpage</t>
  </si>
  <si>
    <t xml:space="preserve">(516) 931-3907</t>
  </si>
  <si>
    <t xml:space="preserve">NY0337</t>
  </si>
  <si>
    <t xml:space="preserve">Blodgett Memorial Library District Of Fishkill</t>
  </si>
  <si>
    <t xml:space="preserve">Fishkill</t>
  </si>
  <si>
    <t xml:space="preserve">(845) 896-9215</t>
  </si>
  <si>
    <t xml:space="preserve">NY0223</t>
  </si>
  <si>
    <t xml:space="preserve">Boston Free Library</t>
  </si>
  <si>
    <t xml:space="preserve">(716) 941-3516</t>
  </si>
  <si>
    <t xml:space="preserve">NY0009</t>
  </si>
  <si>
    <t xml:space="preserve">Brentwood Public Library</t>
  </si>
  <si>
    <t xml:space="preserve">Brentwood</t>
  </si>
  <si>
    <t xml:space="preserve">(631) 273-7883</t>
  </si>
  <si>
    <t xml:space="preserve">NY0648</t>
  </si>
  <si>
    <t xml:space="preserve">Brewster Public Library</t>
  </si>
  <si>
    <t xml:space="preserve">(845) 279-6421</t>
  </si>
  <si>
    <t xml:space="preserve">NY0248</t>
  </si>
  <si>
    <t xml:space="preserve">Brighton Memorial Library</t>
  </si>
  <si>
    <t xml:space="preserve">(585) 784-5300</t>
  </si>
  <si>
    <t xml:space="preserve">NY0507</t>
  </si>
  <si>
    <t xml:space="preserve">Brookhaven Free Library</t>
  </si>
  <si>
    <t xml:space="preserve">(631) 286-1923</t>
  </si>
  <si>
    <t xml:space="preserve">NY0651</t>
  </si>
  <si>
    <t xml:space="preserve">Brooklyn Public Library</t>
  </si>
  <si>
    <t xml:space="preserve">Brooklyn</t>
  </si>
  <si>
    <t xml:space="preserve">(718) 230-2404</t>
  </si>
  <si>
    <t xml:space="preserve">NY0004</t>
  </si>
  <si>
    <t xml:space="preserve">Broome County Public Library</t>
  </si>
  <si>
    <t xml:space="preserve">Binghamton</t>
  </si>
  <si>
    <t xml:space="preserve">Broome</t>
  </si>
  <si>
    <t xml:space="preserve">(607) 778-6400</t>
  </si>
  <si>
    <t xml:space="preserve">NY0164</t>
  </si>
  <si>
    <t xml:space="preserve">Brunswick Community Library</t>
  </si>
  <si>
    <t xml:space="preserve">(518) 279-4023</t>
  </si>
  <si>
    <t xml:space="preserve">NY0775</t>
  </si>
  <si>
    <t xml:space="preserve">Bryant Library</t>
  </si>
  <si>
    <t xml:space="preserve">Roslyn</t>
  </si>
  <si>
    <t xml:space="preserve">(516) 621-2240</t>
  </si>
  <si>
    <t xml:space="preserve">NY0377</t>
  </si>
  <si>
    <t xml:space="preserve">Buffalo And Erie County Public Library</t>
  </si>
  <si>
    <t xml:space="preserve">(716) 858-8900</t>
  </si>
  <si>
    <t xml:space="preserve">NY0005</t>
  </si>
  <si>
    <t xml:space="preserve">Canton Free Library</t>
  </si>
  <si>
    <t xml:space="preserve">St. Lawrence</t>
  </si>
  <si>
    <t xml:space="preserve">(315) 386-3712</t>
  </si>
  <si>
    <t xml:space="preserve">NY0457</t>
  </si>
  <si>
    <t xml:space="preserve">Catskill Public Library</t>
  </si>
  <si>
    <t xml:space="preserve">Catskill</t>
  </si>
  <si>
    <t xml:space="preserve">(518) 943-4230</t>
  </si>
  <si>
    <t xml:space="preserve">NY0242</t>
  </si>
  <si>
    <t xml:space="preserve">Central Islip Public Library</t>
  </si>
  <si>
    <t xml:space="preserve">Central Islip</t>
  </si>
  <si>
    <t xml:space="preserve">(631) 234-9333</t>
  </si>
  <si>
    <t xml:space="preserve">NY0655</t>
  </si>
  <si>
    <t xml:space="preserve">Chappaqua Central Sch Dist P L</t>
  </si>
  <si>
    <t xml:space="preserve">Chappaqua</t>
  </si>
  <si>
    <t xml:space="preserve">(914) 238-4779</t>
  </si>
  <si>
    <t xml:space="preserve">NY0731</t>
  </si>
  <si>
    <t xml:space="preserve">Cheektowaga Public Library</t>
  </si>
  <si>
    <t xml:space="preserve">Cheektowaga</t>
  </si>
  <si>
    <t xml:space="preserve">(716) 668-4991</t>
  </si>
  <si>
    <t xml:space="preserve">NY0010</t>
  </si>
  <si>
    <t xml:space="preserve">Chemung County Library District</t>
  </si>
  <si>
    <t xml:space="preserve">Elmira</t>
  </si>
  <si>
    <t xml:space="preserve">Chemung</t>
  </si>
  <si>
    <t xml:space="preserve">(607) 733-9173</t>
  </si>
  <si>
    <t xml:space="preserve">NY0794</t>
  </si>
  <si>
    <t xml:space="preserve">Chester Public Library</t>
  </si>
  <si>
    <t xml:space="preserve">Chester</t>
  </si>
  <si>
    <t xml:space="preserve">(845) 469-4252</t>
  </si>
  <si>
    <t xml:space="preserve">NY0565</t>
  </si>
  <si>
    <t xml:space="preserve">Chili Public Library</t>
  </si>
  <si>
    <t xml:space="preserve">(585) 889-2200</t>
  </si>
  <si>
    <t xml:space="preserve">NY0509</t>
  </si>
  <si>
    <t xml:space="preserve">City Of Tonawanda Public Library</t>
  </si>
  <si>
    <t xml:space="preserve">Tonawanda</t>
  </si>
  <si>
    <t xml:space="preserve">(716) 693-5043</t>
  </si>
  <si>
    <t xml:space="preserve">NY0026</t>
  </si>
  <si>
    <t xml:space="preserve">Clarence Public Library</t>
  </si>
  <si>
    <t xml:space="preserve">Clarence</t>
  </si>
  <si>
    <t xml:space="preserve">(716) 741-2650</t>
  </si>
  <si>
    <t xml:space="preserve">NY0011</t>
  </si>
  <si>
    <t xml:space="preserve">Clifton Park-Halfmoon Public Library</t>
  </si>
  <si>
    <t xml:space="preserve">Clifton Park</t>
  </si>
  <si>
    <t xml:space="preserve">(518) 371-8622</t>
  </si>
  <si>
    <t xml:space="preserve">NY0616</t>
  </si>
  <si>
    <t xml:space="preserve">Cohoes Public Library</t>
  </si>
  <si>
    <t xml:space="preserve">Cohoes</t>
  </si>
  <si>
    <t xml:space="preserve">(518) 235-2570</t>
  </si>
  <si>
    <t xml:space="preserve">NY0700</t>
  </si>
  <si>
    <t xml:space="preserve">Commack Public Library District</t>
  </si>
  <si>
    <t xml:space="preserve">Commack</t>
  </si>
  <si>
    <t xml:space="preserve">(631) 499-0888</t>
  </si>
  <si>
    <t xml:space="preserve">NY0657</t>
  </si>
  <si>
    <t xml:space="preserve">Community Library Of Dewitt &amp; Jamesville</t>
  </si>
  <si>
    <t xml:space="preserve">Jamesville</t>
  </si>
  <si>
    <t xml:space="preserve">(315) 446-3578</t>
  </si>
  <si>
    <t xml:space="preserve">NY0481</t>
  </si>
  <si>
    <t xml:space="preserve">Comsewogue Public Library</t>
  </si>
  <si>
    <t xml:space="preserve">Port Jefferson Stati</t>
  </si>
  <si>
    <t xml:space="preserve">(631) 928-1212</t>
  </si>
  <si>
    <t xml:space="preserve">NY0680</t>
  </si>
  <si>
    <t xml:space="preserve">Connetquot Public Library</t>
  </si>
  <si>
    <t xml:space="preserve">Bohemia</t>
  </si>
  <si>
    <t xml:space="preserve">(631) 567-5079</t>
  </si>
  <si>
    <t xml:space="preserve">NY0647</t>
  </si>
  <si>
    <t xml:space="preserve">Copiague Memorial Public Library</t>
  </si>
  <si>
    <t xml:space="preserve">Copiague</t>
  </si>
  <si>
    <t xml:space="preserve">(631) 691-1111</t>
  </si>
  <si>
    <t xml:space="preserve">NY0658</t>
  </si>
  <si>
    <t xml:space="preserve">Cornwall Public Library</t>
  </si>
  <si>
    <t xml:space="preserve">Cornwall</t>
  </si>
  <si>
    <t xml:space="preserve">(845) 534-8282</t>
  </si>
  <si>
    <t xml:space="preserve">NY0566</t>
  </si>
  <si>
    <t xml:space="preserve">Cortland Free Library</t>
  </si>
  <si>
    <t xml:space="preserve">Cortland</t>
  </si>
  <si>
    <t xml:space="preserve">(607) 753-1042</t>
  </si>
  <si>
    <t xml:space="preserve">NY0143</t>
  </si>
  <si>
    <t xml:space="preserve">Crandall Public Library</t>
  </si>
  <si>
    <t xml:space="preserve">Glens Falls</t>
  </si>
  <si>
    <t xml:space="preserve">(518) 792-6508</t>
  </si>
  <si>
    <t xml:space="preserve">NY0626</t>
  </si>
  <si>
    <t xml:space="preserve">Deer Park Public Library</t>
  </si>
  <si>
    <t xml:space="preserve">Deer Park</t>
  </si>
  <si>
    <t xml:space="preserve">(631) 586-3000</t>
  </si>
  <si>
    <t xml:space="preserve">NY0660</t>
  </si>
  <si>
    <t xml:space="preserve">Dobbs Ferry Public Library</t>
  </si>
  <si>
    <t xml:space="preserve">Dobbs Ferry</t>
  </si>
  <si>
    <t xml:space="preserve">(914) 693-6614</t>
  </si>
  <si>
    <t xml:space="preserve">NY0733</t>
  </si>
  <si>
    <t xml:space="preserve">Dormann Library</t>
  </si>
  <si>
    <t xml:space="preserve">(607) 776-4613</t>
  </si>
  <si>
    <t xml:space="preserve">NY0086</t>
  </si>
  <si>
    <t xml:space="preserve">Dunham Public Library</t>
  </si>
  <si>
    <t xml:space="preserve">Whitesboro</t>
  </si>
  <si>
    <t xml:space="preserve">Oneida</t>
  </si>
  <si>
    <t xml:space="preserve">(315) 736-9734</t>
  </si>
  <si>
    <t xml:space="preserve">NY0315</t>
  </si>
  <si>
    <t xml:space="preserve">Dunkirk Public Library</t>
  </si>
  <si>
    <t xml:space="preserve">Dunkirk</t>
  </si>
  <si>
    <t xml:space="preserve">Chautauqua</t>
  </si>
  <si>
    <t xml:space="preserve">(716) 366-2511</t>
  </si>
  <si>
    <t xml:space="preserve">NY0048</t>
  </si>
  <si>
    <t xml:space="preserve">East Fishkill Public Library District</t>
  </si>
  <si>
    <t xml:space="preserve">(845) 221-9943</t>
  </si>
  <si>
    <t xml:space="preserve">NY0222</t>
  </si>
  <si>
    <t xml:space="preserve">East Greenbush Community Library</t>
  </si>
  <si>
    <t xml:space="preserve">East Greenbush</t>
  </si>
  <si>
    <t xml:space="preserve">(518) 477-7476</t>
  </si>
  <si>
    <t xml:space="preserve">NY0712</t>
  </si>
  <si>
    <t xml:space="preserve">East Hampton Library</t>
  </si>
  <si>
    <t xml:space="preserve">(631) 324-0222</t>
  </si>
  <si>
    <t xml:space="preserve">NY0662</t>
  </si>
  <si>
    <t xml:space="preserve">East Islip Public Library</t>
  </si>
  <si>
    <t xml:space="preserve">East Islip</t>
  </si>
  <si>
    <t xml:space="preserve">(631) 581-9200</t>
  </si>
  <si>
    <t xml:space="preserve">NY0663</t>
  </si>
  <si>
    <t xml:space="preserve">East Meadow Public Library</t>
  </si>
  <si>
    <t xml:space="preserve">East Meadow</t>
  </si>
  <si>
    <t xml:space="preserve">(516) 794-2570</t>
  </si>
  <si>
    <t xml:space="preserve">NY0338</t>
  </si>
  <si>
    <t xml:space="preserve">East Rockaway Public Library</t>
  </si>
  <si>
    <t xml:space="preserve">East Rockaway</t>
  </si>
  <si>
    <t xml:space="preserve">(516) 599-1664</t>
  </si>
  <si>
    <t xml:space="preserve">NY0339</t>
  </si>
  <si>
    <t xml:space="preserve">Eastchester Public Library</t>
  </si>
  <si>
    <t xml:space="preserve">Eastchester</t>
  </si>
  <si>
    <t xml:space="preserve">(914) 793-5055</t>
  </si>
  <si>
    <t xml:space="preserve">NY0734</t>
  </si>
  <si>
    <t xml:space="preserve">Ellenville Public Library And Museum</t>
  </si>
  <si>
    <t xml:space="preserve">Ellenville</t>
  </si>
  <si>
    <t xml:space="preserve">Ulster</t>
  </si>
  <si>
    <t xml:space="preserve">(845) 647-5530</t>
  </si>
  <si>
    <t xml:space="preserve">NY0609</t>
  </si>
  <si>
    <t xml:space="preserve">Elma Public Library</t>
  </si>
  <si>
    <t xml:space="preserve">Elma</t>
  </si>
  <si>
    <t xml:space="preserve">(716) 652-2719</t>
  </si>
  <si>
    <t xml:space="preserve">NY0015</t>
  </si>
  <si>
    <t xml:space="preserve">Elmont Public Library</t>
  </si>
  <si>
    <t xml:space="preserve">Elmont</t>
  </si>
  <si>
    <t xml:space="preserve">(516) 354-5280</t>
  </si>
  <si>
    <t xml:space="preserve">NY0341</t>
  </si>
  <si>
    <t xml:space="preserve">Elting Memorial Library</t>
  </si>
  <si>
    <t xml:space="preserve">New Paltz</t>
  </si>
  <si>
    <t xml:space="preserve">(845) 255-5030</t>
  </si>
  <si>
    <t xml:space="preserve">NY0263</t>
  </si>
  <si>
    <t xml:space="preserve">Elwood Public Library</t>
  </si>
  <si>
    <t xml:space="preserve">(631) 499-3722</t>
  </si>
  <si>
    <t xml:space="preserve">NY0791</t>
  </si>
  <si>
    <t xml:space="preserve">Emma S. Clark Memorial Library</t>
  </si>
  <si>
    <t xml:space="preserve">Setauket</t>
  </si>
  <si>
    <t xml:space="preserve">(631) 941-4080</t>
  </si>
  <si>
    <t xml:space="preserve">NY0685</t>
  </si>
  <si>
    <t xml:space="preserve">Ethelbert B. Crawford Public Library</t>
  </si>
  <si>
    <t xml:space="preserve">(845) 794-4660</t>
  </si>
  <si>
    <t xml:space="preserve">NY0606</t>
  </si>
  <si>
    <t xml:space="preserve">Fairport Public Library</t>
  </si>
  <si>
    <t xml:space="preserve">Fairport</t>
  </si>
  <si>
    <t xml:space="preserve">(585) 223-9091</t>
  </si>
  <si>
    <t xml:space="preserve">NY0512</t>
  </si>
  <si>
    <t xml:space="preserve">Fallsburg Library</t>
  </si>
  <si>
    <t xml:space="preserve">South Fallsburg</t>
  </si>
  <si>
    <t xml:space="preserve">(845) 436-6067</t>
  </si>
  <si>
    <t xml:space="preserve">NY9014</t>
  </si>
  <si>
    <t xml:space="preserve">Farmingdale Public Library</t>
  </si>
  <si>
    <t xml:space="preserve">Farmingdale</t>
  </si>
  <si>
    <t xml:space="preserve">(516) 249-9090</t>
  </si>
  <si>
    <t xml:space="preserve">NY0342</t>
  </si>
  <si>
    <t xml:space="preserve">Fayetteville Free Library</t>
  </si>
  <si>
    <t xml:space="preserve">(315) 637-6374</t>
  </si>
  <si>
    <t xml:space="preserve">NY0485</t>
  </si>
  <si>
    <t xml:space="preserve">Finkelstein Memorial Library</t>
  </si>
  <si>
    <t xml:space="preserve">Spring Valley</t>
  </si>
  <si>
    <t xml:space="preserve">(845) 352-5700</t>
  </si>
  <si>
    <t xml:space="preserve">NY0592</t>
  </si>
  <si>
    <t xml:space="preserve">Floral Park Public Library</t>
  </si>
  <si>
    <t xml:space="preserve">Floral Park</t>
  </si>
  <si>
    <t xml:space="preserve">(516) 326-6330</t>
  </si>
  <si>
    <t xml:space="preserve">NY0343</t>
  </si>
  <si>
    <t xml:space="preserve">Franklin Square Public Library</t>
  </si>
  <si>
    <t xml:space="preserve">Franklin Square</t>
  </si>
  <si>
    <t xml:space="preserve">(516) 488-3444</t>
  </si>
  <si>
    <t xml:space="preserve">NY0344</t>
  </si>
  <si>
    <t xml:space="preserve">Freeport Memorial Library</t>
  </si>
  <si>
    <t xml:space="preserve">(516) 379-3274</t>
  </si>
  <si>
    <t xml:space="preserve">NY0345</t>
  </si>
  <si>
    <t xml:space="preserve">Fulton Public Library</t>
  </si>
  <si>
    <t xml:space="preserve">(315) 592-5159</t>
  </si>
  <si>
    <t xml:space="preserve">NY0448</t>
  </si>
  <si>
    <t xml:space="preserve">(516) 742-8405</t>
  </si>
  <si>
    <t xml:space="preserve">NY0346</t>
  </si>
  <si>
    <t xml:space="preserve">Gates Public Library</t>
  </si>
  <si>
    <t xml:space="preserve">(585) 247-6446</t>
  </si>
  <si>
    <t xml:space="preserve">NY0513</t>
  </si>
  <si>
    <t xml:space="preserve">Geneva Public Library</t>
  </si>
  <si>
    <t xml:space="preserve">(315) 789-5303</t>
  </si>
  <si>
    <t xml:space="preserve">NY0532</t>
  </si>
  <si>
    <t xml:space="preserve">George F. Johnson Memorial Library</t>
  </si>
  <si>
    <t xml:space="preserve">Endicott</t>
  </si>
  <si>
    <t xml:space="preserve">(607) 757-5350</t>
  </si>
  <si>
    <t xml:space="preserve">NY0166</t>
  </si>
  <si>
    <t xml:space="preserve">Glen Cove Public Library</t>
  </si>
  <si>
    <t xml:space="preserve">Glen Cove</t>
  </si>
  <si>
    <t xml:space="preserve">(516) 676-2130</t>
  </si>
  <si>
    <t xml:space="preserve">NY0347</t>
  </si>
  <si>
    <t xml:space="preserve">Gloversville Public Library</t>
  </si>
  <si>
    <t xml:space="preserve">Gloversville</t>
  </si>
  <si>
    <t xml:space="preserve">(518) 725-2819</t>
  </si>
  <si>
    <t xml:space="preserve">NY0318</t>
  </si>
  <si>
    <t xml:space="preserve">Gold Coast Public Library District</t>
  </si>
  <si>
    <t xml:space="preserve">Glen Head</t>
  </si>
  <si>
    <t xml:space="preserve">(516) 759-8300</t>
  </si>
  <si>
    <t xml:space="preserve">NY0792</t>
  </si>
  <si>
    <t xml:space="preserve">Goshen Public Library And Historical Society</t>
  </si>
  <si>
    <t xml:space="preserve">(845) 294-6606</t>
  </si>
  <si>
    <t xml:space="preserve">NY0568</t>
  </si>
  <si>
    <t xml:space="preserve">Grand Island Memorial Library</t>
  </si>
  <si>
    <t xml:space="preserve">(716) 773-7124</t>
  </si>
  <si>
    <t xml:space="preserve">NY0017</t>
  </si>
  <si>
    <t xml:space="preserve">Great Neck Library</t>
  </si>
  <si>
    <t xml:space="preserve">Great Neck</t>
  </si>
  <si>
    <t xml:space="preserve">(516) 466-8055</t>
  </si>
  <si>
    <t xml:space="preserve">NY0348</t>
  </si>
  <si>
    <t xml:space="preserve">Greater Poughkeepsie Library District</t>
  </si>
  <si>
    <t xml:space="preserve">Poughkeepsie</t>
  </si>
  <si>
    <t xml:space="preserve">(845) 485-3445</t>
  </si>
  <si>
    <t xml:space="preserve">NY0230</t>
  </si>
  <si>
    <t xml:space="preserve">Greece Public Library</t>
  </si>
  <si>
    <t xml:space="preserve">Greece</t>
  </si>
  <si>
    <t xml:space="preserve">(585) 225-8951</t>
  </si>
  <si>
    <t xml:space="preserve">NY0514</t>
  </si>
  <si>
    <t xml:space="preserve">Greenburgh Public Library</t>
  </si>
  <si>
    <t xml:space="preserve">Elmsford</t>
  </si>
  <si>
    <t xml:space="preserve">(914) 721-8200</t>
  </si>
  <si>
    <t xml:space="preserve">NY0735</t>
  </si>
  <si>
    <t xml:space="preserve">Grinnell Public Library District</t>
  </si>
  <si>
    <t xml:space="preserve">Wappingers Falls</t>
  </si>
  <si>
    <t xml:space="preserve">(845) 297-3428</t>
  </si>
  <si>
    <t xml:space="preserve">NY0239</t>
  </si>
  <si>
    <t xml:space="preserve">Guernsey Memorial Library Of Norwich</t>
  </si>
  <si>
    <t xml:space="preserve">Chenango</t>
  </si>
  <si>
    <t xml:space="preserve">(607) 334-4034</t>
  </si>
  <si>
    <t xml:space="preserve">NY0177</t>
  </si>
  <si>
    <t xml:space="preserve">Guilderland Public Library</t>
  </si>
  <si>
    <t xml:space="preserve">Guilderland</t>
  </si>
  <si>
    <t xml:space="preserve">(518) 456-2400</t>
  </si>
  <si>
    <t xml:space="preserve">NY0703</t>
  </si>
  <si>
    <t xml:space="preserve">Half Hollow Hills Community Public Library</t>
  </si>
  <si>
    <t xml:space="preserve">Dix Hills</t>
  </si>
  <si>
    <t xml:space="preserve">(631) 421-4530</t>
  </si>
  <si>
    <t xml:space="preserve">NY0661</t>
  </si>
  <si>
    <t xml:space="preserve">Hamburg Public Library</t>
  </si>
  <si>
    <t xml:space="preserve">(716) 649-4415</t>
  </si>
  <si>
    <t xml:space="preserve">NY0018</t>
  </si>
  <si>
    <t xml:space="preserve">Hampton Bays Public Library</t>
  </si>
  <si>
    <t xml:space="preserve">Hampton Bays</t>
  </si>
  <si>
    <t xml:space="preserve">(631) 728-6241</t>
  </si>
  <si>
    <t xml:space="preserve">NY0667</t>
  </si>
  <si>
    <t xml:space="preserve">Harborfields Public Library</t>
  </si>
  <si>
    <t xml:space="preserve">Greenlawn</t>
  </si>
  <si>
    <t xml:space="preserve">(631) 757-4200</t>
  </si>
  <si>
    <t xml:space="preserve">NY0665</t>
  </si>
  <si>
    <t xml:space="preserve">(914) 835-0324</t>
  </si>
  <si>
    <t xml:space="preserve">NY0736</t>
  </si>
  <si>
    <t xml:space="preserve">Hauppauge Public Library</t>
  </si>
  <si>
    <t xml:space="preserve">Hauppauge</t>
  </si>
  <si>
    <t xml:space="preserve">(631) 979-1600</t>
  </si>
  <si>
    <t xml:space="preserve">NY9016</t>
  </si>
  <si>
    <t xml:space="preserve">Haverstraw Kings Daughters Public Library</t>
  </si>
  <si>
    <t xml:space="preserve">Garnerville</t>
  </si>
  <si>
    <t xml:space="preserve">(845) 786-3800</t>
  </si>
  <si>
    <t xml:space="preserve">NY0583</t>
  </si>
  <si>
    <t xml:space="preserve">Hempstead Public Library</t>
  </si>
  <si>
    <t xml:space="preserve">(516) 481-6990</t>
  </si>
  <si>
    <t xml:space="preserve">NY0349</t>
  </si>
  <si>
    <t xml:space="preserve">Hendrick Hudson Free Library</t>
  </si>
  <si>
    <t xml:space="preserve">(914) 739-5654</t>
  </si>
  <si>
    <t xml:space="preserve">NY0742</t>
  </si>
  <si>
    <t xml:space="preserve">Henrietta Public Library</t>
  </si>
  <si>
    <t xml:space="preserve">(585) 359-7093</t>
  </si>
  <si>
    <t xml:space="preserve">NY0515</t>
  </si>
  <si>
    <t xml:space="preserve">Henry Waldinger Memorial Library</t>
  </si>
  <si>
    <t xml:space="preserve">Valley Stream</t>
  </si>
  <si>
    <t xml:space="preserve">(516) 825-6422</t>
  </si>
  <si>
    <t xml:space="preserve">NY0382</t>
  </si>
  <si>
    <t xml:space="preserve">Hewlett-Woodmere Public Library</t>
  </si>
  <si>
    <t xml:space="preserve">Hewlett</t>
  </si>
  <si>
    <t xml:space="preserve">(516) 374-1967</t>
  </si>
  <si>
    <t xml:space="preserve">NY0350</t>
  </si>
  <si>
    <t xml:space="preserve">Hicksville Free Public Library</t>
  </si>
  <si>
    <t xml:space="preserve">Hicksville</t>
  </si>
  <si>
    <t xml:space="preserve">(516) 931-1417</t>
  </si>
  <si>
    <t xml:space="preserve">NY0351</t>
  </si>
  <si>
    <t xml:space="preserve">Highland Public Library</t>
  </si>
  <si>
    <t xml:space="preserve">(845) 691-2275</t>
  </si>
  <si>
    <t xml:space="preserve">NY0256</t>
  </si>
  <si>
    <t xml:space="preserve">Hillside Public Library Of New Hyde Park</t>
  </si>
  <si>
    <t xml:space="preserve">New Hyde Park</t>
  </si>
  <si>
    <t xml:space="preserve">(516) 355-7850</t>
  </si>
  <si>
    <t xml:space="preserve">NY0367</t>
  </si>
  <si>
    <t xml:space="preserve">Hoag Library Of The Swan Library Association</t>
  </si>
  <si>
    <t xml:space="preserve">(585) 589-4246</t>
  </si>
  <si>
    <t xml:space="preserve">NY0407</t>
  </si>
  <si>
    <t xml:space="preserve">Howland Public Library</t>
  </si>
  <si>
    <t xml:space="preserve">Beacon</t>
  </si>
  <si>
    <t xml:space="preserve">(845) 831-1134</t>
  </si>
  <si>
    <t xml:space="preserve">NY0220</t>
  </si>
  <si>
    <t xml:space="preserve">Hudson Area Association Library</t>
  </si>
  <si>
    <t xml:space="preserve">(518) 828-1792</t>
  </si>
  <si>
    <t xml:space="preserve">NY0212</t>
  </si>
  <si>
    <t xml:space="preserve">Hudson Falls Free Library Association</t>
  </si>
  <si>
    <t xml:space="preserve">Hudson Falls</t>
  </si>
  <si>
    <t xml:space="preserve">(518) 747-6406</t>
  </si>
  <si>
    <t xml:space="preserve">NY0638</t>
  </si>
  <si>
    <t xml:space="preserve">Huntington Memorial Library</t>
  </si>
  <si>
    <t xml:space="preserve">(607) 432-1980</t>
  </si>
  <si>
    <t xml:space="preserve">NY0201</t>
  </si>
  <si>
    <t xml:space="preserve">Huntington Public Library</t>
  </si>
  <si>
    <t xml:space="preserve">(631) 427-5165</t>
  </si>
  <si>
    <t xml:space="preserve">NY0669</t>
  </si>
  <si>
    <t xml:space="preserve">Hyde Park Library District</t>
  </si>
  <si>
    <t xml:space="preserve">Hyde Park</t>
  </si>
  <si>
    <t xml:space="preserve">(845) 229-7791</t>
  </si>
  <si>
    <t xml:space="preserve">NY0224</t>
  </si>
  <si>
    <t xml:space="preserve">Irondequoit Public Library</t>
  </si>
  <si>
    <t xml:space="preserve">(585) 336-6062</t>
  </si>
  <si>
    <t xml:space="preserve">NY0518</t>
  </si>
  <si>
    <t xml:space="preserve">Island Trees Public Library</t>
  </si>
  <si>
    <t xml:space="preserve">Levittown</t>
  </si>
  <si>
    <t xml:space="preserve">(516) 731-2211</t>
  </si>
  <si>
    <t xml:space="preserve">NY0353</t>
  </si>
  <si>
    <t xml:space="preserve">Islip Public Library</t>
  </si>
  <si>
    <t xml:space="preserve">Islip</t>
  </si>
  <si>
    <t xml:space="preserve">(631) 581-5933</t>
  </si>
  <si>
    <t xml:space="preserve">NY0671</t>
  </si>
  <si>
    <t xml:space="preserve">James Prendergast Library Association</t>
  </si>
  <si>
    <t xml:space="preserve">(716) 484-7135</t>
  </si>
  <si>
    <t xml:space="preserve">NY0054</t>
  </si>
  <si>
    <t xml:space="preserve">Jericho Public Library</t>
  </si>
  <si>
    <t xml:space="preserve">Jericho</t>
  </si>
  <si>
    <t xml:space="preserve">(516) 935-6790</t>
  </si>
  <si>
    <t xml:space="preserve">NY0354</t>
  </si>
  <si>
    <t xml:space="preserve">John C. Hart Memorial Library</t>
  </si>
  <si>
    <t xml:space="preserve">Shrub Oak</t>
  </si>
  <si>
    <t xml:space="preserve">(914) 245-5262</t>
  </si>
  <si>
    <t xml:space="preserve">NY0762</t>
  </si>
  <si>
    <t xml:space="preserve">Johnstown Public Library</t>
  </si>
  <si>
    <t xml:space="preserve">Johnstown</t>
  </si>
  <si>
    <t xml:space="preserve">(518) 762-8317</t>
  </si>
  <si>
    <t xml:space="preserve">NY0319</t>
  </si>
  <si>
    <t xml:space="preserve">Kent Public Library</t>
  </si>
  <si>
    <t xml:space="preserve">Kent Lakes</t>
  </si>
  <si>
    <t xml:space="preserve">(845) 225-8585</t>
  </si>
  <si>
    <t xml:space="preserve">NY0252</t>
  </si>
  <si>
    <t xml:space="preserve">Kingston Library</t>
  </si>
  <si>
    <t xml:space="preserve">(845) 331-0507</t>
  </si>
  <si>
    <t xml:space="preserve">NY0258</t>
  </si>
  <si>
    <t xml:space="preserve">Kirkland Town Library</t>
  </si>
  <si>
    <t xml:space="preserve">(315) 853-2038</t>
  </si>
  <si>
    <t xml:space="preserve">NY0301</t>
  </si>
  <si>
    <t xml:space="preserve">Lackawanna Public Library</t>
  </si>
  <si>
    <t xml:space="preserve">Lackawanna</t>
  </si>
  <si>
    <t xml:space="preserve">(716) 823-0630</t>
  </si>
  <si>
    <t xml:space="preserve">NY0020</t>
  </si>
  <si>
    <t xml:space="preserve">Lagrange Association Library</t>
  </si>
  <si>
    <t xml:space="preserve">Lagrangeville</t>
  </si>
  <si>
    <t xml:space="preserve">(845) 452-3141</t>
  </si>
  <si>
    <t xml:space="preserve">NY0231</t>
  </si>
  <si>
    <t xml:space="preserve">Lancaster Public Library</t>
  </si>
  <si>
    <t xml:space="preserve">(716) 683-1120</t>
  </si>
  <si>
    <t xml:space="preserve">NY0021</t>
  </si>
  <si>
    <t xml:space="preserve">Larchmont Public Library</t>
  </si>
  <si>
    <t xml:space="preserve">Larchmont</t>
  </si>
  <si>
    <t xml:space="preserve">(914) 834-2281</t>
  </si>
  <si>
    <t xml:space="preserve">NY0740</t>
  </si>
  <si>
    <t xml:space="preserve">Lee-Whedon Memorial Library</t>
  </si>
  <si>
    <t xml:space="preserve">Medina</t>
  </si>
  <si>
    <t xml:space="preserve">(585) 798-3430</t>
  </si>
  <si>
    <t xml:space="preserve">NY0410</t>
  </si>
  <si>
    <t xml:space="preserve">Levittown Public Library</t>
  </si>
  <si>
    <t xml:space="preserve">(516) 731-5728</t>
  </si>
  <si>
    <t xml:space="preserve">NY0357</t>
  </si>
  <si>
    <t xml:space="preserve">Lewisboro Library</t>
  </si>
  <si>
    <t xml:space="preserve">South Salem</t>
  </si>
  <si>
    <t xml:space="preserve">(914) 875-9004</t>
  </si>
  <si>
    <t xml:space="preserve">NY0757</t>
  </si>
  <si>
    <t xml:space="preserve">Niagara</t>
  </si>
  <si>
    <t xml:space="preserve">(716) 754-4720</t>
  </si>
  <si>
    <t xml:space="preserve">NY0397</t>
  </si>
  <si>
    <t xml:space="preserve">Liberty Public Library</t>
  </si>
  <si>
    <t xml:space="preserve">(845) 292-6070</t>
  </si>
  <si>
    <t xml:space="preserve">NY0604</t>
  </si>
  <si>
    <t xml:space="preserve">Lindenhurst Memorial Library</t>
  </si>
  <si>
    <t xml:space="preserve">(631) 957-7755</t>
  </si>
  <si>
    <t xml:space="preserve">NY0672</t>
  </si>
  <si>
    <t xml:space="preserve">Liverpool Public Library</t>
  </si>
  <si>
    <t xml:space="preserve">Liverpool</t>
  </si>
  <si>
    <t xml:space="preserve">(315) 457-0310</t>
  </si>
  <si>
    <t xml:space="preserve">NY0488</t>
  </si>
  <si>
    <t xml:space="preserve">Lockport Public Library</t>
  </si>
  <si>
    <t xml:space="preserve">Lockport</t>
  </si>
  <si>
    <t xml:space="preserve">(716) 433-5935</t>
  </si>
  <si>
    <t xml:space="preserve">NY0398</t>
  </si>
  <si>
    <t xml:space="preserve">(516) 432-7201</t>
  </si>
  <si>
    <t xml:space="preserve">NY0359</t>
  </si>
  <si>
    <t xml:space="preserve">Longwood Public Library</t>
  </si>
  <si>
    <t xml:space="preserve">Middle Island</t>
  </si>
  <si>
    <t xml:space="preserve">(631) 924-6400</t>
  </si>
  <si>
    <t xml:space="preserve">NY0674</t>
  </si>
  <si>
    <t xml:space="preserve">Lynbrook Public Library</t>
  </si>
  <si>
    <t xml:space="preserve">Lynbrook</t>
  </si>
  <si>
    <t xml:space="preserve">(516) 599-8630</t>
  </si>
  <si>
    <t xml:space="preserve">NY0360</t>
  </si>
  <si>
    <t xml:space="preserve">Mahopac Public Library</t>
  </si>
  <si>
    <t xml:space="preserve">Mahopac</t>
  </si>
  <si>
    <t xml:space="preserve">(845) 628-2009</t>
  </si>
  <si>
    <t xml:space="preserve">NY0781</t>
  </si>
  <si>
    <t xml:space="preserve">Mamakating Library</t>
  </si>
  <si>
    <t xml:space="preserve">Wurtsboro</t>
  </si>
  <si>
    <t xml:space="preserve">(845) 888-8004</t>
  </si>
  <si>
    <t xml:space="preserve">NY0599</t>
  </si>
  <si>
    <t xml:space="preserve">Mamaroneck Public Library District</t>
  </si>
  <si>
    <t xml:space="preserve">Mamaroneck</t>
  </si>
  <si>
    <t xml:space="preserve">(914) 698-1250</t>
  </si>
  <si>
    <t xml:space="preserve">NY0741</t>
  </si>
  <si>
    <t xml:space="preserve">Manhasset Public Library</t>
  </si>
  <si>
    <t xml:space="preserve">Manhasset</t>
  </si>
  <si>
    <t xml:space="preserve">(516) 627-2300</t>
  </si>
  <si>
    <t xml:space="preserve">NY0362</t>
  </si>
  <si>
    <t xml:space="preserve">Manlius Library</t>
  </si>
  <si>
    <t xml:space="preserve">Manlius</t>
  </si>
  <si>
    <t xml:space="preserve">(315) 682-6400</t>
  </si>
  <si>
    <t xml:space="preserve">NY0489</t>
  </si>
  <si>
    <t xml:space="preserve">Marlboro Free Library</t>
  </si>
  <si>
    <t xml:space="preserve">Marlboro</t>
  </si>
  <si>
    <t xml:space="preserve">(845) 236-7272</t>
  </si>
  <si>
    <t xml:space="preserve">NY0260</t>
  </si>
  <si>
    <t xml:space="preserve">Massapequa Public Library</t>
  </si>
  <si>
    <t xml:space="preserve">Massapequa Park</t>
  </si>
  <si>
    <t xml:space="preserve">(516) 799-0770</t>
  </si>
  <si>
    <t xml:space="preserve">NY0363</t>
  </si>
  <si>
    <t xml:space="preserve">Massena Public Library</t>
  </si>
  <si>
    <t xml:space="preserve">Massena</t>
  </si>
  <si>
    <t xml:space="preserve">(315) 769-9914</t>
  </si>
  <si>
    <t xml:space="preserve">NY0467</t>
  </si>
  <si>
    <t xml:space="preserve">Mastics-Moriches-Shirley Community Lib</t>
  </si>
  <si>
    <t xml:space="preserve">Shirley</t>
  </si>
  <si>
    <t xml:space="preserve">(631) 399-1511</t>
  </si>
  <si>
    <t xml:space="preserve">NY0687</t>
  </si>
  <si>
    <t xml:space="preserve">Maxwell Memorial Library</t>
  </si>
  <si>
    <t xml:space="preserve">Camillus</t>
  </si>
  <si>
    <t xml:space="preserve">(315) 672-3661</t>
  </si>
  <si>
    <t xml:space="preserve">NY0479</t>
  </si>
  <si>
    <t xml:space="preserve">Mechanicville District Public Library</t>
  </si>
  <si>
    <t xml:space="preserve">Mechanicville</t>
  </si>
  <si>
    <t xml:space="preserve">(518) 664-4646</t>
  </si>
  <si>
    <t xml:space="preserve">NY0618</t>
  </si>
  <si>
    <t xml:space="preserve">Merrick Library</t>
  </si>
  <si>
    <t xml:space="preserve">Merrick</t>
  </si>
  <si>
    <t xml:space="preserve">(516) 377-6112</t>
  </si>
  <si>
    <t xml:space="preserve">NY0364</t>
  </si>
  <si>
    <t xml:space="preserve">Middle Country Public Library</t>
  </si>
  <si>
    <t xml:space="preserve">Centereach</t>
  </si>
  <si>
    <t xml:space="preserve">(631) 585-9393</t>
  </si>
  <si>
    <t xml:space="preserve">NY0654</t>
  </si>
  <si>
    <t xml:space="preserve">Mineola Memorial Library</t>
  </si>
  <si>
    <t xml:space="preserve">Mineola</t>
  </si>
  <si>
    <t xml:space="preserve">(516) 746-8488</t>
  </si>
  <si>
    <t xml:space="preserve">NY0365</t>
  </si>
  <si>
    <t xml:space="preserve">Moffat Library Of Washingtonville</t>
  </si>
  <si>
    <t xml:space="preserve">Washingtonville</t>
  </si>
  <si>
    <t xml:space="preserve">(845) 496-5483</t>
  </si>
  <si>
    <t xml:space="preserve">NY0581</t>
  </si>
  <si>
    <t xml:space="preserve">Monroe Free Library</t>
  </si>
  <si>
    <t xml:space="preserve">(845) 783-4411</t>
  </si>
  <si>
    <t xml:space="preserve">NY0573</t>
  </si>
  <si>
    <t xml:space="preserve">Mount Kisco Public Library</t>
  </si>
  <si>
    <t xml:space="preserve">Mount Kisco</t>
  </si>
  <si>
    <t xml:space="preserve">(914) 666-8041</t>
  </si>
  <si>
    <t xml:space="preserve">NY0743</t>
  </si>
  <si>
    <t xml:space="preserve">Pleasantville</t>
  </si>
  <si>
    <t xml:space="preserve">(914) 769-0548</t>
  </si>
  <si>
    <t xml:space="preserve">NY0750</t>
  </si>
  <si>
    <t xml:space="preserve">Nanuet Public Library</t>
  </si>
  <si>
    <t xml:space="preserve">Nanuet</t>
  </si>
  <si>
    <t xml:space="preserve">(845) 623-4281</t>
  </si>
  <si>
    <t xml:space="preserve">NY0584</t>
  </si>
  <si>
    <t xml:space="preserve">New City Free Library</t>
  </si>
  <si>
    <t xml:space="preserve">New City</t>
  </si>
  <si>
    <t xml:space="preserve">(845) 634-4997</t>
  </si>
  <si>
    <t xml:space="preserve">NY0585</t>
  </si>
  <si>
    <t xml:space="preserve">New Hartford Public Library</t>
  </si>
  <si>
    <t xml:space="preserve">New Hartford</t>
  </si>
  <si>
    <t xml:space="preserve">(315) 733-1535</t>
  </si>
  <si>
    <t xml:space="preserve">NY0303</t>
  </si>
  <si>
    <t xml:space="preserve">New Rochelle Public Library</t>
  </si>
  <si>
    <t xml:space="preserve">New Rochelle</t>
  </si>
  <si>
    <t xml:space="preserve">(914) 632-7878</t>
  </si>
  <si>
    <t xml:space="preserve">NY0745</t>
  </si>
  <si>
    <t xml:space="preserve">New York Public Library, The Branch Libraries</t>
  </si>
  <si>
    <t xml:space="preserve">New York</t>
  </si>
  <si>
    <t xml:space="preserve">(917) 229-9503</t>
  </si>
  <si>
    <t xml:space="preserve">NY0778</t>
  </si>
  <si>
    <t xml:space="preserve">(315) 331-4370</t>
  </si>
  <si>
    <t xml:space="preserve">NY0543</t>
  </si>
  <si>
    <t xml:space="preserve">Newburgh Free Library</t>
  </si>
  <si>
    <t xml:space="preserve">(845) 563-3600</t>
  </si>
  <si>
    <t xml:space="preserve">NY0575</t>
  </si>
  <si>
    <t xml:space="preserve">Newfane Public Library</t>
  </si>
  <si>
    <t xml:space="preserve">Newfane</t>
  </si>
  <si>
    <t xml:space="preserve">(716) 778-9344</t>
  </si>
  <si>
    <t xml:space="preserve">NY0400</t>
  </si>
  <si>
    <t xml:space="preserve">Niagara Falls Public Library</t>
  </si>
  <si>
    <t xml:space="preserve">Niagara Falls</t>
  </si>
  <si>
    <t xml:space="preserve">(716) 286-4911</t>
  </si>
  <si>
    <t xml:space="preserve">NY0401</t>
  </si>
  <si>
    <t xml:space="preserve">North Babylon Public Library</t>
  </si>
  <si>
    <t xml:space="preserve">North Babylon</t>
  </si>
  <si>
    <t xml:space="preserve">(631) 669-4020</t>
  </si>
  <si>
    <t xml:space="preserve">NY0676</t>
  </si>
  <si>
    <t xml:space="preserve">North Bellmore Public Library</t>
  </si>
  <si>
    <t xml:space="preserve">North Bellmore</t>
  </si>
  <si>
    <t xml:space="preserve">(516) 785-6260</t>
  </si>
  <si>
    <t xml:space="preserve">NY0368</t>
  </si>
  <si>
    <t xml:space="preserve">North Castle Public Library</t>
  </si>
  <si>
    <t xml:space="preserve">Armonk</t>
  </si>
  <si>
    <t xml:space="preserve">(914) 273-3887</t>
  </si>
  <si>
    <t xml:space="preserve">NY0726</t>
  </si>
  <si>
    <t xml:space="preserve">North Greenbush Public Library</t>
  </si>
  <si>
    <t xml:space="preserve">Wynantskill</t>
  </si>
  <si>
    <t xml:space="preserve">(518) 283-0303</t>
  </si>
  <si>
    <t xml:space="preserve">NY0723</t>
  </si>
  <si>
    <t xml:space="preserve">North Merrick Public Library</t>
  </si>
  <si>
    <t xml:space="preserve">North Merrick</t>
  </si>
  <si>
    <t xml:space="preserve">(516) 378-7474</t>
  </si>
  <si>
    <t xml:space="preserve">NY0369</t>
  </si>
  <si>
    <t xml:space="preserve">North Shore Public Library District</t>
  </si>
  <si>
    <t xml:space="preserve">Shoreham</t>
  </si>
  <si>
    <t xml:space="preserve">(631) 929-4488</t>
  </si>
  <si>
    <t xml:space="preserve">NY0688</t>
  </si>
  <si>
    <t xml:space="preserve">North Tonawanda Public Library</t>
  </si>
  <si>
    <t xml:space="preserve">North Tonawanda</t>
  </si>
  <si>
    <t xml:space="preserve">(716) 693-4132</t>
  </si>
  <si>
    <t xml:space="preserve">NY0402</t>
  </si>
  <si>
    <t xml:space="preserve">Northern Onondaga Public Library</t>
  </si>
  <si>
    <t xml:space="preserve">(315) 699-2534</t>
  </si>
  <si>
    <t xml:space="preserve">NY0784</t>
  </si>
  <si>
    <t xml:space="preserve">Northport Public Library</t>
  </si>
  <si>
    <t xml:space="preserve">Northport</t>
  </si>
  <si>
    <t xml:space="preserve">(631) 261-6930</t>
  </si>
  <si>
    <t xml:space="preserve">NY0677</t>
  </si>
  <si>
    <t xml:space="preserve">Nyack Library</t>
  </si>
  <si>
    <t xml:space="preserve">Nyack</t>
  </si>
  <si>
    <t xml:space="preserve">(845) 358-3370</t>
  </si>
  <si>
    <t xml:space="preserve">NY0586</t>
  </si>
  <si>
    <t xml:space="preserve">Oceanside Library</t>
  </si>
  <si>
    <t xml:space="preserve">(516) 766-2360</t>
  </si>
  <si>
    <t xml:space="preserve">NY0370</t>
  </si>
  <si>
    <t xml:space="preserve">Ogden Farmers` Library</t>
  </si>
  <si>
    <t xml:space="preserve">Spencerport</t>
  </si>
  <si>
    <t xml:space="preserve">(585) 617-6181</t>
  </si>
  <si>
    <t xml:space="preserve">NY0524</t>
  </si>
  <si>
    <t xml:space="preserve">Ogdensburg Public Library</t>
  </si>
  <si>
    <t xml:space="preserve">Ogdensburg</t>
  </si>
  <si>
    <t xml:space="preserve">(315) 393-4325</t>
  </si>
  <si>
    <t xml:space="preserve">NY0471</t>
  </si>
  <si>
    <t xml:space="preserve">Olean Public Library</t>
  </si>
  <si>
    <t xml:space="preserve">Olean</t>
  </si>
  <si>
    <t xml:space="preserve">Cattaraugus</t>
  </si>
  <si>
    <t xml:space="preserve">(716) 372-0200</t>
  </si>
  <si>
    <t xml:space="preserve">NY0037</t>
  </si>
  <si>
    <t xml:space="preserve">Oneida Public Library</t>
  </si>
  <si>
    <t xml:space="preserve">(315) 363-3050</t>
  </si>
  <si>
    <t xml:space="preserve">NY0295</t>
  </si>
  <si>
    <t xml:space="preserve">Onondaga County Public Library</t>
  </si>
  <si>
    <t xml:space="preserve">Syracuse</t>
  </si>
  <si>
    <t xml:space="preserve">(315) 435-1900</t>
  </si>
  <si>
    <t xml:space="preserve">NY0476</t>
  </si>
  <si>
    <t xml:space="preserve">Onondaga Free Library</t>
  </si>
  <si>
    <t xml:space="preserve">(315) 492-1727</t>
  </si>
  <si>
    <t xml:space="preserve">NY0494</t>
  </si>
  <si>
    <t xml:space="preserve">Ontario Public Library</t>
  </si>
  <si>
    <t xml:space="preserve">(315) 524-8381</t>
  </si>
  <si>
    <t xml:space="preserve">NY0544</t>
  </si>
  <si>
    <t xml:space="preserve">Orchard Park Public Library</t>
  </si>
  <si>
    <t xml:space="preserve">Orchard Park</t>
  </si>
  <si>
    <t xml:space="preserve">(716) 662-9851</t>
  </si>
  <si>
    <t xml:space="preserve">NY0024</t>
  </si>
  <si>
    <t xml:space="preserve">Ossining Public Library</t>
  </si>
  <si>
    <t xml:space="preserve">Ossining</t>
  </si>
  <si>
    <t xml:space="preserve">(914) 941-2416</t>
  </si>
  <si>
    <t xml:space="preserve">NY0747</t>
  </si>
  <si>
    <t xml:space="preserve">Oswego School District Public Library</t>
  </si>
  <si>
    <t xml:space="preserve">(315) 341-5867</t>
  </si>
  <si>
    <t xml:space="preserve">NY0452</t>
  </si>
  <si>
    <t xml:space="preserve">Oyster Bay-East Norwich Public Library</t>
  </si>
  <si>
    <t xml:space="preserve">Oyster Bay</t>
  </si>
  <si>
    <t xml:space="preserve">(516) 922-1212</t>
  </si>
  <si>
    <t xml:space="preserve">NY0371</t>
  </si>
  <si>
    <t xml:space="preserve">Parma Public Library</t>
  </si>
  <si>
    <t xml:space="preserve">Hilton</t>
  </si>
  <si>
    <t xml:space="preserve">(585) 392-8350</t>
  </si>
  <si>
    <t xml:space="preserve">NY0516</t>
  </si>
  <si>
    <t xml:space="preserve">Patchogue-Medford Library</t>
  </si>
  <si>
    <t xml:space="preserve">Patchogue</t>
  </si>
  <si>
    <t xml:space="preserve">(631) 654-4700</t>
  </si>
  <si>
    <t xml:space="preserve">NY0678</t>
  </si>
  <si>
    <t xml:space="preserve">Patterson Library</t>
  </si>
  <si>
    <t xml:space="preserve">Patterson</t>
  </si>
  <si>
    <t xml:space="preserve">(845) 878-6121</t>
  </si>
  <si>
    <t xml:space="preserve">NY0254</t>
  </si>
  <si>
    <t xml:space="preserve">Pearl River Public Library</t>
  </si>
  <si>
    <t xml:space="preserve">(845) 735-4084</t>
  </si>
  <si>
    <t xml:space="preserve">NY0589</t>
  </si>
  <si>
    <t xml:space="preserve">Penfield Public Library</t>
  </si>
  <si>
    <t xml:space="preserve">Penfield</t>
  </si>
  <si>
    <t xml:space="preserve">(585) 340-8720</t>
  </si>
  <si>
    <t xml:space="preserve">NY0519</t>
  </si>
  <si>
    <t xml:space="preserve">Peninsula Public Library</t>
  </si>
  <si>
    <t xml:space="preserve">(516) 239-3262</t>
  </si>
  <si>
    <t xml:space="preserve">NY0356</t>
  </si>
  <si>
    <t xml:space="preserve">Penn Yan Public Library</t>
  </si>
  <si>
    <t xml:space="preserve">Penn Yan</t>
  </si>
  <si>
    <t xml:space="preserve">Yates</t>
  </si>
  <si>
    <t xml:space="preserve">(315) 536-6114</t>
  </si>
  <si>
    <t xml:space="preserve">NY0099</t>
  </si>
  <si>
    <t xml:space="preserve">Phillips Free Library</t>
  </si>
  <si>
    <t xml:space="preserve">(607) 749-4616</t>
  </si>
  <si>
    <t xml:space="preserve">NY0144</t>
  </si>
  <si>
    <t xml:space="preserve">Pine Bush Area Public Library District</t>
  </si>
  <si>
    <t xml:space="preserve">Pine Bush</t>
  </si>
  <si>
    <t xml:space="preserve">(845) 744-4265</t>
  </si>
  <si>
    <t xml:space="preserve">NY0576</t>
  </si>
  <si>
    <t xml:space="preserve">Pittsford Community Library</t>
  </si>
  <si>
    <t xml:space="preserve">Pittsford</t>
  </si>
  <si>
    <t xml:space="preserve">(585) 248-6275</t>
  </si>
  <si>
    <t xml:space="preserve">NY0520</t>
  </si>
  <si>
    <t xml:space="preserve">Plainedge Public Library</t>
  </si>
  <si>
    <t xml:space="preserve">North Massapequa</t>
  </si>
  <si>
    <t xml:space="preserve">(516) 735-4133</t>
  </si>
  <si>
    <t xml:space="preserve">NY0372</t>
  </si>
  <si>
    <t xml:space="preserve">Plainview-Old Bethpage Public Library</t>
  </si>
  <si>
    <t xml:space="preserve">Plainview</t>
  </si>
  <si>
    <t xml:space="preserve">(516) 938-0077</t>
  </si>
  <si>
    <t xml:space="preserve">NY0373</t>
  </si>
  <si>
    <t xml:space="preserve">Plattsburgh Public Library</t>
  </si>
  <si>
    <t xml:space="preserve">Plattsburgh</t>
  </si>
  <si>
    <t xml:space="preserve">(518) 563-0921</t>
  </si>
  <si>
    <t xml:space="preserve">NY0109</t>
  </si>
  <si>
    <t xml:space="preserve">Port Chester-Rye Brook Public Library</t>
  </si>
  <si>
    <t xml:space="preserve">Port Chester</t>
  </si>
  <si>
    <t xml:space="preserve">(914) 939-6710</t>
  </si>
  <si>
    <t xml:space="preserve">NY0751</t>
  </si>
  <si>
    <t xml:space="preserve">Port Jervis Free Library</t>
  </si>
  <si>
    <t xml:space="preserve">Port Jervis</t>
  </si>
  <si>
    <t xml:space="preserve">(845) 856-7313</t>
  </si>
  <si>
    <t xml:space="preserve">NY0577</t>
  </si>
  <si>
    <t xml:space="preserve">Port Washington Public Library</t>
  </si>
  <si>
    <t xml:space="preserve">Port Washington</t>
  </si>
  <si>
    <t xml:space="preserve">(516) 883-4400</t>
  </si>
  <si>
    <t xml:space="preserve">NY0374</t>
  </si>
  <si>
    <t xml:space="preserve">Potsdam Public Library</t>
  </si>
  <si>
    <t xml:space="preserve">Potsdam</t>
  </si>
  <si>
    <t xml:space="preserve">(315) 265-7230</t>
  </si>
  <si>
    <t xml:space="preserve">NY0472</t>
  </si>
  <si>
    <t xml:space="preserve">Putnam Valley Free Library</t>
  </si>
  <si>
    <t xml:space="preserve">Putnam Valley</t>
  </si>
  <si>
    <t xml:space="preserve">(845) 528-3242</t>
  </si>
  <si>
    <t xml:space="preserve">NY0255</t>
  </si>
  <si>
    <t xml:space="preserve">Queens Borough Public Library</t>
  </si>
  <si>
    <t xml:space="preserve">Jamaica</t>
  </si>
  <si>
    <t xml:space="preserve">Queens</t>
  </si>
  <si>
    <t xml:space="preserve">(718) 990-0700</t>
  </si>
  <si>
    <t xml:space="preserve">NY0562</t>
  </si>
  <si>
    <t xml:space="preserve">Rcs Community Library</t>
  </si>
  <si>
    <t xml:space="preserve">Ravena</t>
  </si>
  <si>
    <t xml:space="preserve">(518) 756-2053</t>
  </si>
  <si>
    <t xml:space="preserve">NY0705</t>
  </si>
  <si>
    <t xml:space="preserve">Richmond Memorial Library</t>
  </si>
  <si>
    <t xml:space="preserve">(585) 343-9550</t>
  </si>
  <si>
    <t xml:space="preserve">NY0390</t>
  </si>
  <si>
    <t xml:space="preserve">Riverhead Free Library</t>
  </si>
  <si>
    <t xml:space="preserve">Riverhead</t>
  </si>
  <si>
    <t xml:space="preserve">(631) 727-3228</t>
  </si>
  <si>
    <t xml:space="preserve">NY0682</t>
  </si>
  <si>
    <t xml:space="preserve">(585) 428-7300</t>
  </si>
  <si>
    <t xml:space="preserve">NY0521</t>
  </si>
  <si>
    <t xml:space="preserve">Rockville Centre Public Library</t>
  </si>
  <si>
    <t xml:space="preserve">Rockville Centre</t>
  </si>
  <si>
    <t xml:space="preserve">(516) 766-6257</t>
  </si>
  <si>
    <t xml:space="preserve">NY0375</t>
  </si>
  <si>
    <t xml:space="preserve">Rogers Memorial Library</t>
  </si>
  <si>
    <t xml:space="preserve">Southampton</t>
  </si>
  <si>
    <t xml:space="preserve">(631) 283-0774</t>
  </si>
  <si>
    <t xml:space="preserve">NY0690</t>
  </si>
  <si>
    <t xml:space="preserve">Roosevelt Public Library</t>
  </si>
  <si>
    <t xml:space="preserve">(516) 378-0222</t>
  </si>
  <si>
    <t xml:space="preserve">NY0376</t>
  </si>
  <si>
    <t xml:space="preserve">Rose Memorial Library Association</t>
  </si>
  <si>
    <t xml:space="preserve">Stony Point</t>
  </si>
  <si>
    <t xml:space="preserve">(845) 786-2100</t>
  </si>
  <si>
    <t xml:space="preserve">NY0593</t>
  </si>
  <si>
    <t xml:space="preserve">Roswell P. Flower Memorial Library</t>
  </si>
  <si>
    <t xml:space="preserve">(315) 785-7705</t>
  </si>
  <si>
    <t xml:space="preserve">NY0436</t>
  </si>
  <si>
    <t xml:space="preserve">Rye Free Reading Room</t>
  </si>
  <si>
    <t xml:space="preserve">Rye</t>
  </si>
  <si>
    <t xml:space="preserve">(914) 967-0480</t>
  </si>
  <si>
    <t xml:space="preserve">NY0754</t>
  </si>
  <si>
    <t xml:space="preserve">Sachem Public Library</t>
  </si>
  <si>
    <t xml:space="preserve">(631) 588-5024</t>
  </si>
  <si>
    <t xml:space="preserve">NY0668</t>
  </si>
  <si>
    <t xml:space="preserve">Salina Free Library</t>
  </si>
  <si>
    <t xml:space="preserve">Mattydale</t>
  </si>
  <si>
    <t xml:space="preserve">(315) 454-4524</t>
  </si>
  <si>
    <t xml:space="preserve">NY0491</t>
  </si>
  <si>
    <t xml:space="preserve">Saranac Lake Free Library</t>
  </si>
  <si>
    <t xml:space="preserve">Saranac Lake</t>
  </si>
  <si>
    <t xml:space="preserve">(518) 891-4190</t>
  </si>
  <si>
    <t xml:space="preserve">NY0131</t>
  </si>
  <si>
    <t xml:space="preserve">Saratoga Springs Public Library</t>
  </si>
  <si>
    <t xml:space="preserve">Saratoga Springs</t>
  </si>
  <si>
    <t xml:space="preserve">(518) 584-7860</t>
  </si>
  <si>
    <t xml:space="preserve">NY0620</t>
  </si>
  <si>
    <t xml:space="preserve">Saugerties Public Library</t>
  </si>
  <si>
    <t xml:space="preserve">Saugerties</t>
  </si>
  <si>
    <t xml:space="preserve">(845) 246-4317</t>
  </si>
  <si>
    <t xml:space="preserve">NY0268</t>
  </si>
  <si>
    <t xml:space="preserve">Sayville Library</t>
  </si>
  <si>
    <t xml:space="preserve">Sayville</t>
  </si>
  <si>
    <t xml:space="preserve">(631) 589-4440</t>
  </si>
  <si>
    <t xml:space="preserve">NY0684</t>
  </si>
  <si>
    <t xml:space="preserve">Scarsdale Public Library</t>
  </si>
  <si>
    <t xml:space="preserve">Scarsdale</t>
  </si>
  <si>
    <t xml:space="preserve">(914) 722-1300</t>
  </si>
  <si>
    <t xml:space="preserve">NY0755</t>
  </si>
  <si>
    <t xml:space="preserve">Schenectady County Public Library</t>
  </si>
  <si>
    <t xml:space="preserve">Schenectady</t>
  </si>
  <si>
    <t xml:space="preserve">(518) 388-4500</t>
  </si>
  <si>
    <t xml:space="preserve">NY0327</t>
  </si>
  <si>
    <t xml:space="preserve">Schuylerville Public Library</t>
  </si>
  <si>
    <t xml:space="preserve">Schuylerville</t>
  </si>
  <si>
    <t xml:space="preserve">(518) 695-6641</t>
  </si>
  <si>
    <t xml:space="preserve">NY0621</t>
  </si>
  <si>
    <t xml:space="preserve">Seaford Public Library</t>
  </si>
  <si>
    <t xml:space="preserve">(516) 221-1334</t>
  </si>
  <si>
    <t xml:space="preserve">NY0379</t>
  </si>
  <si>
    <t xml:space="preserve">Seymour Library</t>
  </si>
  <si>
    <t xml:space="preserve">Brockport</t>
  </si>
  <si>
    <t xml:space="preserve">(585) 637-1050</t>
  </si>
  <si>
    <t xml:space="preserve">NY0508</t>
  </si>
  <si>
    <t xml:space="preserve">Seymour Public Library District</t>
  </si>
  <si>
    <t xml:space="preserve">Cayuga</t>
  </si>
  <si>
    <t xml:space="preserve">(315) 252-2571</t>
  </si>
  <si>
    <t xml:space="preserve">NY0134</t>
  </si>
  <si>
    <t xml:space="preserve">Shelter Rock Public Library</t>
  </si>
  <si>
    <t xml:space="preserve">Albertson</t>
  </si>
  <si>
    <t xml:space="preserve">(516) 248-7363</t>
  </si>
  <si>
    <t xml:space="preserve">NY0333</t>
  </si>
  <si>
    <t xml:space="preserve">Smithtown Special Library District</t>
  </si>
  <si>
    <t xml:space="preserve">Nesconset</t>
  </si>
  <si>
    <t xml:space="preserve">(631) 360-2480</t>
  </si>
  <si>
    <t xml:space="preserve">NY0689</t>
  </si>
  <si>
    <t xml:space="preserve">South Country Library</t>
  </si>
  <si>
    <t xml:space="preserve">Bellport</t>
  </si>
  <si>
    <t xml:space="preserve">(631) 286-0818</t>
  </si>
  <si>
    <t xml:space="preserve">NY0645</t>
  </si>
  <si>
    <t xml:space="preserve">South Huntington Public Library</t>
  </si>
  <si>
    <t xml:space="preserve">Huntington Statio</t>
  </si>
  <si>
    <t xml:space="preserve">(631) 549-4411</t>
  </si>
  <si>
    <t xml:space="preserve">NY0670</t>
  </si>
  <si>
    <t xml:space="preserve">Southeast Steuben County Library</t>
  </si>
  <si>
    <t xml:space="preserve">Corning</t>
  </si>
  <si>
    <t xml:space="preserve">(607) 936-3713</t>
  </si>
  <si>
    <t xml:space="preserve">NY0088</t>
  </si>
  <si>
    <t xml:space="preserve">Stevens Memorial Community Library</t>
  </si>
  <si>
    <t xml:space="preserve">Attica</t>
  </si>
  <si>
    <t xml:space="preserve">Wyoming</t>
  </si>
  <si>
    <t xml:space="preserve">(585) 591-2733</t>
  </si>
  <si>
    <t xml:space="preserve">NY0554</t>
  </si>
  <si>
    <t xml:space="preserve">Suffern Free Library</t>
  </si>
  <si>
    <t xml:space="preserve">Suffern</t>
  </si>
  <si>
    <t xml:space="preserve">(845) 357-1237</t>
  </si>
  <si>
    <t xml:space="preserve">NY0594</t>
  </si>
  <si>
    <t xml:space="preserve">Sullivan Free Library</t>
  </si>
  <si>
    <t xml:space="preserve">Chittenango</t>
  </si>
  <si>
    <t xml:space="preserve">(315) 687-6331</t>
  </si>
  <si>
    <t xml:space="preserve">NY0289</t>
  </si>
  <si>
    <t xml:space="preserve">Syosset Public Library</t>
  </si>
  <si>
    <t xml:space="preserve">Syosset</t>
  </si>
  <si>
    <t xml:space="preserve">(516) 921-7161</t>
  </si>
  <si>
    <t xml:space="preserve">NY0380</t>
  </si>
  <si>
    <t xml:space="preserve">The Community Library</t>
  </si>
  <si>
    <t xml:space="preserve">Cobleskill</t>
  </si>
  <si>
    <t xml:space="preserve">Schoharie</t>
  </si>
  <si>
    <t xml:space="preserve">(518) 234-7897</t>
  </si>
  <si>
    <t xml:space="preserve">NY0328</t>
  </si>
  <si>
    <t xml:space="preserve">The Field Library</t>
  </si>
  <si>
    <t xml:space="preserve">Peekskill</t>
  </si>
  <si>
    <t xml:space="preserve">(914) 737-1212</t>
  </si>
  <si>
    <t xml:space="preserve">NY0748</t>
  </si>
  <si>
    <t xml:space="preserve">The Jervis Public Library Association, Inc.</t>
  </si>
  <si>
    <t xml:space="preserve">(315) 336-4570</t>
  </si>
  <si>
    <t xml:space="preserve">NY0309</t>
  </si>
  <si>
    <t xml:space="preserve">The Somers Library</t>
  </si>
  <si>
    <t xml:space="preserve">(914) 232-5717</t>
  </si>
  <si>
    <t xml:space="preserve">NY0756</t>
  </si>
  <si>
    <t xml:space="preserve">The Wead Library</t>
  </si>
  <si>
    <t xml:space="preserve">Malone</t>
  </si>
  <si>
    <t xml:space="preserve">(518) 483-5251</t>
  </si>
  <si>
    <t xml:space="preserve">NY0130</t>
  </si>
  <si>
    <t xml:space="preserve">Thrall Public Library District Of Middletown And Wallkill</t>
  </si>
  <si>
    <t xml:space="preserve">(845) 341-5454</t>
  </si>
  <si>
    <t xml:space="preserve">NY0572</t>
  </si>
  <si>
    <t xml:space="preserve">Tompkins County Public Library</t>
  </si>
  <si>
    <t xml:space="preserve">Ithaca</t>
  </si>
  <si>
    <t xml:space="preserve">Tompkins</t>
  </si>
  <si>
    <t xml:space="preserve">(607) 272-4557</t>
  </si>
  <si>
    <t xml:space="preserve">NY0160</t>
  </si>
  <si>
    <t xml:space="preserve">Town Of Pelham Public Library</t>
  </si>
  <si>
    <t xml:space="preserve">(914) 738-1234</t>
  </si>
  <si>
    <t xml:space="preserve">NY0749</t>
  </si>
  <si>
    <t xml:space="preserve">Town Of Tonawanda Public Library</t>
  </si>
  <si>
    <t xml:space="preserve">Kenmore</t>
  </si>
  <si>
    <t xml:space="preserve">(716) 873-2842</t>
  </si>
  <si>
    <t xml:space="preserve">NY0019</t>
  </si>
  <si>
    <t xml:space="preserve">Town Of Ulster Public Library</t>
  </si>
  <si>
    <t xml:space="preserve">(845) 338-7881</t>
  </si>
  <si>
    <t xml:space="preserve">NY0259</t>
  </si>
  <si>
    <t xml:space="preserve">(518) 274-7071</t>
  </si>
  <si>
    <t xml:space="preserve">NY0720</t>
  </si>
  <si>
    <t xml:space="preserve">Uniondale Public Library</t>
  </si>
  <si>
    <t xml:space="preserve">Uniondale</t>
  </si>
  <si>
    <t xml:space="preserve">(516) 489-2220</t>
  </si>
  <si>
    <t xml:space="preserve">NY0381</t>
  </si>
  <si>
    <t xml:space="preserve">Utica Public Library</t>
  </si>
  <si>
    <t xml:space="preserve">Utica</t>
  </si>
  <si>
    <t xml:space="preserve">(315) 735-2279</t>
  </si>
  <si>
    <t xml:space="preserve">NY0311</t>
  </si>
  <si>
    <t xml:space="preserve">Vestal Public Library</t>
  </si>
  <si>
    <t xml:space="preserve">Vestal</t>
  </si>
  <si>
    <t xml:space="preserve">(607) 754-4243</t>
  </si>
  <si>
    <t xml:space="preserve">NY0171</t>
  </si>
  <si>
    <t xml:space="preserve">Victor Farmington Library</t>
  </si>
  <si>
    <t xml:space="preserve">(585) 924-2637</t>
  </si>
  <si>
    <t xml:space="preserve">NY0537</t>
  </si>
  <si>
    <t xml:space="preserve">Wadsworth Library</t>
  </si>
  <si>
    <t xml:space="preserve">(585) 243-0440</t>
  </si>
  <si>
    <t xml:space="preserve">NY0501</t>
  </si>
  <si>
    <t xml:space="preserve">Wantagh Public Library</t>
  </si>
  <si>
    <t xml:space="preserve">Wantagh</t>
  </si>
  <si>
    <t xml:space="preserve">(516) 221-1200</t>
  </si>
  <si>
    <t xml:space="preserve">NY0383</t>
  </si>
  <si>
    <t xml:space="preserve">Warner Library</t>
  </si>
  <si>
    <t xml:space="preserve">Tarrytown</t>
  </si>
  <si>
    <t xml:space="preserve">(914) 631-7734</t>
  </si>
  <si>
    <t xml:space="preserve">NY0758</t>
  </si>
  <si>
    <t xml:space="preserve">Watervliet Public Library</t>
  </si>
  <si>
    <t xml:space="preserve">Watervliet</t>
  </si>
  <si>
    <t xml:space="preserve">(518) 274-4471</t>
  </si>
  <si>
    <t xml:space="preserve">NY0708</t>
  </si>
  <si>
    <t xml:space="preserve">Webster Public Library</t>
  </si>
  <si>
    <t xml:space="preserve">(585) 872-7075</t>
  </si>
  <si>
    <t xml:space="preserve">NY0525</t>
  </si>
  <si>
    <t xml:space="preserve">West Babylon Public Library</t>
  </si>
  <si>
    <t xml:space="preserve">West Babylon</t>
  </si>
  <si>
    <t xml:space="preserve">(631) 669-5445</t>
  </si>
  <si>
    <t xml:space="preserve">NY0692</t>
  </si>
  <si>
    <t xml:space="preserve">West Hempstead Public Library</t>
  </si>
  <si>
    <t xml:space="preserve">West Hempstead</t>
  </si>
  <si>
    <t xml:space="preserve">(516) 481-6591</t>
  </si>
  <si>
    <t xml:space="preserve">NY0384</t>
  </si>
  <si>
    <t xml:space="preserve">West Islip Public Library</t>
  </si>
  <si>
    <t xml:space="preserve">West Islip</t>
  </si>
  <si>
    <t xml:space="preserve">(631) 661-7080</t>
  </si>
  <si>
    <t xml:space="preserve">NY0693</t>
  </si>
  <si>
    <t xml:space="preserve">West Seneca Public Library</t>
  </si>
  <si>
    <t xml:space="preserve">West Seneca</t>
  </si>
  <si>
    <t xml:space="preserve">(716) 674-2928</t>
  </si>
  <si>
    <t xml:space="preserve">NY0028</t>
  </si>
  <si>
    <t xml:space="preserve">Westbury Memorial Public Library</t>
  </si>
  <si>
    <t xml:space="preserve">Westbury</t>
  </si>
  <si>
    <t xml:space="preserve">(516) 333-0176</t>
  </si>
  <si>
    <t xml:space="preserve">NY0385</t>
  </si>
  <si>
    <t xml:space="preserve">White Plains Public Library</t>
  </si>
  <si>
    <t xml:space="preserve">White Plains</t>
  </si>
  <si>
    <t xml:space="preserve">(914) 422-1400</t>
  </si>
  <si>
    <t xml:space="preserve">NY0760</t>
  </si>
  <si>
    <t xml:space="preserve">William K Sanford Town Library</t>
  </si>
  <si>
    <t xml:space="preserve">Loudonville</t>
  </si>
  <si>
    <t xml:space="preserve">(518) 458-9274</t>
  </si>
  <si>
    <t xml:space="preserve">NY0701</t>
  </si>
  <si>
    <t xml:space="preserve">Woman'S Round Lake Improvement Society</t>
  </si>
  <si>
    <t xml:space="preserve">(518) 899-2285</t>
  </si>
  <si>
    <t xml:space="preserve">NY0619</t>
  </si>
  <si>
    <t xml:space="preserve">Wood Library Association</t>
  </si>
  <si>
    <t xml:space="preserve">Canandaigua</t>
  </si>
  <si>
    <t xml:space="preserve">(585) 394-1381</t>
  </si>
  <si>
    <t xml:space="preserve">NY0529</t>
  </si>
  <si>
    <t xml:space="preserve">Woodbury Public Library</t>
  </si>
  <si>
    <t xml:space="preserve">Highland Mills</t>
  </si>
  <si>
    <t xml:space="preserve">(845) 928-6162</t>
  </si>
  <si>
    <t xml:space="preserve">NY0777</t>
  </si>
  <si>
    <t xml:space="preserve">Wyandanch Public Library</t>
  </si>
  <si>
    <t xml:space="preserve">Wyandanch</t>
  </si>
  <si>
    <t xml:space="preserve">(631) 643-4848</t>
  </si>
  <si>
    <t xml:space="preserve">NY0695</t>
  </si>
  <si>
    <t xml:space="preserve">Yonkers Public Library</t>
  </si>
  <si>
    <t xml:space="preserve">Yonkers</t>
  </si>
  <si>
    <t xml:space="preserve">(914) 337-1500</t>
  </si>
  <si>
    <t xml:space="preserve">NY0761</t>
  </si>
  <si>
    <t xml:space="preserve">Your Home Public Library</t>
  </si>
  <si>
    <t xml:space="preserve">Johnson City</t>
  </si>
  <si>
    <t xml:space="preserve">(607) 797-4816</t>
  </si>
  <si>
    <t xml:space="preserve">NY0168</t>
  </si>
  <si>
    <t xml:space="preserve">OH</t>
  </si>
  <si>
    <t xml:space="preserve">Adams County Public Library</t>
  </si>
  <si>
    <t xml:space="preserve">Peebles</t>
  </si>
  <si>
    <t xml:space="preserve">(937) 587-2085</t>
  </si>
  <si>
    <t xml:space="preserve">OH0129</t>
  </si>
  <si>
    <t xml:space="preserve">Akron-Summit Cnty Public Library</t>
  </si>
  <si>
    <t xml:space="preserve">Akron</t>
  </si>
  <si>
    <t xml:space="preserve">(330) 643-9000</t>
  </si>
  <si>
    <t xml:space="preserve">OH0002</t>
  </si>
  <si>
    <t xml:space="preserve">Lorain</t>
  </si>
  <si>
    <t xml:space="preserve">(440) 988-4230</t>
  </si>
  <si>
    <t xml:space="preserve">OH0006</t>
  </si>
  <si>
    <t xml:space="preserve">(419) 289-8188</t>
  </si>
  <si>
    <t xml:space="preserve">OH0010</t>
  </si>
  <si>
    <t xml:space="preserve">Ashtabula County District Library</t>
  </si>
  <si>
    <t xml:space="preserve">Ashtabula</t>
  </si>
  <si>
    <t xml:space="preserve">(440) 997-9341</t>
  </si>
  <si>
    <t xml:space="preserve">OH0012</t>
  </si>
  <si>
    <t xml:space="preserve">Athens County Public Libraries</t>
  </si>
  <si>
    <t xml:space="preserve">Nelsonville</t>
  </si>
  <si>
    <t xml:space="preserve">(740) 753-2118</t>
  </si>
  <si>
    <t xml:space="preserve">OH0156</t>
  </si>
  <si>
    <t xml:space="preserve">Auglaize County Public District Library</t>
  </si>
  <si>
    <t xml:space="preserve">Wapakoneta</t>
  </si>
  <si>
    <t xml:space="preserve">Auglaize</t>
  </si>
  <si>
    <t xml:space="preserve">(419) 738-2921</t>
  </si>
  <si>
    <t xml:space="preserve">OH0225</t>
  </si>
  <si>
    <t xml:space="preserve">Avon Lake Public Library</t>
  </si>
  <si>
    <t xml:space="preserve">Avon Lake</t>
  </si>
  <si>
    <t xml:space="preserve">(440) 933-8128</t>
  </si>
  <si>
    <t xml:space="preserve">OH0015</t>
  </si>
  <si>
    <t xml:space="preserve">Barberton Public Library</t>
  </si>
  <si>
    <t xml:space="preserve">Barberton</t>
  </si>
  <si>
    <t xml:space="preserve">(330) 745-1194</t>
  </si>
  <si>
    <t xml:space="preserve">OH0016</t>
  </si>
  <si>
    <t xml:space="preserve">Belle Center Free Public Library</t>
  </si>
  <si>
    <t xml:space="preserve">Belle Center</t>
  </si>
  <si>
    <t xml:space="preserve">(937) 464-3611</t>
  </si>
  <si>
    <t xml:space="preserve">OH0020</t>
  </si>
  <si>
    <t xml:space="preserve">Huron</t>
  </si>
  <si>
    <t xml:space="preserve">(419) 483-4769</t>
  </si>
  <si>
    <t xml:space="preserve">OH0022</t>
  </si>
  <si>
    <t xml:space="preserve">Belmont County District Library</t>
  </si>
  <si>
    <t xml:space="preserve">Martins Ferry</t>
  </si>
  <si>
    <t xml:space="preserve">(740) 633-0314</t>
  </si>
  <si>
    <t xml:space="preserve">OH0133</t>
  </si>
  <si>
    <t xml:space="preserve">Bexley Public Library</t>
  </si>
  <si>
    <t xml:space="preserve">Bexley</t>
  </si>
  <si>
    <t xml:space="preserve">(614) 231-2793</t>
  </si>
  <si>
    <t xml:space="preserve">OH0024</t>
  </si>
  <si>
    <t xml:space="preserve">Birchard Public Library Of Sandusky County</t>
  </si>
  <si>
    <t xml:space="preserve">Sandusky</t>
  </si>
  <si>
    <t xml:space="preserve">(419) 334-7101</t>
  </si>
  <si>
    <t xml:space="preserve">OH0086</t>
  </si>
  <si>
    <t xml:space="preserve">Briggs Lawrence County Public Library</t>
  </si>
  <si>
    <t xml:space="preserve">(740) 532-1124</t>
  </si>
  <si>
    <t xml:space="preserve">OH0107</t>
  </si>
  <si>
    <t xml:space="preserve">(937) 444-0181</t>
  </si>
  <si>
    <t xml:space="preserve">OH0090</t>
  </si>
  <si>
    <t xml:space="preserve">Brumback Library</t>
  </si>
  <si>
    <t xml:space="preserve">Van Wert</t>
  </si>
  <si>
    <t xml:space="preserve">(419) 238-2168</t>
  </si>
  <si>
    <t xml:space="preserve">OH0221</t>
  </si>
  <si>
    <t xml:space="preserve">Bucyrus Public Library</t>
  </si>
  <si>
    <t xml:space="preserve">Bucyrus</t>
  </si>
  <si>
    <t xml:space="preserve">(419) 562-7327</t>
  </si>
  <si>
    <t xml:space="preserve">OH0033</t>
  </si>
  <si>
    <t xml:space="preserve">Canal Fulton Public Library</t>
  </si>
  <si>
    <t xml:space="preserve">Canal Fulton</t>
  </si>
  <si>
    <t xml:space="preserve">(330) 854-4148</t>
  </si>
  <si>
    <t xml:space="preserve">OH0038</t>
  </si>
  <si>
    <t xml:space="preserve">Washington Ch</t>
  </si>
  <si>
    <t xml:space="preserve">(740) 335-2540</t>
  </si>
  <si>
    <t xml:space="preserve">OH0227</t>
  </si>
  <si>
    <t xml:space="preserve">Carroll County District Library</t>
  </si>
  <si>
    <t xml:space="preserve">(330) 627-2613</t>
  </si>
  <si>
    <t xml:space="preserve">OH0042</t>
  </si>
  <si>
    <t xml:space="preserve">Champaign County Library</t>
  </si>
  <si>
    <t xml:space="preserve">(937) 653-3811</t>
  </si>
  <si>
    <t xml:space="preserve">OH0220</t>
  </si>
  <si>
    <t xml:space="preserve">Chillicothe And Ross County Public Library</t>
  </si>
  <si>
    <t xml:space="preserve">Ross</t>
  </si>
  <si>
    <t xml:space="preserve">(740) 702-4145</t>
  </si>
  <si>
    <t xml:space="preserve">OH0048</t>
  </si>
  <si>
    <t xml:space="preserve">Cincinnati And Hamilton County Public Library</t>
  </si>
  <si>
    <t xml:space="preserve">Cincinnati</t>
  </si>
  <si>
    <t xml:space="preserve">(513) 369-6900</t>
  </si>
  <si>
    <t xml:space="preserve">OH0049</t>
  </si>
  <si>
    <t xml:space="preserve">(937) 328-6903</t>
  </si>
  <si>
    <t xml:space="preserve">OH0204</t>
  </si>
  <si>
    <t xml:space="preserve">Claymont School District Public Library</t>
  </si>
  <si>
    <t xml:space="preserve">Uhrichsville</t>
  </si>
  <si>
    <t xml:space="preserve">Tuscarawas</t>
  </si>
  <si>
    <t xml:space="preserve">(740) 922-3626</t>
  </si>
  <si>
    <t xml:space="preserve">OH0068</t>
  </si>
  <si>
    <t xml:space="preserve">Clermont County Public Library</t>
  </si>
  <si>
    <t xml:space="preserve">Clermont</t>
  </si>
  <si>
    <t xml:space="preserve">(513) 732-2736</t>
  </si>
  <si>
    <t xml:space="preserve">OH0018</t>
  </si>
  <si>
    <t xml:space="preserve">Cleveland Heights-University Heights Pl</t>
  </si>
  <si>
    <t xml:space="preserve">Cleveland Hts.</t>
  </si>
  <si>
    <t xml:space="preserve">Cuyahoga</t>
  </si>
  <si>
    <t xml:space="preserve">(216) 932-3600</t>
  </si>
  <si>
    <t xml:space="preserve">OH0053</t>
  </si>
  <si>
    <t xml:space="preserve">Cleveland Public Library</t>
  </si>
  <si>
    <t xml:space="preserve">(216) 623-2800</t>
  </si>
  <si>
    <t xml:space="preserve">OH0051</t>
  </si>
  <si>
    <t xml:space="preserve">Clyde Public Library</t>
  </si>
  <si>
    <t xml:space="preserve">Clyde</t>
  </si>
  <si>
    <t xml:space="preserve">(419) 547-7174</t>
  </si>
  <si>
    <t xml:space="preserve">OH0054</t>
  </si>
  <si>
    <t xml:space="preserve">Columbus Metropolitan Library</t>
  </si>
  <si>
    <t xml:space="preserve">(614) 849-1265</t>
  </si>
  <si>
    <t xml:space="preserve">OH0057</t>
  </si>
  <si>
    <t xml:space="preserve">Community Library</t>
  </si>
  <si>
    <t xml:space="preserve">Sunbury</t>
  </si>
  <si>
    <t xml:space="preserve">(740) 965-3901</t>
  </si>
  <si>
    <t xml:space="preserve">OH0210</t>
  </si>
  <si>
    <t xml:space="preserve">Conneaut Public Library</t>
  </si>
  <si>
    <t xml:space="preserve">Conneaut</t>
  </si>
  <si>
    <t xml:space="preserve">(440) 593-1608</t>
  </si>
  <si>
    <t xml:space="preserve">OH0058</t>
  </si>
  <si>
    <t xml:space="preserve">Coshocton County District Library</t>
  </si>
  <si>
    <t xml:space="preserve">Coshocton</t>
  </si>
  <si>
    <t xml:space="preserve">(740) 622-0956</t>
  </si>
  <si>
    <t xml:space="preserve">OH0059</t>
  </si>
  <si>
    <t xml:space="preserve">Cuyahoga County Public Library</t>
  </si>
  <si>
    <t xml:space="preserve">Parma</t>
  </si>
  <si>
    <t xml:space="preserve">(216) 398-1800</t>
  </si>
  <si>
    <t xml:space="preserve">OH0052</t>
  </si>
  <si>
    <t xml:space="preserve">Cuyahoga Falls Library</t>
  </si>
  <si>
    <t xml:space="preserve">Cuyahoga Falls</t>
  </si>
  <si>
    <t xml:space="preserve">(330) 928-2117</t>
  </si>
  <si>
    <t xml:space="preserve">OH0062</t>
  </si>
  <si>
    <t xml:space="preserve">Dayton Metro Library</t>
  </si>
  <si>
    <t xml:space="preserve">Dayton</t>
  </si>
  <si>
    <t xml:space="preserve">(937) 463-2665</t>
  </si>
  <si>
    <t xml:space="preserve">OH0063</t>
  </si>
  <si>
    <t xml:space="preserve">Defiance Public Library</t>
  </si>
  <si>
    <t xml:space="preserve">Defiance</t>
  </si>
  <si>
    <t xml:space="preserve">(419) 782-1456</t>
  </si>
  <si>
    <t xml:space="preserve">OH0064</t>
  </si>
  <si>
    <t xml:space="preserve">Delaware County District Library</t>
  </si>
  <si>
    <t xml:space="preserve">(740) 362-3861</t>
  </si>
  <si>
    <t xml:space="preserve">OH0065</t>
  </si>
  <si>
    <t xml:space="preserve">(330) 343-6123</t>
  </si>
  <si>
    <t xml:space="preserve">OH0070</t>
  </si>
  <si>
    <t xml:space="preserve">Dr. Samuel L. Bossard Memorial Library</t>
  </si>
  <si>
    <t xml:space="preserve">Gallipolis</t>
  </si>
  <si>
    <t xml:space="preserve">Gallia</t>
  </si>
  <si>
    <t xml:space="preserve">(740) 446-7323</t>
  </si>
  <si>
    <t xml:space="preserve">OH0088</t>
  </si>
  <si>
    <t xml:space="preserve">East Cleveland Public Library</t>
  </si>
  <si>
    <t xml:space="preserve">East Cleveland</t>
  </si>
  <si>
    <t xml:space="preserve">(216) 541-4128</t>
  </si>
  <si>
    <t xml:space="preserve">OH0072</t>
  </si>
  <si>
    <t xml:space="preserve">Ella M. Everhard Public Library</t>
  </si>
  <si>
    <t xml:space="preserve">Wadsworth</t>
  </si>
  <si>
    <t xml:space="preserve">(330) 334-5761</t>
  </si>
  <si>
    <t xml:space="preserve">OH0224</t>
  </si>
  <si>
    <t xml:space="preserve">Elyria Public Library</t>
  </si>
  <si>
    <t xml:space="preserve">Elyria</t>
  </si>
  <si>
    <t xml:space="preserve">(440) 323-5747</t>
  </si>
  <si>
    <t xml:space="preserve">OH0077</t>
  </si>
  <si>
    <t xml:space="preserve">Euclid Public Library</t>
  </si>
  <si>
    <t xml:space="preserve">Euclid</t>
  </si>
  <si>
    <t xml:space="preserve">(216) 261-5300</t>
  </si>
  <si>
    <t xml:space="preserve">OH0078</t>
  </si>
  <si>
    <t xml:space="preserve">Fairfield County District Library</t>
  </si>
  <si>
    <t xml:space="preserve">(740) 653-2745</t>
  </si>
  <si>
    <t xml:space="preserve">OH0116</t>
  </si>
  <si>
    <t xml:space="preserve">Findlay Hancock Cnty Dist Public Library</t>
  </si>
  <si>
    <t xml:space="preserve">Findlay</t>
  </si>
  <si>
    <t xml:space="preserve">(419) 422-1712</t>
  </si>
  <si>
    <t xml:space="preserve">OH0081</t>
  </si>
  <si>
    <t xml:space="preserve">(937) 746-2665</t>
  </si>
  <si>
    <t xml:space="preserve">OH0085</t>
  </si>
  <si>
    <t xml:space="preserve">Galion Public Library Association</t>
  </si>
  <si>
    <t xml:space="preserve">Galion</t>
  </si>
  <si>
    <t xml:space="preserve">(419) 468-3203</t>
  </si>
  <si>
    <t xml:space="preserve">OH0087</t>
  </si>
  <si>
    <t xml:space="preserve">Garnet A. Wilson Pl Of Pike Co</t>
  </si>
  <si>
    <t xml:space="preserve">(740) 947-4921</t>
  </si>
  <si>
    <t xml:space="preserve">OH0229</t>
  </si>
  <si>
    <t xml:space="preserve">Geauga County Public Library</t>
  </si>
  <si>
    <t xml:space="preserve">Chardon</t>
  </si>
  <si>
    <t xml:space="preserve">Geauga</t>
  </si>
  <si>
    <t xml:space="preserve">(440) 286-6811</t>
  </si>
  <si>
    <t xml:space="preserve">OH0046</t>
  </si>
  <si>
    <t xml:space="preserve">Germantown Public Library</t>
  </si>
  <si>
    <t xml:space="preserve">Germantown</t>
  </si>
  <si>
    <t xml:space="preserve">(937) 855-4001</t>
  </si>
  <si>
    <t xml:space="preserve">OH0091</t>
  </si>
  <si>
    <t xml:space="preserve">Girard Free Library</t>
  </si>
  <si>
    <t xml:space="preserve">Girard</t>
  </si>
  <si>
    <t xml:space="preserve">(330) 545-2508</t>
  </si>
  <si>
    <t xml:space="preserve">OH0092</t>
  </si>
  <si>
    <t xml:space="preserve">Grafton/Midview Public Library</t>
  </si>
  <si>
    <t xml:space="preserve">(440) 926-3317</t>
  </si>
  <si>
    <t xml:space="preserve">OH0094</t>
  </si>
  <si>
    <t xml:space="preserve">Grand Valley Public Library</t>
  </si>
  <si>
    <t xml:space="preserve">Orwell</t>
  </si>
  <si>
    <t xml:space="preserve">(440) 437-6545</t>
  </si>
  <si>
    <t xml:space="preserve">OH0175</t>
  </si>
  <si>
    <t xml:space="preserve">Granville Public Library</t>
  </si>
  <si>
    <t xml:space="preserve">Licking</t>
  </si>
  <si>
    <t xml:space="preserve">(740) 587-0196</t>
  </si>
  <si>
    <t xml:space="preserve">OH0096</t>
  </si>
  <si>
    <t xml:space="preserve">Greene County Public Library</t>
  </si>
  <si>
    <t xml:space="preserve">Xenia</t>
  </si>
  <si>
    <t xml:space="preserve">(937) 352-4000</t>
  </si>
  <si>
    <t xml:space="preserve">OH0247</t>
  </si>
  <si>
    <t xml:space="preserve">Greenville Public Library</t>
  </si>
  <si>
    <t xml:space="preserve">Darke</t>
  </si>
  <si>
    <t xml:space="preserve">(937) 548-3915</t>
  </si>
  <si>
    <t xml:space="preserve">OH0098</t>
  </si>
  <si>
    <t xml:space="preserve">Guernsey County District Public Library</t>
  </si>
  <si>
    <t xml:space="preserve">Guernsey</t>
  </si>
  <si>
    <t xml:space="preserve">(740) 432-5946</t>
  </si>
  <si>
    <t xml:space="preserve">OH0037</t>
  </si>
  <si>
    <t xml:space="preserve">Harris-Elmore Public Library</t>
  </si>
  <si>
    <t xml:space="preserve">(419) 862-2482</t>
  </si>
  <si>
    <t xml:space="preserve">OH0076</t>
  </si>
  <si>
    <t xml:space="preserve">Herbert Wescoat Memorial Library</t>
  </si>
  <si>
    <t xml:space="preserve">Mcarthur</t>
  </si>
  <si>
    <t xml:space="preserve">Vinton</t>
  </si>
  <si>
    <t xml:space="preserve">(740) 596-5691</t>
  </si>
  <si>
    <t xml:space="preserve">OH0137</t>
  </si>
  <si>
    <t xml:space="preserve">Highland County District Library</t>
  </si>
  <si>
    <t xml:space="preserve">(937) 393-3114</t>
  </si>
  <si>
    <t xml:space="preserve">OH0101</t>
  </si>
  <si>
    <t xml:space="preserve">Holmes County District Public Library</t>
  </si>
  <si>
    <t xml:space="preserve">Millersburg</t>
  </si>
  <si>
    <t xml:space="preserve">Holmes</t>
  </si>
  <si>
    <t xml:space="preserve">(330) 674-5972</t>
  </si>
  <si>
    <t xml:space="preserve">OH0146</t>
  </si>
  <si>
    <t xml:space="preserve">Hubbard Public Library</t>
  </si>
  <si>
    <t xml:space="preserve">Hubbard</t>
  </si>
  <si>
    <t xml:space="preserve">(330) 534-3512</t>
  </si>
  <si>
    <t xml:space="preserve">OH0104</t>
  </si>
  <si>
    <t xml:space="preserve">Hudson Library And Historical Society</t>
  </si>
  <si>
    <t xml:space="preserve">(330) 653-6658</t>
  </si>
  <si>
    <t xml:space="preserve">OH0105</t>
  </si>
  <si>
    <t xml:space="preserve">Huron County Community Library</t>
  </si>
  <si>
    <t xml:space="preserve">Willard</t>
  </si>
  <si>
    <t xml:space="preserve">(419) 933-8564</t>
  </si>
  <si>
    <t xml:space="preserve">OH0241</t>
  </si>
  <si>
    <t xml:space="preserve">Huron Public Library</t>
  </si>
  <si>
    <t xml:space="preserve">(419) 433-5009</t>
  </si>
  <si>
    <t xml:space="preserve">OH0106</t>
  </si>
  <si>
    <t xml:space="preserve">Ida Rupp Public Library</t>
  </si>
  <si>
    <t xml:space="preserve">Port Clinton</t>
  </si>
  <si>
    <t xml:space="preserve">(419) 732-3212</t>
  </si>
  <si>
    <t xml:space="preserve">OH0188</t>
  </si>
  <si>
    <t xml:space="preserve">Jackson City Library</t>
  </si>
  <si>
    <t xml:space="preserve">(740) 286-4111</t>
  </si>
  <si>
    <t xml:space="preserve">OH0108</t>
  </si>
  <si>
    <t xml:space="preserve">Kate Love Simpson-Morgan County Library</t>
  </si>
  <si>
    <t xml:space="preserve">Mcconnelsville</t>
  </si>
  <si>
    <t xml:space="preserve">(740) 962-2533</t>
  </si>
  <si>
    <t xml:space="preserve">OH0139</t>
  </si>
  <si>
    <t xml:space="preserve">Kaubisch Memorial Public Library</t>
  </si>
  <si>
    <t xml:space="preserve">Fostoria</t>
  </si>
  <si>
    <t xml:space="preserve">Seneca</t>
  </si>
  <si>
    <t xml:space="preserve">(419) 435-2813</t>
  </si>
  <si>
    <t xml:space="preserve">OH0084</t>
  </si>
  <si>
    <t xml:space="preserve">Kent Free Library</t>
  </si>
  <si>
    <t xml:space="preserve">(330) 673-4414</t>
  </si>
  <si>
    <t xml:space="preserve">OH0110</t>
  </si>
  <si>
    <t xml:space="preserve">Lakewood Public Library</t>
  </si>
  <si>
    <t xml:space="preserve">(216) 226-8275</t>
  </si>
  <si>
    <t xml:space="preserve">OH0115</t>
  </si>
  <si>
    <t xml:space="preserve">Lane Public Library</t>
  </si>
  <si>
    <t xml:space="preserve">(513) 894-7156</t>
  </si>
  <si>
    <t xml:space="preserve">OH0100</t>
  </si>
  <si>
    <t xml:space="preserve">(513) 932-2665</t>
  </si>
  <si>
    <t xml:space="preserve">OH0117</t>
  </si>
  <si>
    <t xml:space="preserve">Lepper Library</t>
  </si>
  <si>
    <t xml:space="preserve">Lisbon</t>
  </si>
  <si>
    <t xml:space="preserve">(330) 424-3117</t>
  </si>
  <si>
    <t xml:space="preserve">OH0122</t>
  </si>
  <si>
    <t xml:space="preserve">Licking County Library</t>
  </si>
  <si>
    <t xml:space="preserve">(740) 349-5500</t>
  </si>
  <si>
    <t xml:space="preserve">OH0163</t>
  </si>
  <si>
    <t xml:space="preserve">Lima Public Library</t>
  </si>
  <si>
    <t xml:space="preserve">Lima</t>
  </si>
  <si>
    <t xml:space="preserve">(419) 228-5113</t>
  </si>
  <si>
    <t xml:space="preserve">OH0121</t>
  </si>
  <si>
    <t xml:space="preserve">Logan County District Library</t>
  </si>
  <si>
    <t xml:space="preserve">Bellefontaine</t>
  </si>
  <si>
    <t xml:space="preserve">(937) 599-4189</t>
  </si>
  <si>
    <t xml:space="preserve">OH0021</t>
  </si>
  <si>
    <t xml:space="preserve">Logan-Hocking County District Library</t>
  </si>
  <si>
    <t xml:space="preserve">Hocking</t>
  </si>
  <si>
    <t xml:space="preserve">(740) 385-2348</t>
  </si>
  <si>
    <t xml:space="preserve">OH0123</t>
  </si>
  <si>
    <t xml:space="preserve">London Public Library</t>
  </si>
  <si>
    <t xml:space="preserve">(740) 852-9543</t>
  </si>
  <si>
    <t xml:space="preserve">OH0124</t>
  </si>
  <si>
    <t xml:space="preserve">Lorain Public Library</t>
  </si>
  <si>
    <t xml:space="preserve">(440) 244-1192</t>
  </si>
  <si>
    <t xml:space="preserve">OH0125</t>
  </si>
  <si>
    <t xml:space="preserve">(330) 875-1696</t>
  </si>
  <si>
    <t xml:space="preserve">OH0127</t>
  </si>
  <si>
    <t xml:space="preserve">(440) 428-2189</t>
  </si>
  <si>
    <t xml:space="preserve">OH0128</t>
  </si>
  <si>
    <t xml:space="preserve">Mansfield-Richland County Public Library</t>
  </si>
  <si>
    <t xml:space="preserve">(419) 521-3100</t>
  </si>
  <si>
    <t xml:space="preserve">OH0130</t>
  </si>
  <si>
    <t xml:space="preserve">(740) 387-0992</t>
  </si>
  <si>
    <t xml:space="preserve">OH0132</t>
  </si>
  <si>
    <t xml:space="preserve">Marvin Memorial Library</t>
  </si>
  <si>
    <t xml:space="preserve">(419) 347-5576</t>
  </si>
  <si>
    <t xml:space="preserve">OH0202</t>
  </si>
  <si>
    <t xml:space="preserve">Mary L. Cook Public Library</t>
  </si>
  <si>
    <t xml:space="preserve">(513) 897-4826</t>
  </si>
  <si>
    <t xml:space="preserve">OH0231</t>
  </si>
  <si>
    <t xml:space="preserve">Mary Lou Johnson-Hardin Cnty Pl</t>
  </si>
  <si>
    <t xml:space="preserve">(419) 673-2278</t>
  </si>
  <si>
    <t xml:space="preserve">OH0111</t>
  </si>
  <si>
    <t xml:space="preserve">Marysville Public Library</t>
  </si>
  <si>
    <t xml:space="preserve">(937) 642-1876</t>
  </si>
  <si>
    <t xml:space="preserve">OH0134</t>
  </si>
  <si>
    <t xml:space="preserve">Mason Public Library</t>
  </si>
  <si>
    <t xml:space="preserve">(513) 398-2711</t>
  </si>
  <si>
    <t xml:space="preserve">OH0135</t>
  </si>
  <si>
    <t xml:space="preserve">Massillon Public Library</t>
  </si>
  <si>
    <t xml:space="preserve">Massillon</t>
  </si>
  <si>
    <t xml:space="preserve">(330) 832-9831</t>
  </si>
  <si>
    <t xml:space="preserve">OH0136</t>
  </si>
  <si>
    <t xml:space="preserve">Mckinley Memorial Library</t>
  </si>
  <si>
    <t xml:space="preserve">(330) 652-1704</t>
  </si>
  <si>
    <t xml:space="preserve">OH0166</t>
  </si>
  <si>
    <t xml:space="preserve">Medina County District Library</t>
  </si>
  <si>
    <t xml:space="preserve">(330) 725-0588</t>
  </si>
  <si>
    <t xml:space="preserve">OH0141</t>
  </si>
  <si>
    <t xml:space="preserve">Meigs County District Public Library</t>
  </si>
  <si>
    <t xml:space="preserve">Pomeroy</t>
  </si>
  <si>
    <t xml:space="preserve">Meigs</t>
  </si>
  <si>
    <t xml:space="preserve">(740) 992-5813</t>
  </si>
  <si>
    <t xml:space="preserve">OH0187</t>
  </si>
  <si>
    <t xml:space="preserve">Mentor Public Library</t>
  </si>
  <si>
    <t xml:space="preserve">Mentor</t>
  </si>
  <si>
    <t xml:space="preserve">(440) 255-8811</t>
  </si>
  <si>
    <t xml:space="preserve">OH0142</t>
  </si>
  <si>
    <t xml:space="preserve">Mercer County District Public Library</t>
  </si>
  <si>
    <t xml:space="preserve">Celina</t>
  </si>
  <si>
    <t xml:space="preserve">(419) 586-4442</t>
  </si>
  <si>
    <t xml:space="preserve">OH0043</t>
  </si>
  <si>
    <t xml:space="preserve">Midpointe Library System</t>
  </si>
  <si>
    <t xml:space="preserve">(513) 424-1251</t>
  </si>
  <si>
    <t xml:space="preserve">OH0144</t>
  </si>
  <si>
    <t xml:space="preserve">Minerva Public Library</t>
  </si>
  <si>
    <t xml:space="preserve">Minerva</t>
  </si>
  <si>
    <t xml:space="preserve">(330) 868-4101</t>
  </si>
  <si>
    <t xml:space="preserve">OH0147</t>
  </si>
  <si>
    <t xml:space="preserve">Monroe County District Library</t>
  </si>
  <si>
    <t xml:space="preserve">Woodsfield</t>
  </si>
  <si>
    <t xml:space="preserve">(740) 472-1954</t>
  </si>
  <si>
    <t xml:space="preserve">OH0244</t>
  </si>
  <si>
    <t xml:space="preserve">Morley Library</t>
  </si>
  <si>
    <t xml:space="preserve">Painesville</t>
  </si>
  <si>
    <t xml:space="preserve">(440) 352-3383</t>
  </si>
  <si>
    <t xml:space="preserve">OH0177</t>
  </si>
  <si>
    <t xml:space="preserve">Mt Sterling Public Library</t>
  </si>
  <si>
    <t xml:space="preserve">Mt. Sterling</t>
  </si>
  <si>
    <t xml:space="preserve">(740) 869-2430</t>
  </si>
  <si>
    <t xml:space="preserve">OH0152</t>
  </si>
  <si>
    <t xml:space="preserve">Mt Vernon &amp; Knox County, Public Library Of</t>
  </si>
  <si>
    <t xml:space="preserve">Mt. Vernon</t>
  </si>
  <si>
    <t xml:space="preserve">(740) 392-2665</t>
  </si>
  <si>
    <t xml:space="preserve">OH0153</t>
  </si>
  <si>
    <t xml:space="preserve">Muskingum County Library System</t>
  </si>
  <si>
    <t xml:space="preserve">Zanesville</t>
  </si>
  <si>
    <t xml:space="preserve">Muskingum</t>
  </si>
  <si>
    <t xml:space="preserve">(740) 453-0391</t>
  </si>
  <si>
    <t xml:space="preserve">OH0250</t>
  </si>
  <si>
    <t xml:space="preserve">Napoleon Public Library</t>
  </si>
  <si>
    <t xml:space="preserve">Napoleon</t>
  </si>
  <si>
    <t xml:space="preserve">(419) 592-2531</t>
  </si>
  <si>
    <t xml:space="preserve">OH0155</t>
  </si>
  <si>
    <t xml:space="preserve">North Canton Public Library</t>
  </si>
  <si>
    <t xml:space="preserve">North Canton</t>
  </si>
  <si>
    <t xml:space="preserve">(330) 499-4712</t>
  </si>
  <si>
    <t xml:space="preserve">OH0168</t>
  </si>
  <si>
    <t xml:space="preserve">(419) 668-6063</t>
  </si>
  <si>
    <t xml:space="preserve">OH0169</t>
  </si>
  <si>
    <t xml:space="preserve">Oberlin Public Library</t>
  </si>
  <si>
    <t xml:space="preserve">(440) 775-4790</t>
  </si>
  <si>
    <t xml:space="preserve">OH0173</t>
  </si>
  <si>
    <t xml:space="preserve">Orrville Public Library</t>
  </si>
  <si>
    <t xml:space="preserve">Orrville</t>
  </si>
  <si>
    <t xml:space="preserve">(330) 683-1065</t>
  </si>
  <si>
    <t xml:space="preserve">OH0174</t>
  </si>
  <si>
    <t xml:space="preserve">Pataskala Public Library</t>
  </si>
  <si>
    <t xml:space="preserve">Pataskala</t>
  </si>
  <si>
    <t xml:space="preserve">(740) 927-9986</t>
  </si>
  <si>
    <t xml:space="preserve">OH0178</t>
  </si>
  <si>
    <t xml:space="preserve">Paulding County Carnegie Library</t>
  </si>
  <si>
    <t xml:space="preserve">Paulding</t>
  </si>
  <si>
    <t xml:space="preserve">(419) 399-2032</t>
  </si>
  <si>
    <t xml:space="preserve">OH0179</t>
  </si>
  <si>
    <t xml:space="preserve">Perry County District Library</t>
  </si>
  <si>
    <t xml:space="preserve">New Lexington</t>
  </si>
  <si>
    <t xml:space="preserve">(740) 342-4194</t>
  </si>
  <si>
    <t xml:space="preserve">OH0158</t>
  </si>
  <si>
    <t xml:space="preserve">Pickaway Cnty District Public Library</t>
  </si>
  <si>
    <t xml:space="preserve">Circleville</t>
  </si>
  <si>
    <t xml:space="preserve">Pickaway</t>
  </si>
  <si>
    <t xml:space="preserve">(740) 477-1644</t>
  </si>
  <si>
    <t xml:space="preserve">OH0050</t>
  </si>
  <si>
    <t xml:space="preserve">Pickerington Public Library</t>
  </si>
  <si>
    <t xml:space="preserve">Pickerington</t>
  </si>
  <si>
    <t xml:space="preserve">(614) 837-4104</t>
  </si>
  <si>
    <t xml:space="preserve">OH0184</t>
  </si>
  <si>
    <t xml:space="preserve">Piqua Public Library</t>
  </si>
  <si>
    <t xml:space="preserve">Piqua</t>
  </si>
  <si>
    <t xml:space="preserve">(937) 773-6753</t>
  </si>
  <si>
    <t xml:space="preserve">OH0185</t>
  </si>
  <si>
    <t xml:space="preserve">Plain City Public Library</t>
  </si>
  <si>
    <t xml:space="preserve">Plain City</t>
  </si>
  <si>
    <t xml:space="preserve">(614) 873-4912</t>
  </si>
  <si>
    <t xml:space="preserve">OH0186</t>
  </si>
  <si>
    <t xml:space="preserve">Portage County District Library</t>
  </si>
  <si>
    <t xml:space="preserve">Garrettsville</t>
  </si>
  <si>
    <t xml:space="preserve">(330) 527-5082</t>
  </si>
  <si>
    <t xml:space="preserve">OH0089</t>
  </si>
  <si>
    <t xml:space="preserve">Porter Public Library</t>
  </si>
  <si>
    <t xml:space="preserve">Westlake</t>
  </si>
  <si>
    <t xml:space="preserve">(440) 871-2600</t>
  </si>
  <si>
    <t xml:space="preserve">OH0238</t>
  </si>
  <si>
    <t xml:space="preserve">Scioto</t>
  </si>
  <si>
    <t xml:space="preserve">(740) 354-5688</t>
  </si>
  <si>
    <t xml:space="preserve">OH0189</t>
  </si>
  <si>
    <t xml:space="preserve">Preble County District Library</t>
  </si>
  <si>
    <t xml:space="preserve">Preble</t>
  </si>
  <si>
    <t xml:space="preserve">(937) 456-4250</t>
  </si>
  <si>
    <t xml:space="preserve">OH0075</t>
  </si>
  <si>
    <t xml:space="preserve">Puskarich Public Library</t>
  </si>
  <si>
    <t xml:space="preserve">(740) 942-2623</t>
  </si>
  <si>
    <t xml:space="preserve">OH0035</t>
  </si>
  <si>
    <t xml:space="preserve">Putnam County District Library</t>
  </si>
  <si>
    <t xml:space="preserve">(419) 523-3747</t>
  </si>
  <si>
    <t xml:space="preserve">OH0176</t>
  </si>
  <si>
    <t xml:space="preserve">Reed Memorial Library</t>
  </si>
  <si>
    <t xml:space="preserve">Ravenna</t>
  </si>
  <si>
    <t xml:space="preserve">(330) 296-2827</t>
  </si>
  <si>
    <t xml:space="preserve">OH0190</t>
  </si>
  <si>
    <t xml:space="preserve">Ritter Public Library</t>
  </si>
  <si>
    <t xml:space="preserve">(440) 967-3798</t>
  </si>
  <si>
    <t xml:space="preserve">OH0222</t>
  </si>
  <si>
    <t xml:space="preserve">Rocky River Public Library</t>
  </si>
  <si>
    <t xml:space="preserve">Rocky River</t>
  </si>
  <si>
    <t xml:space="preserve">(440) 333-7610</t>
  </si>
  <si>
    <t xml:space="preserve">OH0195</t>
  </si>
  <si>
    <t xml:space="preserve">Rodman Public Library</t>
  </si>
  <si>
    <t xml:space="preserve">Alliance</t>
  </si>
  <si>
    <t xml:space="preserve">(330) 821-2665</t>
  </si>
  <si>
    <t xml:space="preserve">OH0005</t>
  </si>
  <si>
    <t xml:space="preserve">Rossford Public Library</t>
  </si>
  <si>
    <t xml:space="preserve">Rossford</t>
  </si>
  <si>
    <t xml:space="preserve">Wood</t>
  </si>
  <si>
    <t xml:space="preserve">(419) 666-0924</t>
  </si>
  <si>
    <t xml:space="preserve">OH0196</t>
  </si>
  <si>
    <t xml:space="preserve">(330) 332-0042</t>
  </si>
  <si>
    <t xml:space="preserve">OH0198</t>
  </si>
  <si>
    <t xml:space="preserve">Salem Township Public Library</t>
  </si>
  <si>
    <t xml:space="preserve">Morrow</t>
  </si>
  <si>
    <t xml:space="preserve">(513) 899-2588</t>
  </si>
  <si>
    <t xml:space="preserve">OH0150</t>
  </si>
  <si>
    <t xml:space="preserve">Sandusky Library</t>
  </si>
  <si>
    <t xml:space="preserve">(419) 625-3834</t>
  </si>
  <si>
    <t xml:space="preserve">OH0199</t>
  </si>
  <si>
    <t xml:space="preserve">Selover Public Library</t>
  </si>
  <si>
    <t xml:space="preserve">Chesterville</t>
  </si>
  <si>
    <t xml:space="preserve">(419) 768-3431</t>
  </si>
  <si>
    <t xml:space="preserve">OH0047</t>
  </si>
  <si>
    <t xml:space="preserve">Shaker Heights Public Library</t>
  </si>
  <si>
    <t xml:space="preserve">Shaker Heights</t>
  </si>
  <si>
    <t xml:space="preserve">(216) 991-2030</t>
  </si>
  <si>
    <t xml:space="preserve">OH0200</t>
  </si>
  <si>
    <t xml:space="preserve">Shelby County Libraries - Amos Memorial</t>
  </si>
  <si>
    <t xml:space="preserve">(937) 492-8354</t>
  </si>
  <si>
    <t xml:space="preserve">OH0203</t>
  </si>
  <si>
    <t xml:space="preserve">Southwest Public Libraries</t>
  </si>
  <si>
    <t xml:space="preserve">Grove City</t>
  </si>
  <si>
    <t xml:space="preserve">(614) 875-6716</t>
  </si>
  <si>
    <t xml:space="preserve">OH0099</t>
  </si>
  <si>
    <t xml:space="preserve">St. Clairsville Public Library</t>
  </si>
  <si>
    <t xml:space="preserve">St. Clairsville</t>
  </si>
  <si>
    <t xml:space="preserve">(740) 695-2062</t>
  </si>
  <si>
    <t xml:space="preserve">OH0205</t>
  </si>
  <si>
    <t xml:space="preserve">St. Marys Community Public Library</t>
  </si>
  <si>
    <t xml:space="preserve">(419) 394-7471</t>
  </si>
  <si>
    <t xml:space="preserve">OH0206</t>
  </si>
  <si>
    <t xml:space="preserve">Stark County District Library</t>
  </si>
  <si>
    <t xml:space="preserve">(330) 452-0665</t>
  </si>
  <si>
    <t xml:space="preserve">OH0039</t>
  </si>
  <si>
    <t xml:space="preserve">Steubenville &amp; Jefferson County, Pl Of</t>
  </si>
  <si>
    <t xml:space="preserve">Steubenville</t>
  </si>
  <si>
    <t xml:space="preserve">(740) 282-9782</t>
  </si>
  <si>
    <t xml:space="preserve">OH0208</t>
  </si>
  <si>
    <t xml:space="preserve">Stow-Munroe Falls Public Library</t>
  </si>
  <si>
    <t xml:space="preserve">Stow</t>
  </si>
  <si>
    <t xml:space="preserve">(330) 688-3295</t>
  </si>
  <si>
    <t xml:space="preserve">OH0209</t>
  </si>
  <si>
    <t xml:space="preserve">Tiffin-Seneca Public Library</t>
  </si>
  <si>
    <t xml:space="preserve">Tiffin</t>
  </si>
  <si>
    <t xml:space="preserve">(419) 447-3751</t>
  </si>
  <si>
    <t xml:space="preserve">OH0213</t>
  </si>
  <si>
    <t xml:space="preserve">Tipp City Public Library</t>
  </si>
  <si>
    <t xml:space="preserve">Tipp City</t>
  </si>
  <si>
    <t xml:space="preserve">(937) 667-3826</t>
  </si>
  <si>
    <t xml:space="preserve">OH0214</t>
  </si>
  <si>
    <t xml:space="preserve">Toledo-Lucas County Public Library</t>
  </si>
  <si>
    <t xml:space="preserve">Toledo</t>
  </si>
  <si>
    <t xml:space="preserve">Lucas</t>
  </si>
  <si>
    <t xml:space="preserve">(419) 259-5200</t>
  </si>
  <si>
    <t xml:space="preserve">OH0215</t>
  </si>
  <si>
    <t xml:space="preserve">Troy-Miami County Public Library</t>
  </si>
  <si>
    <t xml:space="preserve">(937) 339-0502</t>
  </si>
  <si>
    <t xml:space="preserve">OH0216</t>
  </si>
  <si>
    <t xml:space="preserve">Tuscarawas County Public Library</t>
  </si>
  <si>
    <t xml:space="preserve">New Philadelphia</t>
  </si>
  <si>
    <t xml:space="preserve">(330) 364-4474</t>
  </si>
  <si>
    <t xml:space="preserve">OH0161</t>
  </si>
  <si>
    <t xml:space="preserve">Twinsburg Public Library</t>
  </si>
  <si>
    <t xml:space="preserve">Twinsburg</t>
  </si>
  <si>
    <t xml:space="preserve">(330) 425-4268</t>
  </si>
  <si>
    <t xml:space="preserve">OH0217</t>
  </si>
  <si>
    <t xml:space="preserve">Union Township Public Library</t>
  </si>
  <si>
    <t xml:space="preserve">(937) 392-4871</t>
  </si>
  <si>
    <t xml:space="preserve">OH0192</t>
  </si>
  <si>
    <t xml:space="preserve">Upper Arlington Public Library</t>
  </si>
  <si>
    <t xml:space="preserve">Upper Arlington</t>
  </si>
  <si>
    <t xml:space="preserve">(614) 486-9621</t>
  </si>
  <si>
    <t xml:space="preserve">OH0218</t>
  </si>
  <si>
    <t xml:space="preserve">Upper Sandusky Community Library</t>
  </si>
  <si>
    <t xml:space="preserve">Upper Sandusky</t>
  </si>
  <si>
    <t xml:space="preserve">Wyandot</t>
  </si>
  <si>
    <t xml:space="preserve">(419) 294-1345</t>
  </si>
  <si>
    <t xml:space="preserve">OH0219</t>
  </si>
  <si>
    <t xml:space="preserve">Warren-Trumbull County Public Library</t>
  </si>
  <si>
    <t xml:space="preserve">(330) 399-8807</t>
  </si>
  <si>
    <t xml:space="preserve">OH0226</t>
  </si>
  <si>
    <t xml:space="preserve">(740) 373-1057</t>
  </si>
  <si>
    <t xml:space="preserve">OH0131</t>
  </si>
  <si>
    <t xml:space="preserve">Washington-Centerville Public Library</t>
  </si>
  <si>
    <t xml:space="preserve">Centerville</t>
  </si>
  <si>
    <t xml:space="preserve">(937) 435-7375</t>
  </si>
  <si>
    <t xml:space="preserve">OH0045</t>
  </si>
  <si>
    <t xml:space="preserve">Wauseon Public Library</t>
  </si>
  <si>
    <t xml:space="preserve">Wauseon</t>
  </si>
  <si>
    <t xml:space="preserve">(419) 335-6626</t>
  </si>
  <si>
    <t xml:space="preserve">OH0228</t>
  </si>
  <si>
    <t xml:space="preserve">Way Public Library</t>
  </si>
  <si>
    <t xml:space="preserve">Perrysburg</t>
  </si>
  <si>
    <t xml:space="preserve">(419) 874-3135</t>
  </si>
  <si>
    <t xml:space="preserve">OH0183</t>
  </si>
  <si>
    <t xml:space="preserve">Wooster</t>
  </si>
  <si>
    <t xml:space="preserve">(330) 262-0916</t>
  </si>
  <si>
    <t xml:space="preserve">OH0245</t>
  </si>
  <si>
    <t xml:space="preserve">Westerville Public Library</t>
  </si>
  <si>
    <t xml:space="preserve">Westerville</t>
  </si>
  <si>
    <t xml:space="preserve">(614) 882-7277</t>
  </si>
  <si>
    <t xml:space="preserve">OH0237</t>
  </si>
  <si>
    <t xml:space="preserve">Wickliffe Public Library</t>
  </si>
  <si>
    <t xml:space="preserve">(440) 944-6010</t>
  </si>
  <si>
    <t xml:space="preserve">OH0240</t>
  </si>
  <si>
    <t xml:space="preserve">Williams Co Public Library</t>
  </si>
  <si>
    <t xml:space="preserve">Bryan</t>
  </si>
  <si>
    <t xml:space="preserve">(419) 636-6734</t>
  </si>
  <si>
    <t xml:space="preserve">OH0032</t>
  </si>
  <si>
    <t xml:space="preserve">Willoughby-Eastlake Public Library</t>
  </si>
  <si>
    <t xml:space="preserve">Willowick</t>
  </si>
  <si>
    <t xml:space="preserve">(440) 943-2203</t>
  </si>
  <si>
    <t xml:space="preserve">OH0242</t>
  </si>
  <si>
    <t xml:space="preserve">Wilmington Public Library Of Clinton County</t>
  </si>
  <si>
    <t xml:space="preserve">(937) 382-2417</t>
  </si>
  <si>
    <t xml:space="preserve">OH0243</t>
  </si>
  <si>
    <t xml:space="preserve">Wood County District Public Library</t>
  </si>
  <si>
    <t xml:space="preserve">(419) 352-5104</t>
  </si>
  <si>
    <t xml:space="preserve">OH0029</t>
  </si>
  <si>
    <t xml:space="preserve">Worthington Public Library</t>
  </si>
  <si>
    <t xml:space="preserve">(614) 807-2626</t>
  </si>
  <si>
    <t xml:space="preserve">OH0246</t>
  </si>
  <si>
    <t xml:space="preserve">Youngstown And Mahoning County, Pl Of</t>
  </si>
  <si>
    <t xml:space="preserve">Youngstown</t>
  </si>
  <si>
    <t xml:space="preserve">Mahoning</t>
  </si>
  <si>
    <t xml:space="preserve">(330) 744-8636</t>
  </si>
  <si>
    <t xml:space="preserve">OH0248</t>
  </si>
  <si>
    <t xml:space="preserve">OK</t>
  </si>
  <si>
    <t xml:space="preserve">Ada Public Library</t>
  </si>
  <si>
    <t xml:space="preserve">(580) 436-8124</t>
  </si>
  <si>
    <t xml:space="preserve">OK0001</t>
  </si>
  <si>
    <t xml:space="preserve">Ardmore Public Library</t>
  </si>
  <si>
    <t xml:space="preserve">Ardmore</t>
  </si>
  <si>
    <t xml:space="preserve">(580) 223-8290</t>
  </si>
  <si>
    <t xml:space="preserve">OK0006</t>
  </si>
  <si>
    <t xml:space="preserve">Bartlesville Public Library</t>
  </si>
  <si>
    <t xml:space="preserve">Bartlesville</t>
  </si>
  <si>
    <t xml:space="preserve">(918) 338-4161</t>
  </si>
  <si>
    <t xml:space="preserve">OK0009</t>
  </si>
  <si>
    <t xml:space="preserve">Chickasha Public Library</t>
  </si>
  <si>
    <t xml:space="preserve">Chickasha</t>
  </si>
  <si>
    <t xml:space="preserve">(405) 222-6075</t>
  </si>
  <si>
    <t xml:space="preserve">OK0021</t>
  </si>
  <si>
    <t xml:space="preserve">Claremore - Will Rogers Library</t>
  </si>
  <si>
    <t xml:space="preserve">Claremore</t>
  </si>
  <si>
    <t xml:space="preserve">(918) 341-1564</t>
  </si>
  <si>
    <t xml:space="preserve">OK0112</t>
  </si>
  <si>
    <t xml:space="preserve">Coweta Public Library</t>
  </si>
  <si>
    <t xml:space="preserve">Wagoner</t>
  </si>
  <si>
    <t xml:space="preserve">(918) 486-6532</t>
  </si>
  <si>
    <t xml:space="preserve">OK0025</t>
  </si>
  <si>
    <t xml:space="preserve">Duncan Public Library</t>
  </si>
  <si>
    <t xml:space="preserve">Duncan</t>
  </si>
  <si>
    <t xml:space="preserve">Stephens</t>
  </si>
  <si>
    <t xml:space="preserve">(580) 255-0636</t>
  </si>
  <si>
    <t xml:space="preserve">OK0031</t>
  </si>
  <si>
    <t xml:space="preserve">Durant-Donald Reynolds Community Ct &amp; Library</t>
  </si>
  <si>
    <t xml:space="preserve">Durant</t>
  </si>
  <si>
    <t xml:space="preserve">(580) 924-3486</t>
  </si>
  <si>
    <t xml:space="preserve">OK0032</t>
  </si>
  <si>
    <t xml:space="preserve">Eastern Oklahoma Library System</t>
  </si>
  <si>
    <t xml:space="preserve">Muskogee</t>
  </si>
  <si>
    <t xml:space="preserve">(918) 683-2846</t>
  </si>
  <si>
    <t xml:space="preserve">OK0066</t>
  </si>
  <si>
    <t xml:space="preserve">El Reno Carnegie Library</t>
  </si>
  <si>
    <t xml:space="preserve">El Reno</t>
  </si>
  <si>
    <t xml:space="preserve">Canadian</t>
  </si>
  <si>
    <t xml:space="preserve">(405) 262-2409</t>
  </si>
  <si>
    <t xml:space="preserve">OK0033</t>
  </si>
  <si>
    <t xml:space="preserve">Elk City Carnegie Library</t>
  </si>
  <si>
    <t xml:space="preserve">Elk City</t>
  </si>
  <si>
    <t xml:space="preserve">Beckham</t>
  </si>
  <si>
    <t xml:space="preserve">(580) 225-0136</t>
  </si>
  <si>
    <t xml:space="preserve">OK0034</t>
  </si>
  <si>
    <t xml:space="preserve">Enid-Public Library Of Enid And Garfield Co</t>
  </si>
  <si>
    <t xml:space="preserve">Enid</t>
  </si>
  <si>
    <t xml:space="preserve">(580) 234-6313</t>
  </si>
  <si>
    <t xml:space="preserve">OK0035</t>
  </si>
  <si>
    <t xml:space="preserve">Guthrie Public Library</t>
  </si>
  <si>
    <t xml:space="preserve">Guthrie</t>
  </si>
  <si>
    <t xml:space="preserve">(405) 282-0050</t>
  </si>
  <si>
    <t xml:space="preserve">OK0041</t>
  </si>
  <si>
    <t xml:space="preserve">Guymon Public Library &amp; Arts Center</t>
  </si>
  <si>
    <t xml:space="preserve">Guymon</t>
  </si>
  <si>
    <t xml:space="preserve">(580) 338-7330</t>
  </si>
  <si>
    <t xml:space="preserve">OK0042</t>
  </si>
  <si>
    <t xml:space="preserve">Lawton Public Library</t>
  </si>
  <si>
    <t xml:space="preserve">Lawton</t>
  </si>
  <si>
    <t xml:space="preserve">Comanche</t>
  </si>
  <si>
    <t xml:space="preserve">(580) 581-3450</t>
  </si>
  <si>
    <t xml:space="preserve">OK0054</t>
  </si>
  <si>
    <t xml:space="preserve">Madill City-County Library</t>
  </si>
  <si>
    <t xml:space="preserve">Madill</t>
  </si>
  <si>
    <t xml:space="preserve">(580) 795-2749</t>
  </si>
  <si>
    <t xml:space="preserve">OK0057</t>
  </si>
  <si>
    <t xml:space="preserve">Metropolitan Library System</t>
  </si>
  <si>
    <t xml:space="preserve">Oklahoma City</t>
  </si>
  <si>
    <t xml:space="preserve">Oklahoma</t>
  </si>
  <si>
    <t xml:space="preserve">(405) 606-3725</t>
  </si>
  <si>
    <t xml:space="preserve">OK0074</t>
  </si>
  <si>
    <t xml:space="preserve">Miami Public Library</t>
  </si>
  <si>
    <t xml:space="preserve">(918) 541-2292</t>
  </si>
  <si>
    <t xml:space="preserve">OK0064</t>
  </si>
  <si>
    <t xml:space="preserve">Mustang Public Library</t>
  </si>
  <si>
    <t xml:space="preserve">Mustang</t>
  </si>
  <si>
    <t xml:space="preserve">(405) 376-2226</t>
  </si>
  <si>
    <t xml:space="preserve">OK0067</t>
  </si>
  <si>
    <t xml:space="preserve">Okmulgee Public Library</t>
  </si>
  <si>
    <t xml:space="preserve">Okmulgee</t>
  </si>
  <si>
    <t xml:space="preserve">(918) 756-1448</t>
  </si>
  <si>
    <t xml:space="preserve">OK0075</t>
  </si>
  <si>
    <t xml:space="preserve">Pioneer Library System</t>
  </si>
  <si>
    <t xml:space="preserve">Norman</t>
  </si>
  <si>
    <t xml:space="preserve">(405) 801-4500</t>
  </si>
  <si>
    <t xml:space="preserve">OK0070</t>
  </si>
  <si>
    <t xml:space="preserve">Ponca City Library</t>
  </si>
  <si>
    <t xml:space="preserve">Ponca City</t>
  </si>
  <si>
    <t xml:space="preserve">Kay</t>
  </si>
  <si>
    <t xml:space="preserve">(580) 767-0345</t>
  </si>
  <si>
    <t xml:space="preserve">OK0081</t>
  </si>
  <si>
    <t xml:space="preserve">Sapulpa - Bartlett Carnegie Public Library</t>
  </si>
  <si>
    <t xml:space="preserve">Sapulpa</t>
  </si>
  <si>
    <t xml:space="preserve">Creek</t>
  </si>
  <si>
    <t xml:space="preserve">(918) 224-5624</t>
  </si>
  <si>
    <t xml:space="preserve">OK0085</t>
  </si>
  <si>
    <t xml:space="preserve">Southeast Oklahoma Library System</t>
  </si>
  <si>
    <t xml:space="preserve">Mcalester</t>
  </si>
  <si>
    <t xml:space="preserve">(918) 426-0456</t>
  </si>
  <si>
    <t xml:space="preserve">OK0062</t>
  </si>
  <si>
    <t xml:space="preserve">Southern Oklahoma Library System</t>
  </si>
  <si>
    <t xml:space="preserve">(580) 223-3164</t>
  </si>
  <si>
    <t xml:space="preserve">OK0007</t>
  </si>
  <si>
    <t xml:space="preserve">Southern Prairie Library System</t>
  </si>
  <si>
    <t xml:space="preserve">Altus</t>
  </si>
  <si>
    <t xml:space="preserve">(580) 477-2890</t>
  </si>
  <si>
    <t xml:space="preserve">OK0002</t>
  </si>
  <si>
    <t xml:space="preserve">Payne</t>
  </si>
  <si>
    <t xml:space="preserve">(405) 372-3633</t>
  </si>
  <si>
    <t xml:space="preserve">OK0113</t>
  </si>
  <si>
    <t xml:space="preserve">Tulsa City-County Library System</t>
  </si>
  <si>
    <t xml:space="preserve">Tulsa</t>
  </si>
  <si>
    <t xml:space="preserve">(918) 549-7323</t>
  </si>
  <si>
    <t xml:space="preserve">OK0093</t>
  </si>
  <si>
    <t xml:space="preserve">Western Plains Library System</t>
  </si>
  <si>
    <t xml:space="preserve">(580) 323-0974</t>
  </si>
  <si>
    <t xml:space="preserve">OK0024</t>
  </si>
  <si>
    <t xml:space="preserve">Woodward Public Library</t>
  </si>
  <si>
    <t xml:space="preserve">Woodward</t>
  </si>
  <si>
    <t xml:space="preserve">(580) 254-8544</t>
  </si>
  <si>
    <t xml:space="preserve">OK0102</t>
  </si>
  <si>
    <t xml:space="preserve">Yukon - Mabel C. Fry Public Library</t>
  </si>
  <si>
    <t xml:space="preserve">Yukon</t>
  </si>
  <si>
    <t xml:space="preserve">(405) 354-8232</t>
  </si>
  <si>
    <t xml:space="preserve">OK0105</t>
  </si>
  <si>
    <t xml:space="preserve">OR</t>
  </si>
  <si>
    <t xml:space="preserve">(541) 917-7581</t>
  </si>
  <si>
    <t xml:space="preserve">OR0106</t>
  </si>
  <si>
    <t xml:space="preserve">Aloha Community Library</t>
  </si>
  <si>
    <t xml:space="preserve">Aloha</t>
  </si>
  <si>
    <t xml:space="preserve">(503) 259-0185</t>
  </si>
  <si>
    <t xml:space="preserve">OR9010</t>
  </si>
  <si>
    <t xml:space="preserve">Astoria Public Library</t>
  </si>
  <si>
    <t xml:space="preserve">Astoria</t>
  </si>
  <si>
    <t xml:space="preserve">Clatsop</t>
  </si>
  <si>
    <t xml:space="preserve">(503) 325-7323</t>
  </si>
  <si>
    <t xml:space="preserve">OR0023</t>
  </si>
  <si>
    <t xml:space="preserve">Baker County Library District</t>
  </si>
  <si>
    <t xml:space="preserve">Baker City</t>
  </si>
  <si>
    <t xml:space="preserve">Baker</t>
  </si>
  <si>
    <t xml:space="preserve">(541) 523-6419</t>
  </si>
  <si>
    <t xml:space="preserve">OR0046</t>
  </si>
  <si>
    <t xml:space="preserve">Beaverton City Library</t>
  </si>
  <si>
    <t xml:space="preserve">Beaverton</t>
  </si>
  <si>
    <t xml:space="preserve">(503) 644-2197</t>
  </si>
  <si>
    <t xml:space="preserve">OR0080</t>
  </si>
  <si>
    <t xml:space="preserve">Canby Public Library</t>
  </si>
  <si>
    <t xml:space="preserve">Canby</t>
  </si>
  <si>
    <t xml:space="preserve">Clackamas</t>
  </si>
  <si>
    <t xml:space="preserve">(503) 266-3394</t>
  </si>
  <si>
    <t xml:space="preserve">OR0110</t>
  </si>
  <si>
    <t xml:space="preserve">Cedar Mill Community Library</t>
  </si>
  <si>
    <t xml:space="preserve">(503) 617-7323</t>
  </si>
  <si>
    <t xml:space="preserve">OR0128</t>
  </si>
  <si>
    <t xml:space="preserve">Chetco Community Public Library</t>
  </si>
  <si>
    <t xml:space="preserve">Brookings</t>
  </si>
  <si>
    <t xml:space="preserve">(541) 469-7738</t>
  </si>
  <si>
    <t xml:space="preserve">OR0107</t>
  </si>
  <si>
    <t xml:space="preserve">Clackamas County - Oak Lodge Public Library</t>
  </si>
  <si>
    <t xml:space="preserve">Oak Grove</t>
  </si>
  <si>
    <t xml:space="preserve">(503) 655-8543</t>
  </si>
  <si>
    <t xml:space="preserve">OR0129</t>
  </si>
  <si>
    <t xml:space="preserve">Coos Bay Public Library</t>
  </si>
  <si>
    <t xml:space="preserve">Coos Bay</t>
  </si>
  <si>
    <t xml:space="preserve">Coos</t>
  </si>
  <si>
    <t xml:space="preserve">(541) 269-1101</t>
  </si>
  <si>
    <t xml:space="preserve">OR0114</t>
  </si>
  <si>
    <t xml:space="preserve">Cornelius Public Library</t>
  </si>
  <si>
    <t xml:space="preserve">Cornelius</t>
  </si>
  <si>
    <t xml:space="preserve">(503) 357-4093</t>
  </si>
  <si>
    <t xml:space="preserve">OR0118</t>
  </si>
  <si>
    <t xml:space="preserve">Corvallis-Benton County Public Library</t>
  </si>
  <si>
    <t xml:space="preserve">Corvallis</t>
  </si>
  <si>
    <t xml:space="preserve">(541) 766-6793</t>
  </si>
  <si>
    <t xml:space="preserve">OR0119</t>
  </si>
  <si>
    <t xml:space="preserve">Cottage Grove Public Library</t>
  </si>
  <si>
    <t xml:space="preserve">Cottage Grove</t>
  </si>
  <si>
    <t xml:space="preserve">Lane</t>
  </si>
  <si>
    <t xml:space="preserve">(541) 942-3828</t>
  </si>
  <si>
    <t xml:space="preserve">OR0120</t>
  </si>
  <si>
    <t xml:space="preserve">Crook County Library</t>
  </si>
  <si>
    <t xml:space="preserve">Prineville</t>
  </si>
  <si>
    <t xml:space="preserve">Crook</t>
  </si>
  <si>
    <t xml:space="preserve">(541) 447-7978</t>
  </si>
  <si>
    <t xml:space="preserve">OR0065</t>
  </si>
  <si>
    <t xml:space="preserve">Dallas Public Library</t>
  </si>
  <si>
    <t xml:space="preserve">(503) 623-2633</t>
  </si>
  <si>
    <t xml:space="preserve">OR0121</t>
  </si>
  <si>
    <t xml:space="preserve">Deschutes Public Library District</t>
  </si>
  <si>
    <t xml:space="preserve">Bend</t>
  </si>
  <si>
    <t xml:space="preserve">Deschutes</t>
  </si>
  <si>
    <t xml:space="preserve">(541) 312-1021</t>
  </si>
  <si>
    <t xml:space="preserve">OR0091</t>
  </si>
  <si>
    <t xml:space="preserve">Driftwood Public Library</t>
  </si>
  <si>
    <t xml:space="preserve">Lincoln City</t>
  </si>
  <si>
    <t xml:space="preserve">(541) 996-2277</t>
  </si>
  <si>
    <t xml:space="preserve">OR0034</t>
  </si>
  <si>
    <t xml:space="preserve">Estacada Public Library</t>
  </si>
  <si>
    <t xml:space="preserve">Estacada</t>
  </si>
  <si>
    <t xml:space="preserve">(503) 630-8273</t>
  </si>
  <si>
    <t xml:space="preserve">OR0004</t>
  </si>
  <si>
    <t xml:space="preserve">Eugene Public Library</t>
  </si>
  <si>
    <t xml:space="preserve">Eugene</t>
  </si>
  <si>
    <t xml:space="preserve">(541) 682-5450</t>
  </si>
  <si>
    <t xml:space="preserve">OR0005</t>
  </si>
  <si>
    <t xml:space="preserve">F. Maxine And Thomas W. Cook Memorial Library</t>
  </si>
  <si>
    <t xml:space="preserve">La Grande</t>
  </si>
  <si>
    <t xml:space="preserve">(541) 962-1339</t>
  </si>
  <si>
    <t xml:space="preserve">OR0028</t>
  </si>
  <si>
    <t xml:space="preserve">Fern Ridge Library District</t>
  </si>
  <si>
    <t xml:space="preserve">Veneta</t>
  </si>
  <si>
    <t xml:space="preserve">(541) 935-7512</t>
  </si>
  <si>
    <t xml:space="preserve">OR0095</t>
  </si>
  <si>
    <t xml:space="preserve">Forest Grove City Library</t>
  </si>
  <si>
    <t xml:space="preserve">Forest Grove</t>
  </si>
  <si>
    <t xml:space="preserve">(503) 992-3247</t>
  </si>
  <si>
    <t xml:space="preserve">OR0009</t>
  </si>
  <si>
    <t xml:space="preserve">Gladstone Public Library</t>
  </si>
  <si>
    <t xml:space="preserve">(503) 655-8540</t>
  </si>
  <si>
    <t xml:space="preserve">OR0011</t>
  </si>
  <si>
    <t xml:space="preserve">Happy Valley Public Library</t>
  </si>
  <si>
    <t xml:space="preserve">Happy Valley</t>
  </si>
  <si>
    <t xml:space="preserve">(503) 783-3456</t>
  </si>
  <si>
    <t xml:space="preserve">OR9008</t>
  </si>
  <si>
    <t xml:space="preserve">Hermiston Public Library</t>
  </si>
  <si>
    <t xml:space="preserve">Hermiston</t>
  </si>
  <si>
    <t xml:space="preserve">Umatilla</t>
  </si>
  <si>
    <t xml:space="preserve">(541) 567-2882</t>
  </si>
  <si>
    <t xml:space="preserve">OR0018</t>
  </si>
  <si>
    <t xml:space="preserve">Hillsboro Public Library</t>
  </si>
  <si>
    <t xml:space="preserve">(503) 615-6500</t>
  </si>
  <si>
    <t xml:space="preserve">OR0019</t>
  </si>
  <si>
    <t xml:space="preserve">Hood River County Library District</t>
  </si>
  <si>
    <t xml:space="preserve">Hood River</t>
  </si>
  <si>
    <t xml:space="preserve">(541) 386-2535</t>
  </si>
  <si>
    <t xml:space="preserve">OR0144</t>
  </si>
  <si>
    <t xml:space="preserve">(503) 838-1811</t>
  </si>
  <si>
    <t xml:space="preserve">OR0021</t>
  </si>
  <si>
    <t xml:space="preserve">Jackson County Library Services</t>
  </si>
  <si>
    <t xml:space="preserve">(541) 774-6423</t>
  </si>
  <si>
    <t xml:space="preserve">OR0041</t>
  </si>
  <si>
    <t xml:space="preserve">Madras</t>
  </si>
  <si>
    <t xml:space="preserve">(541) 475-3351</t>
  </si>
  <si>
    <t xml:space="preserve">OR0037</t>
  </si>
  <si>
    <t xml:space="preserve">Josephine Community Library District</t>
  </si>
  <si>
    <t xml:space="preserve">Grants Pass</t>
  </si>
  <si>
    <t xml:space="preserve">Josephine</t>
  </si>
  <si>
    <t xml:space="preserve">(541) 476-0571</t>
  </si>
  <si>
    <t xml:space="preserve">OR0014</t>
  </si>
  <si>
    <t xml:space="preserve">Klamath County Library Service District</t>
  </si>
  <si>
    <t xml:space="preserve">Klamath Falls</t>
  </si>
  <si>
    <t xml:space="preserve">Klamath</t>
  </si>
  <si>
    <t xml:space="preserve">(541) 882-8894</t>
  </si>
  <si>
    <t xml:space="preserve">OR0027</t>
  </si>
  <si>
    <t xml:space="preserve">Lake Oswego Public Library</t>
  </si>
  <si>
    <t xml:space="preserve">Lake Oswego</t>
  </si>
  <si>
    <t xml:space="preserve">(503) 675-2539</t>
  </si>
  <si>
    <t xml:space="preserve">OR0029</t>
  </si>
  <si>
    <t xml:space="preserve">Lane Library District</t>
  </si>
  <si>
    <t xml:space="preserve">Creswell</t>
  </si>
  <si>
    <t xml:space="preserve">(541) 895-3053</t>
  </si>
  <si>
    <t xml:space="preserve">OR0140</t>
  </si>
  <si>
    <t xml:space="preserve">(541) 258-4926</t>
  </si>
  <si>
    <t xml:space="preserve">OR0033</t>
  </si>
  <si>
    <t xml:space="preserve">Ledding Library</t>
  </si>
  <si>
    <t xml:space="preserve">Milwaukie</t>
  </si>
  <si>
    <t xml:space="preserve">(503) 786-7580</t>
  </si>
  <si>
    <t xml:space="preserve">OR0043</t>
  </si>
  <si>
    <t xml:space="preserve">Mcminnville Public Library</t>
  </si>
  <si>
    <t xml:space="preserve">Mcminnville</t>
  </si>
  <si>
    <t xml:space="preserve">Yamhill</t>
  </si>
  <si>
    <t xml:space="preserve">(503) 435-5569</t>
  </si>
  <si>
    <t xml:space="preserve">OR0039</t>
  </si>
  <si>
    <t xml:space="preserve">Molalla Public Library</t>
  </si>
  <si>
    <t xml:space="preserve">Molalla</t>
  </si>
  <si>
    <t xml:space="preserve">(503) 829-2593</t>
  </si>
  <si>
    <t xml:space="preserve">OR0044</t>
  </si>
  <si>
    <t xml:space="preserve">Monmouth Public Library</t>
  </si>
  <si>
    <t xml:space="preserve">(503) 838-1932</t>
  </si>
  <si>
    <t xml:space="preserve">OR0045</t>
  </si>
  <si>
    <t xml:space="preserve">Multnomah County Library</t>
  </si>
  <si>
    <t xml:space="preserve">Multnomah</t>
  </si>
  <si>
    <t xml:space="preserve">(503) 988-5403</t>
  </si>
  <si>
    <t xml:space="preserve">OR0063</t>
  </si>
  <si>
    <t xml:space="preserve">Newberg Public Library</t>
  </si>
  <si>
    <t xml:space="preserve">Newberg</t>
  </si>
  <si>
    <t xml:space="preserve">(503) 537-0304</t>
  </si>
  <si>
    <t xml:space="preserve">OR0050</t>
  </si>
  <si>
    <t xml:space="preserve">Newport Public Library</t>
  </si>
  <si>
    <t xml:space="preserve">(541) 574-0600</t>
  </si>
  <si>
    <t xml:space="preserve">OR0051</t>
  </si>
  <si>
    <t xml:space="preserve">North Bend Public Library</t>
  </si>
  <si>
    <t xml:space="preserve">North Bend</t>
  </si>
  <si>
    <t xml:space="preserve">(541) 756-0400</t>
  </si>
  <si>
    <t xml:space="preserve">OR0052</t>
  </si>
  <si>
    <t xml:space="preserve">Ontario Library District</t>
  </si>
  <si>
    <t xml:space="preserve">Malheur</t>
  </si>
  <si>
    <t xml:space="preserve">(541) 889-6371</t>
  </si>
  <si>
    <t xml:space="preserve">OR0055</t>
  </si>
  <si>
    <t xml:space="preserve">Oregon City Public Library</t>
  </si>
  <si>
    <t xml:space="preserve">Oregon City</t>
  </si>
  <si>
    <t xml:space="preserve">(503) 657-8269</t>
  </si>
  <si>
    <t xml:space="preserve">OR0056</t>
  </si>
  <si>
    <t xml:space="preserve">Oregon Trail Library District</t>
  </si>
  <si>
    <t xml:space="preserve">Boardman</t>
  </si>
  <si>
    <t xml:space="preserve">(541) 481-3365</t>
  </si>
  <si>
    <t xml:space="preserve">OR0135</t>
  </si>
  <si>
    <t xml:space="preserve">Pendleton Public Library</t>
  </si>
  <si>
    <t xml:space="preserve">(541) 966-0380</t>
  </si>
  <si>
    <t xml:space="preserve">OR0059</t>
  </si>
  <si>
    <t xml:space="preserve">Roseburg Public Library</t>
  </si>
  <si>
    <t xml:space="preserve">Roseburg</t>
  </si>
  <si>
    <t xml:space="preserve">(541) 492-7050</t>
  </si>
  <si>
    <t xml:space="preserve">OR9014</t>
  </si>
  <si>
    <t xml:space="preserve">(503) 588-6315</t>
  </si>
  <si>
    <t xml:space="preserve">OR0069</t>
  </si>
  <si>
    <t xml:space="preserve">Sandy Public Library</t>
  </si>
  <si>
    <t xml:space="preserve">Sandy</t>
  </si>
  <si>
    <t xml:space="preserve">(503) 668-5537</t>
  </si>
  <si>
    <t xml:space="preserve">OR0071</t>
  </si>
  <si>
    <t xml:space="preserve">Scappoose Public Library District</t>
  </si>
  <si>
    <t xml:space="preserve">Scappoose</t>
  </si>
  <si>
    <t xml:space="preserve">(503) 543-7123</t>
  </si>
  <si>
    <t xml:space="preserve">OR0072</t>
  </si>
  <si>
    <t xml:space="preserve">Sherwood Public Library</t>
  </si>
  <si>
    <t xml:space="preserve">Sherwood</t>
  </si>
  <si>
    <t xml:space="preserve">(503) 625-6688</t>
  </si>
  <si>
    <t xml:space="preserve">OR0133</t>
  </si>
  <si>
    <t xml:space="preserve">Silver Falls Library District</t>
  </si>
  <si>
    <t xml:space="preserve">Silverton</t>
  </si>
  <si>
    <t xml:space="preserve">(503) 873-7633</t>
  </si>
  <si>
    <t xml:space="preserve">OR0078</t>
  </si>
  <si>
    <t xml:space="preserve">Siuslaw Public Library District</t>
  </si>
  <si>
    <t xml:space="preserve">(541) 997-3132</t>
  </si>
  <si>
    <t xml:space="preserve">OR0008</t>
  </si>
  <si>
    <t xml:space="preserve">Springfield Public Library</t>
  </si>
  <si>
    <t xml:space="preserve">(541) 726-3766</t>
  </si>
  <si>
    <t xml:space="preserve">OR0079</t>
  </si>
  <si>
    <t xml:space="preserve">St. Helens Public Library</t>
  </si>
  <si>
    <t xml:space="preserve">St. Helens</t>
  </si>
  <si>
    <t xml:space="preserve">(503) 397-4544</t>
  </si>
  <si>
    <t xml:space="preserve">OR0081</t>
  </si>
  <si>
    <t xml:space="preserve">The Dalles-Wasco County Library</t>
  </si>
  <si>
    <t xml:space="preserve">The Dalles</t>
  </si>
  <si>
    <t xml:space="preserve">Wasco</t>
  </si>
  <si>
    <t xml:space="preserve">(541) 296-2815</t>
  </si>
  <si>
    <t xml:space="preserve">OR0085</t>
  </si>
  <si>
    <t xml:space="preserve">Tigard Public Library</t>
  </si>
  <si>
    <t xml:space="preserve">Tigard</t>
  </si>
  <si>
    <t xml:space="preserve">(503) 684-6537</t>
  </si>
  <si>
    <t xml:space="preserve">OR0086</t>
  </si>
  <si>
    <t xml:space="preserve">Tillamook County Library</t>
  </si>
  <si>
    <t xml:space="preserve">Tillamook</t>
  </si>
  <si>
    <t xml:space="preserve">(503) 842-4792</t>
  </si>
  <si>
    <t xml:space="preserve">OR0087</t>
  </si>
  <si>
    <t xml:space="preserve">Tualatin Public Library</t>
  </si>
  <si>
    <t xml:space="preserve">Tualatin</t>
  </si>
  <si>
    <t xml:space="preserve">(503) 691-3074</t>
  </si>
  <si>
    <t xml:space="preserve">OR0090</t>
  </si>
  <si>
    <t xml:space="preserve">Umatilla Public Library</t>
  </si>
  <si>
    <t xml:space="preserve">(541) 922-5704</t>
  </si>
  <si>
    <t xml:space="preserve">OR0092</t>
  </si>
  <si>
    <t xml:space="preserve">West Linn Public Library</t>
  </si>
  <si>
    <t xml:space="preserve">West Linn</t>
  </si>
  <si>
    <t xml:space="preserve">(503) 656-7853</t>
  </si>
  <si>
    <t xml:space="preserve">OR0099</t>
  </si>
  <si>
    <t xml:space="preserve">West Slope Community Library</t>
  </si>
  <si>
    <t xml:space="preserve">(503) 292-6416</t>
  </si>
  <si>
    <t xml:space="preserve">OR9018</t>
  </si>
  <si>
    <t xml:space="preserve">Wilsonville Public Library</t>
  </si>
  <si>
    <t xml:space="preserve">Wilsonville</t>
  </si>
  <si>
    <t xml:space="preserve">(503) 570-1592</t>
  </si>
  <si>
    <t xml:space="preserve">OR0103</t>
  </si>
  <si>
    <t xml:space="preserve">Woodburn Public Library</t>
  </si>
  <si>
    <t xml:space="preserve">Woodburn</t>
  </si>
  <si>
    <t xml:space="preserve">(503) 980-2413</t>
  </si>
  <si>
    <t xml:space="preserve">OR0104</t>
  </si>
  <si>
    <t xml:space="preserve">PA</t>
  </si>
  <si>
    <t xml:space="preserve">Abington Community Library</t>
  </si>
  <si>
    <t xml:space="preserve">Clarks Summit</t>
  </si>
  <si>
    <t xml:space="preserve">(570) 587-3440</t>
  </si>
  <si>
    <t xml:space="preserve">PA0272</t>
  </si>
  <si>
    <t xml:space="preserve">Abington Twp Public Library</t>
  </si>
  <si>
    <t xml:space="preserve">(215) 885-5180</t>
  </si>
  <si>
    <t xml:space="preserve">PA0318</t>
  </si>
  <si>
    <t xml:space="preserve">Adams Memorial Library</t>
  </si>
  <si>
    <t xml:space="preserve">Latrobe</t>
  </si>
  <si>
    <t xml:space="preserve">Westmoreland</t>
  </si>
  <si>
    <t xml:space="preserve">(724) 539-1972</t>
  </si>
  <si>
    <t xml:space="preserve">PA0108</t>
  </si>
  <si>
    <t xml:space="preserve">Adams Sys Admin Unit</t>
  </si>
  <si>
    <t xml:space="preserve">Gettysburg</t>
  </si>
  <si>
    <t xml:space="preserve">(717) 334-0163</t>
  </si>
  <si>
    <t xml:space="preserve">PA0176</t>
  </si>
  <si>
    <t xml:space="preserve">Adamstown Area Library</t>
  </si>
  <si>
    <t xml:space="preserve">Adamstown</t>
  </si>
  <si>
    <t xml:space="preserve">(717) 484-4200</t>
  </si>
  <si>
    <t xml:space="preserve">PA0524</t>
  </si>
  <si>
    <t xml:space="preserve">Alexander Hamilton Memorial Free Library</t>
  </si>
  <si>
    <t xml:space="preserve">(717) 762-3335</t>
  </si>
  <si>
    <t xml:space="preserve">PA0178</t>
  </si>
  <si>
    <t xml:space="preserve">Allentown Public Library</t>
  </si>
  <si>
    <t xml:space="preserve">Allentown</t>
  </si>
  <si>
    <t xml:space="preserve">Lehigh</t>
  </si>
  <si>
    <t xml:space="preserve">(610) 820-2400</t>
  </si>
  <si>
    <t xml:space="preserve">PA0301</t>
  </si>
  <si>
    <t xml:space="preserve">Altoona Area Public Library</t>
  </si>
  <si>
    <t xml:space="preserve">Blair</t>
  </si>
  <si>
    <t xml:space="preserve">(814) 946-0417</t>
  </si>
  <si>
    <t xml:space="preserve">PA0518</t>
  </si>
  <si>
    <t xml:space="preserve">Amelia S Givin Library</t>
  </si>
  <si>
    <t xml:space="preserve">Mt Holly Springs</t>
  </si>
  <si>
    <t xml:space="preserve">(717) 486-3688</t>
  </si>
  <si>
    <t xml:space="preserve">PA0217</t>
  </si>
  <si>
    <t xml:space="preserve">Annie Halenbake Ross Library</t>
  </si>
  <si>
    <t xml:space="preserve">Lock Haven</t>
  </si>
  <si>
    <t xml:space="preserve">(570) 748-3321</t>
  </si>
  <si>
    <t xml:space="preserve">PA0169</t>
  </si>
  <si>
    <t xml:space="preserve">Annville Free Library</t>
  </si>
  <si>
    <t xml:space="preserve">Annville</t>
  </si>
  <si>
    <t xml:space="preserve">(717) 867-1802</t>
  </si>
  <si>
    <t xml:space="preserve">PA0196</t>
  </si>
  <si>
    <t xml:space="preserve">Aston Public Library</t>
  </si>
  <si>
    <t xml:space="preserve">Aston</t>
  </si>
  <si>
    <t xml:space="preserve">(610) 494-5877</t>
  </si>
  <si>
    <t xml:space="preserve">PA0359</t>
  </si>
  <si>
    <t xml:space="preserve">Avon Grove Library</t>
  </si>
  <si>
    <t xml:space="preserve">West Grove</t>
  </si>
  <si>
    <t xml:space="preserve">(610) 869-2004</t>
  </si>
  <si>
    <t xml:space="preserve">PA0357</t>
  </si>
  <si>
    <t xml:space="preserve">B F Jones Memorial Library</t>
  </si>
  <si>
    <t xml:space="preserve">Aliquippa</t>
  </si>
  <si>
    <t xml:space="preserve">Beaver</t>
  </si>
  <si>
    <t xml:space="preserve">(724) 375-2900</t>
  </si>
  <si>
    <t xml:space="preserve">PA0453</t>
  </si>
  <si>
    <t xml:space="preserve">Back Mountain Memorial Library</t>
  </si>
  <si>
    <t xml:space="preserve">Luzerne</t>
  </si>
  <si>
    <t xml:space="preserve">(570) 675-1182</t>
  </si>
  <si>
    <t xml:space="preserve">PA0261</t>
  </si>
  <si>
    <t xml:space="preserve">Baldwin Borough Public Library</t>
  </si>
  <si>
    <t xml:space="preserve">Pittsburgh</t>
  </si>
  <si>
    <t xml:space="preserve">Allegheny</t>
  </si>
  <si>
    <t xml:space="preserve">(412) 885-2255</t>
  </si>
  <si>
    <t xml:space="preserve">PA0022</t>
  </si>
  <si>
    <t xml:space="preserve">(610) 588-4136</t>
  </si>
  <si>
    <t xml:space="preserve">PA0290</t>
  </si>
  <si>
    <t xml:space="preserve">Beaver Area Memorial Library</t>
  </si>
  <si>
    <t xml:space="preserve">(724) 775-1132</t>
  </si>
  <si>
    <t xml:space="preserve">PA0387</t>
  </si>
  <si>
    <t xml:space="preserve">Beaver Sys Admin Unit</t>
  </si>
  <si>
    <t xml:space="preserve">Aliqiuipa</t>
  </si>
  <si>
    <t xml:space="preserve">(724) 378-6227</t>
  </si>
  <si>
    <t xml:space="preserve">PA9005</t>
  </si>
  <si>
    <t xml:space="preserve">Bedford Sys Admin Unit</t>
  </si>
  <si>
    <t xml:space="preserve">(814) 623-5010</t>
  </si>
  <si>
    <t xml:space="preserve">PA0120</t>
  </si>
  <si>
    <t xml:space="preserve">Benson Memorial Library, Inc.</t>
  </si>
  <si>
    <t xml:space="preserve">Titusville</t>
  </si>
  <si>
    <t xml:space="preserve">(814) 827-2913</t>
  </si>
  <si>
    <t xml:space="preserve">PA0074</t>
  </si>
  <si>
    <t xml:space="preserve">Bethel Park Public Library</t>
  </si>
  <si>
    <t xml:space="preserve">Bethel Park</t>
  </si>
  <si>
    <t xml:space="preserve">(412) 835-2207</t>
  </si>
  <si>
    <t xml:space="preserve">PA0024</t>
  </si>
  <si>
    <t xml:space="preserve">Bethlehem Area Public Library</t>
  </si>
  <si>
    <t xml:space="preserve">Bethlehem</t>
  </si>
  <si>
    <t xml:space="preserve">(610) 867-3761</t>
  </si>
  <si>
    <t xml:space="preserve">PA0291</t>
  </si>
  <si>
    <t xml:space="preserve">Bloomsburg Public Library</t>
  </si>
  <si>
    <t xml:space="preserve">Bloomsburg</t>
  </si>
  <si>
    <t xml:space="preserve">(570) 784-0883</t>
  </si>
  <si>
    <t xml:space="preserve">PA0226</t>
  </si>
  <si>
    <t xml:space="preserve">Boone Area Library</t>
  </si>
  <si>
    <t xml:space="preserve">Birdsboro</t>
  </si>
  <si>
    <t xml:space="preserve">Berks</t>
  </si>
  <si>
    <t xml:space="preserve">(610) 582-5666</t>
  </si>
  <si>
    <t xml:space="preserve">PA0202</t>
  </si>
  <si>
    <t xml:space="preserve">Bosler Free Library</t>
  </si>
  <si>
    <t xml:space="preserve">Carlisle</t>
  </si>
  <si>
    <t xml:space="preserve">(717) 243-4642</t>
  </si>
  <si>
    <t xml:space="preserve">PA0215</t>
  </si>
  <si>
    <t xml:space="preserve">Boyertown Community Library</t>
  </si>
  <si>
    <t xml:space="preserve">Boyertown</t>
  </si>
  <si>
    <t xml:space="preserve">(610) 369-0496</t>
  </si>
  <si>
    <t xml:space="preserve">PA0474</t>
  </si>
  <si>
    <t xml:space="preserve">Braddock Carnegie Library</t>
  </si>
  <si>
    <t xml:space="preserve">Braddock</t>
  </si>
  <si>
    <t xml:space="preserve">(412) 351-5356</t>
  </si>
  <si>
    <t xml:space="preserve">PA0471</t>
  </si>
  <si>
    <t xml:space="preserve">Bradford Area Public Library</t>
  </si>
  <si>
    <t xml:space="preserve">Bradford</t>
  </si>
  <si>
    <t xml:space="preserve">Mckean</t>
  </si>
  <si>
    <t xml:space="preserve">(814) 362-6527</t>
  </si>
  <si>
    <t xml:space="preserve">PA0153</t>
  </si>
  <si>
    <t xml:space="preserve">Bradford County Library</t>
  </si>
  <si>
    <t xml:space="preserve">(570) 297-2436</t>
  </si>
  <si>
    <t xml:space="preserve">PA0246</t>
  </si>
  <si>
    <t xml:space="preserve">Brandywine Community Library</t>
  </si>
  <si>
    <t xml:space="preserve">Topton</t>
  </si>
  <si>
    <t xml:space="preserve">(610) 682-7115</t>
  </si>
  <si>
    <t xml:space="preserve">PA0476</t>
  </si>
  <si>
    <t xml:space="preserve">Brentwood Library</t>
  </si>
  <si>
    <t xml:space="preserve">(412) 882-5694</t>
  </si>
  <si>
    <t xml:space="preserve">PA0415</t>
  </si>
  <si>
    <t xml:space="preserve">Brownsville Free Public Library</t>
  </si>
  <si>
    <t xml:space="preserve">(724) 785-7272</t>
  </si>
  <si>
    <t xml:space="preserve">PA0001</t>
  </si>
  <si>
    <t xml:space="preserve">Bucks County Free Library</t>
  </si>
  <si>
    <t xml:space="preserve">Doylestown</t>
  </si>
  <si>
    <t xml:space="preserve">Bucks</t>
  </si>
  <si>
    <t xml:space="preserve">(215) 348-0332</t>
  </si>
  <si>
    <t xml:space="preserve">PA0309</t>
  </si>
  <si>
    <t xml:space="preserve">Butler Area Public Library</t>
  </si>
  <si>
    <t xml:space="preserve">(724) 287-1715</t>
  </si>
  <si>
    <t xml:space="preserve">PA0055</t>
  </si>
  <si>
    <t xml:space="preserve">Butler Sys Admin Unit</t>
  </si>
  <si>
    <t xml:space="preserve">(724) 283-1880</t>
  </si>
  <si>
    <t xml:space="preserve">PA0529</t>
  </si>
  <si>
    <t xml:space="preserve">C.C. Mellor Memorial Library</t>
  </si>
  <si>
    <t xml:space="preserve">(412) 731-0909</t>
  </si>
  <si>
    <t xml:space="preserve">PA0031</t>
  </si>
  <si>
    <t xml:space="preserve">Cambria Sys Admin Unit</t>
  </si>
  <si>
    <t xml:space="preserve">Cambria</t>
  </si>
  <si>
    <t xml:space="preserve">(814) 536-5131</t>
  </si>
  <si>
    <t xml:space="preserve">PA0136</t>
  </si>
  <si>
    <t xml:space="preserve">(570) 282-4281</t>
  </si>
  <si>
    <t xml:space="preserve">PA0271</t>
  </si>
  <si>
    <t xml:space="preserve">Carnegie Free Library</t>
  </si>
  <si>
    <t xml:space="preserve">Connellsville</t>
  </si>
  <si>
    <t xml:space="preserve">(724) 628-1380</t>
  </si>
  <si>
    <t xml:space="preserve">PA0002</t>
  </si>
  <si>
    <t xml:space="preserve">Carnegie Free Library - Beaver Falls</t>
  </si>
  <si>
    <t xml:space="preserve">Beaver Falls</t>
  </si>
  <si>
    <t xml:space="preserve">(724) 846-4340</t>
  </si>
  <si>
    <t xml:space="preserve">PA0455</t>
  </si>
  <si>
    <t xml:space="preserve">Carnegie Free Library Of Swissvale</t>
  </si>
  <si>
    <t xml:space="preserve">Swissvale</t>
  </si>
  <si>
    <t xml:space="preserve">(412) 731-2300</t>
  </si>
  <si>
    <t xml:space="preserve">PA0048</t>
  </si>
  <si>
    <t xml:space="preserve">Carnegie Library Of Homestead</t>
  </si>
  <si>
    <t xml:space="preserve">Munhall</t>
  </si>
  <si>
    <t xml:space="preserve">(412) 462-3444</t>
  </si>
  <si>
    <t xml:space="preserve">PA0472</t>
  </si>
  <si>
    <t xml:space="preserve">Carnegie Library Of Mckeesport</t>
  </si>
  <si>
    <t xml:space="preserve">Mckeesport</t>
  </si>
  <si>
    <t xml:space="preserve">(412) 672-0625</t>
  </si>
  <si>
    <t xml:space="preserve">PA0034</t>
  </si>
  <si>
    <t xml:space="preserve">Carnegie Library Of Pittsburgh</t>
  </si>
  <si>
    <t xml:space="preserve">(412) 622-3114</t>
  </si>
  <si>
    <t xml:space="preserve">PA0042</t>
  </si>
  <si>
    <t xml:space="preserve">Centre Co Lib &amp; Hist Museum</t>
  </si>
  <si>
    <t xml:space="preserve">Bellefonte</t>
  </si>
  <si>
    <t xml:space="preserve">Centre</t>
  </si>
  <si>
    <t xml:space="preserve">(814) 355-1516</t>
  </si>
  <si>
    <t xml:space="preserve">PA0164</t>
  </si>
  <si>
    <t xml:space="preserve">Cheltenham Twnshp Lib System</t>
  </si>
  <si>
    <t xml:space="preserve">Glenside</t>
  </si>
  <si>
    <t xml:space="preserve">(215) 885-0457</t>
  </si>
  <si>
    <t xml:space="preserve">PA0447</t>
  </si>
  <si>
    <t xml:space="preserve">Chester County Library</t>
  </si>
  <si>
    <t xml:space="preserve">Exton</t>
  </si>
  <si>
    <t xml:space="preserve">(610) 344-5600</t>
  </si>
  <si>
    <t xml:space="preserve">PA0344</t>
  </si>
  <si>
    <t xml:space="preserve">Citizens Library</t>
  </si>
  <si>
    <t xml:space="preserve">(724) 222-2400</t>
  </si>
  <si>
    <t xml:space="preserve">PA0013</t>
  </si>
  <si>
    <t xml:space="preserve">Clarion Free Library</t>
  </si>
  <si>
    <t xml:space="preserve">Clarion</t>
  </si>
  <si>
    <t xml:space="preserve">(814) 226-7172</t>
  </si>
  <si>
    <t xml:space="preserve">PA0088</t>
  </si>
  <si>
    <t xml:space="preserve">Clearfield County Public Library</t>
  </si>
  <si>
    <t xml:space="preserve">Curwensville</t>
  </si>
  <si>
    <t xml:space="preserve">Clearfield</t>
  </si>
  <si>
    <t xml:space="preserve">(814) 236-0589</t>
  </si>
  <si>
    <t xml:space="preserve">PA0168</t>
  </si>
  <si>
    <t xml:space="preserve">Cleve J. Fredricksen Library</t>
  </si>
  <si>
    <t xml:space="preserve">Camp Hill</t>
  </si>
  <si>
    <t xml:space="preserve">(717) 761-3900</t>
  </si>
  <si>
    <t xml:space="preserve">PA0214</t>
  </si>
  <si>
    <t xml:space="preserve">Clymer Library Association</t>
  </si>
  <si>
    <t xml:space="preserve">Pocono Pines</t>
  </si>
  <si>
    <t xml:space="preserve">(570) 646-0826</t>
  </si>
  <si>
    <t xml:space="preserve">PA0289</t>
  </si>
  <si>
    <t xml:space="preserve">Coatesville Public Library Association</t>
  </si>
  <si>
    <t xml:space="preserve">Coatesville</t>
  </si>
  <si>
    <t xml:space="preserve">(610) 384-4115</t>
  </si>
  <si>
    <t xml:space="preserve">PA0345</t>
  </si>
  <si>
    <t xml:space="preserve">Columbia County Traveling Library Authority</t>
  </si>
  <si>
    <t xml:space="preserve">(570) 387-8782</t>
  </si>
  <si>
    <t xml:space="preserve">PA0227</t>
  </si>
  <si>
    <t xml:space="preserve">(717) 684-2255</t>
  </si>
  <si>
    <t xml:space="preserve">PA0439</t>
  </si>
  <si>
    <t xml:space="preserve">Community Library Of Allegheny Valley</t>
  </si>
  <si>
    <t xml:space="preserve">Natrona Heights</t>
  </si>
  <si>
    <t xml:space="preserve">(724) 226-3491</t>
  </si>
  <si>
    <t xml:space="preserve">PA9036</t>
  </si>
  <si>
    <t xml:space="preserve">Community Library Of The Shenango Valley</t>
  </si>
  <si>
    <t xml:space="preserve">(724) 981-4360</t>
  </si>
  <si>
    <t xml:space="preserve">PA0068</t>
  </si>
  <si>
    <t xml:space="preserve">Cooper-Siegel Community Library</t>
  </si>
  <si>
    <t xml:space="preserve">(412) 828-9520</t>
  </si>
  <si>
    <t xml:space="preserve">PA0040</t>
  </si>
  <si>
    <t xml:space="preserve">Corry Public Library</t>
  </si>
  <si>
    <t xml:space="preserve">Corry</t>
  </si>
  <si>
    <t xml:space="preserve">(814) 664-7611</t>
  </si>
  <si>
    <t xml:space="preserve">PA0077</t>
  </si>
  <si>
    <t xml:space="preserve">Coudersport Public Library</t>
  </si>
  <si>
    <t xml:space="preserve">Coudersport</t>
  </si>
  <si>
    <t xml:space="preserve">Potter</t>
  </si>
  <si>
    <t xml:space="preserve">(814) 274-9382</t>
  </si>
  <si>
    <t xml:space="preserve">PA0159</t>
  </si>
  <si>
    <t xml:space="preserve">Cranberry Public Library</t>
  </si>
  <si>
    <t xml:space="preserve">Cranberry Twp</t>
  </si>
  <si>
    <t xml:space="preserve">(724) 776-9100</t>
  </si>
  <si>
    <t xml:space="preserve">PA0418</t>
  </si>
  <si>
    <t xml:space="preserve">Darby Library</t>
  </si>
  <si>
    <t xml:space="preserve">Darby</t>
  </si>
  <si>
    <t xml:space="preserve">(610) 586-7310</t>
  </si>
  <si>
    <t xml:space="preserve">PA0363</t>
  </si>
  <si>
    <t xml:space="preserve">Dauphin County Library System</t>
  </si>
  <si>
    <t xml:space="preserve">Dauphin</t>
  </si>
  <si>
    <t xml:space="preserve">(717) 234-4961</t>
  </si>
  <si>
    <t xml:space="preserve">PA0222</t>
  </si>
  <si>
    <t xml:space="preserve">Degenstein Community Library</t>
  </si>
  <si>
    <t xml:space="preserve">Northumberland</t>
  </si>
  <si>
    <t xml:space="preserve">(570) 286-2461</t>
  </si>
  <si>
    <t xml:space="preserve">PA0235</t>
  </si>
  <si>
    <t xml:space="preserve">Dillsburg Area Public Library</t>
  </si>
  <si>
    <t xml:space="preserve">Dillsburg</t>
  </si>
  <si>
    <t xml:space="preserve">(717) 432-5613</t>
  </si>
  <si>
    <t xml:space="preserve">PA0179</t>
  </si>
  <si>
    <t xml:space="preserve">Dimmick Memorial Library</t>
  </si>
  <si>
    <t xml:space="preserve">Jim Thorpe</t>
  </si>
  <si>
    <t xml:space="preserve">Carbon</t>
  </si>
  <si>
    <t xml:space="preserve">(570) 325-2131</t>
  </si>
  <si>
    <t xml:space="preserve">PA0298</t>
  </si>
  <si>
    <t xml:space="preserve">Downingtown Library Company</t>
  </si>
  <si>
    <t xml:space="preserve">Downingtown</t>
  </si>
  <si>
    <t xml:space="preserve">(610) 269-2741</t>
  </si>
  <si>
    <t xml:space="preserve">PA0346</t>
  </si>
  <si>
    <t xml:space="preserve">Dubois Public Library</t>
  </si>
  <si>
    <t xml:space="preserve">(814) 371-5930</t>
  </si>
  <si>
    <t xml:space="preserve">PA0093</t>
  </si>
  <si>
    <t xml:space="preserve">Eastern Lancaster County Lib</t>
  </si>
  <si>
    <t xml:space="preserve">New Holland</t>
  </si>
  <si>
    <t xml:space="preserve">(717) 354-0525</t>
  </si>
  <si>
    <t xml:space="preserve">PA0195</t>
  </si>
  <si>
    <t xml:space="preserve">Eastern Monroe Public Library</t>
  </si>
  <si>
    <t xml:space="preserve">Stroudsburg</t>
  </si>
  <si>
    <t xml:space="preserve">(570) 421-0800</t>
  </si>
  <si>
    <t xml:space="preserve">PA0288</t>
  </si>
  <si>
    <t xml:space="preserve">Easton Area Public Library</t>
  </si>
  <si>
    <t xml:space="preserve">(610) 258-2917</t>
  </si>
  <si>
    <t xml:space="preserve">PA0292</t>
  </si>
  <si>
    <t xml:space="preserve">Easttown Library</t>
  </si>
  <si>
    <t xml:space="preserve">(610) 644-0138</t>
  </si>
  <si>
    <t xml:space="preserve">PA0347</t>
  </si>
  <si>
    <t xml:space="preserve">Elizabethtown Public Library</t>
  </si>
  <si>
    <t xml:space="preserve">(717) 367-7467</t>
  </si>
  <si>
    <t xml:space="preserve">PA0190</t>
  </si>
  <si>
    <t xml:space="preserve">Ellwood City Area Pub Library</t>
  </si>
  <si>
    <t xml:space="preserve">Ellwood City</t>
  </si>
  <si>
    <t xml:space="preserve">(724) 758-6458</t>
  </si>
  <si>
    <t xml:space="preserve">PA0062</t>
  </si>
  <si>
    <t xml:space="preserve">Emmaus Public Library</t>
  </si>
  <si>
    <t xml:space="preserve">Emmaus</t>
  </si>
  <si>
    <t xml:space="preserve">(610) 965-9284</t>
  </si>
  <si>
    <t xml:space="preserve">PA0304</t>
  </si>
  <si>
    <t xml:space="preserve">Ephrata Public Library</t>
  </si>
  <si>
    <t xml:space="preserve">Ephrata</t>
  </si>
  <si>
    <t xml:space="preserve">(717) 738-9291</t>
  </si>
  <si>
    <t xml:space="preserve">PA0191</t>
  </si>
  <si>
    <t xml:space="preserve">Erie County Public Library</t>
  </si>
  <si>
    <t xml:space="preserve">(814) 451-6900</t>
  </si>
  <si>
    <t xml:space="preserve">PA0423</t>
  </si>
  <si>
    <t xml:space="preserve">Eva K Bowlby Public Library</t>
  </si>
  <si>
    <t xml:space="preserve">Waynesburg</t>
  </si>
  <si>
    <t xml:space="preserve">(724) 627-9776</t>
  </si>
  <si>
    <t xml:space="preserve">PA0007</t>
  </si>
  <si>
    <t xml:space="preserve">Everett Free Library</t>
  </si>
  <si>
    <t xml:space="preserve">(814) 652-5922</t>
  </si>
  <si>
    <t xml:space="preserve">PA0121</t>
  </si>
  <si>
    <t xml:space="preserve">Exeter Community Library</t>
  </si>
  <si>
    <t xml:space="preserve">(610) 406-9431</t>
  </si>
  <si>
    <t xml:space="preserve">PA9031</t>
  </si>
  <si>
    <t xml:space="preserve">F.O.R. Sto-Rox Library</t>
  </si>
  <si>
    <t xml:space="preserve">Mckees Rocks</t>
  </si>
  <si>
    <t xml:space="preserve">(412) 771-1222</t>
  </si>
  <si>
    <t xml:space="preserve">PA0513</t>
  </si>
  <si>
    <t xml:space="preserve">Fleetwood Area Public Library</t>
  </si>
  <si>
    <t xml:space="preserve">Fleetwood</t>
  </si>
  <si>
    <t xml:space="preserve">(610) 944-0146</t>
  </si>
  <si>
    <t xml:space="preserve">PA0475</t>
  </si>
  <si>
    <t xml:space="preserve">Flenniken Public Library</t>
  </si>
  <si>
    <t xml:space="preserve">Carmichaels</t>
  </si>
  <si>
    <t xml:space="preserve">(724) 966-5263</t>
  </si>
  <si>
    <t xml:space="preserve">PA0006</t>
  </si>
  <si>
    <t xml:space="preserve">Frank Sarris Public Library</t>
  </si>
  <si>
    <t xml:space="preserve">Canonsburg</t>
  </si>
  <si>
    <t xml:space="preserve">(724) 745-1308</t>
  </si>
  <si>
    <t xml:space="preserve">PA0010</t>
  </si>
  <si>
    <t xml:space="preserve">Franklin Sys Admin Unit</t>
  </si>
  <si>
    <t xml:space="preserve">Chambersburg</t>
  </si>
  <si>
    <t xml:space="preserve">(717) 709-0282</t>
  </si>
  <si>
    <t xml:space="preserve">PA9037</t>
  </si>
  <si>
    <t xml:space="preserve">Free Lib Of Northampton Twp</t>
  </si>
  <si>
    <t xml:space="preserve">Richboro</t>
  </si>
  <si>
    <t xml:space="preserve">(215) 357-3050</t>
  </si>
  <si>
    <t xml:space="preserve">PA0313</t>
  </si>
  <si>
    <t xml:space="preserve">Free Library Of New Hope &amp; Solebury</t>
  </si>
  <si>
    <t xml:space="preserve">New Hope</t>
  </si>
  <si>
    <t xml:space="preserve">(215) 862-2330</t>
  </si>
  <si>
    <t xml:space="preserve">PA0312</t>
  </si>
  <si>
    <t xml:space="preserve">Free Library Of Philadelphia</t>
  </si>
  <si>
    <t xml:space="preserve">(215) 686-5300</t>
  </si>
  <si>
    <t xml:space="preserve">PA0385</t>
  </si>
  <si>
    <t xml:space="preserve">Free Library Of Springfield Township</t>
  </si>
  <si>
    <t xml:space="preserve">Wyndmoor</t>
  </si>
  <si>
    <t xml:space="preserve">(215) 836-5300</t>
  </si>
  <si>
    <t xml:space="preserve">PA0450</t>
  </si>
  <si>
    <t xml:space="preserve">Fulton County Library</t>
  </si>
  <si>
    <t xml:space="preserve">Mcconnellsburg</t>
  </si>
  <si>
    <t xml:space="preserve">(717) 485-5327</t>
  </si>
  <si>
    <t xml:space="preserve">PA0170</t>
  </si>
  <si>
    <t xml:space="preserve">Green Free Library Wellsboro</t>
  </si>
  <si>
    <t xml:space="preserve">Wellsboro</t>
  </si>
  <si>
    <t xml:space="preserve">Tioga</t>
  </si>
  <si>
    <t xml:space="preserve">(570) 724-4876</t>
  </si>
  <si>
    <t xml:space="preserve">PA0259</t>
  </si>
  <si>
    <t xml:space="preserve">Greensburg Hempfield Area Lib</t>
  </si>
  <si>
    <t xml:space="preserve">(724) 837-5620</t>
  </si>
  <si>
    <t xml:space="preserve">PA0104</t>
  </si>
  <si>
    <t xml:space="preserve">Greenville Area Public Library</t>
  </si>
  <si>
    <t xml:space="preserve">(724) 588-5490</t>
  </si>
  <si>
    <t xml:space="preserve">PA0065</t>
  </si>
  <si>
    <t xml:space="preserve">Grove City Community Library</t>
  </si>
  <si>
    <t xml:space="preserve">(724) 458-7320</t>
  </si>
  <si>
    <t xml:space="preserve">PA0066</t>
  </si>
  <si>
    <t xml:space="preserve">Guthrie Memorial Library - Hanover'S Public Library</t>
  </si>
  <si>
    <t xml:space="preserve">(717) 632-5183</t>
  </si>
  <si>
    <t xml:space="preserve">PA0181</t>
  </si>
  <si>
    <t xml:space="preserve">(610) 562-2843</t>
  </si>
  <si>
    <t xml:space="preserve">PA0204</t>
  </si>
  <si>
    <t xml:space="preserve">Hampton Community Library</t>
  </si>
  <si>
    <t xml:space="preserve">Allison Park</t>
  </si>
  <si>
    <t xml:space="preserve">(412) 684-1098</t>
  </si>
  <si>
    <t xml:space="preserve">PA0482</t>
  </si>
  <si>
    <t xml:space="preserve">Haverford Township Free Library Association</t>
  </si>
  <si>
    <t xml:space="preserve">Havertown</t>
  </si>
  <si>
    <t xml:space="preserve">(610) 446-3082</t>
  </si>
  <si>
    <t xml:space="preserve">PA0367</t>
  </si>
  <si>
    <t xml:space="preserve">Hazleton Area Public Library</t>
  </si>
  <si>
    <t xml:space="preserve">Hazleton</t>
  </si>
  <si>
    <t xml:space="preserve">(570) 454-2961</t>
  </si>
  <si>
    <t xml:space="preserve">PA0262</t>
  </si>
  <si>
    <t xml:space="preserve">Helen Kate Furness Fr Library</t>
  </si>
  <si>
    <t xml:space="preserve">(610) 566-9331</t>
  </si>
  <si>
    <t xml:space="preserve">PA0372</t>
  </si>
  <si>
    <t xml:space="preserve">Hellertown Area Library</t>
  </si>
  <si>
    <t xml:space="preserve">Hellertown</t>
  </si>
  <si>
    <t xml:space="preserve">(610) 838-8381</t>
  </si>
  <si>
    <t xml:space="preserve">PA0486</t>
  </si>
  <si>
    <t xml:space="preserve">Hershey Public Library</t>
  </si>
  <si>
    <t xml:space="preserve">Hershey</t>
  </si>
  <si>
    <t xml:space="preserve">(717) 533-6555</t>
  </si>
  <si>
    <t xml:space="preserve">PA0221</t>
  </si>
  <si>
    <t xml:space="preserve">Highland Community Library</t>
  </si>
  <si>
    <t xml:space="preserve">(814) 266-5610</t>
  </si>
  <si>
    <t xml:space="preserve">PA0141</t>
  </si>
  <si>
    <t xml:space="preserve">Hollidaysburg Area Public Library</t>
  </si>
  <si>
    <t xml:space="preserve">Hollidaysburg</t>
  </si>
  <si>
    <t xml:space="preserve">(814) 695-5961</t>
  </si>
  <si>
    <t xml:space="preserve">PA0433</t>
  </si>
  <si>
    <t xml:space="preserve">Honey Brook Community Library</t>
  </si>
  <si>
    <t xml:space="preserve">Honey Brook</t>
  </si>
  <si>
    <t xml:space="preserve">(610) 273-3303</t>
  </si>
  <si>
    <t xml:space="preserve">PA0348</t>
  </si>
  <si>
    <t xml:space="preserve">Horsham Township Library</t>
  </si>
  <si>
    <t xml:space="preserve">Horsham</t>
  </si>
  <si>
    <t xml:space="preserve">(215) 443-2609</t>
  </si>
  <si>
    <t xml:space="preserve">PA0530</t>
  </si>
  <si>
    <t xml:space="preserve">Hoyt Library</t>
  </si>
  <si>
    <t xml:space="preserve">(570) 287-2013</t>
  </si>
  <si>
    <t xml:space="preserve">PA0263</t>
  </si>
  <si>
    <t xml:space="preserve">Huntingdon County Library</t>
  </si>
  <si>
    <t xml:space="preserve">Huntingdon</t>
  </si>
  <si>
    <t xml:space="preserve">(814) 643-0200</t>
  </si>
  <si>
    <t xml:space="preserve">PA0172</t>
  </si>
  <si>
    <t xml:space="preserve">Huntingdon Valley Library</t>
  </si>
  <si>
    <t xml:space="preserve">Huntingdon Valley</t>
  </si>
  <si>
    <t xml:space="preserve">(215) 947-5138</t>
  </si>
  <si>
    <t xml:space="preserve">PA0332</t>
  </si>
  <si>
    <t xml:space="preserve">Indian Valley Public Library</t>
  </si>
  <si>
    <t xml:space="preserve">Telford</t>
  </si>
  <si>
    <t xml:space="preserve">(215) 723-9109</t>
  </si>
  <si>
    <t xml:space="preserve">PA0339</t>
  </si>
  <si>
    <t xml:space="preserve">Indiana Free Library Inc</t>
  </si>
  <si>
    <t xml:space="preserve">Indiana</t>
  </si>
  <si>
    <t xml:space="preserve">(724) 465-8841</t>
  </si>
  <si>
    <t xml:space="preserve">PA0397</t>
  </si>
  <si>
    <t xml:space="preserve">Intercourse Library</t>
  </si>
  <si>
    <t xml:space="preserve">Intercourse</t>
  </si>
  <si>
    <t xml:space="preserve">(717) 768-3160</t>
  </si>
  <si>
    <t xml:space="preserve">PA0525</t>
  </si>
  <si>
    <t xml:space="preserve">J. Lewis Crozer Library</t>
  </si>
  <si>
    <t xml:space="preserve">(610) 494-3454</t>
  </si>
  <si>
    <t xml:space="preserve">PA0360</t>
  </si>
  <si>
    <t xml:space="preserve">James V Brown Library</t>
  </si>
  <si>
    <t xml:space="preserve">Williamsport</t>
  </si>
  <si>
    <t xml:space="preserve">Lycoming</t>
  </si>
  <si>
    <t xml:space="preserve">(570) 326-0536</t>
  </si>
  <si>
    <t xml:space="preserve">PA0251</t>
  </si>
  <si>
    <t xml:space="preserve">Jeannette Public Library</t>
  </si>
  <si>
    <t xml:space="preserve">Jeannette</t>
  </si>
  <si>
    <t xml:space="preserve">(724) 523-5702</t>
  </si>
  <si>
    <t xml:space="preserve">PA0107</t>
  </si>
  <si>
    <t xml:space="preserve">Jefferson Hills Public Library</t>
  </si>
  <si>
    <t xml:space="preserve">Jefferson Hills</t>
  </si>
  <si>
    <t xml:space="preserve">(412) 655-7741</t>
  </si>
  <si>
    <t xml:space="preserve">PA0033</t>
  </si>
  <si>
    <t xml:space="preserve">John Graham Public Library</t>
  </si>
  <si>
    <t xml:space="preserve">Newville</t>
  </si>
  <si>
    <t xml:space="preserve">(717) 776-5900</t>
  </si>
  <si>
    <t xml:space="preserve">PA0219</t>
  </si>
  <si>
    <t xml:space="preserve">John K Tener Library</t>
  </si>
  <si>
    <t xml:space="preserve">Charleroi</t>
  </si>
  <si>
    <t xml:space="preserve">(724) 483-8282</t>
  </si>
  <si>
    <t xml:space="preserve">PA0011</t>
  </si>
  <si>
    <t xml:space="preserve">Joseph &amp; Elizabeth Shaw Public Library</t>
  </si>
  <si>
    <t xml:space="preserve">(814) 765-3271</t>
  </si>
  <si>
    <t xml:space="preserve">PA0167</t>
  </si>
  <si>
    <t xml:space="preserve">Joseph T. Simpson Public Library</t>
  </si>
  <si>
    <t xml:space="preserve">Mechanicsburg</t>
  </si>
  <si>
    <t xml:space="preserve">(717) 766-0171</t>
  </si>
  <si>
    <t xml:space="preserve">PA0216</t>
  </si>
  <si>
    <t xml:space="preserve">Juniata County Library</t>
  </si>
  <si>
    <t xml:space="preserve">Mifflintown</t>
  </si>
  <si>
    <t xml:space="preserve">Juniata</t>
  </si>
  <si>
    <t xml:space="preserve">(717) 436-6378</t>
  </si>
  <si>
    <t xml:space="preserve">PA0173</t>
  </si>
  <si>
    <t xml:space="preserve">Kaltreider-Benfer Library</t>
  </si>
  <si>
    <t xml:space="preserve">Red Lion</t>
  </si>
  <si>
    <t xml:space="preserve">(717) 244-2032</t>
  </si>
  <si>
    <t xml:space="preserve">PA0183</t>
  </si>
  <si>
    <t xml:space="preserve">Kennett Library</t>
  </si>
  <si>
    <t xml:space="preserve">Kennett Square</t>
  </si>
  <si>
    <t xml:space="preserve">(610) 444-2702</t>
  </si>
  <si>
    <t xml:space="preserve">PA0349</t>
  </si>
  <si>
    <t xml:space="preserve">Kutztown Community Library</t>
  </si>
  <si>
    <t xml:space="preserve">Kutztown</t>
  </si>
  <si>
    <t xml:space="preserve">(610) 683-5820</t>
  </si>
  <si>
    <t xml:space="preserve">PA0440</t>
  </si>
  <si>
    <t xml:space="preserve">(717) 394-2651</t>
  </si>
  <si>
    <t xml:space="preserve">PA0192</t>
  </si>
  <si>
    <t xml:space="preserve">Lansdowne Public Library</t>
  </si>
  <si>
    <t xml:space="preserve">Lansdowne</t>
  </si>
  <si>
    <t xml:space="preserve">(610) 623-0239</t>
  </si>
  <si>
    <t xml:space="preserve">PA0368</t>
  </si>
  <si>
    <t xml:space="preserve">Laughlin Memorial Free Library</t>
  </si>
  <si>
    <t xml:space="preserve">Ambridge</t>
  </si>
  <si>
    <t xml:space="preserve">(724) 266-3857</t>
  </si>
  <si>
    <t xml:space="preserve">PA0454</t>
  </si>
  <si>
    <t xml:space="preserve">Lebanon Community Library</t>
  </si>
  <si>
    <t xml:space="preserve">(717) 273-7624</t>
  </si>
  <si>
    <t xml:space="preserve">PA0502</t>
  </si>
  <si>
    <t xml:space="preserve">Lehighton Area Memorial Library</t>
  </si>
  <si>
    <t xml:space="preserve">Lehighton</t>
  </si>
  <si>
    <t xml:space="preserve">(610) 377-2750</t>
  </si>
  <si>
    <t xml:space="preserve">PA0299</t>
  </si>
  <si>
    <t xml:space="preserve">Ligonier Valley Library</t>
  </si>
  <si>
    <t xml:space="preserve">Ligonier</t>
  </si>
  <si>
    <t xml:space="preserve">(724) 238-6451</t>
  </si>
  <si>
    <t xml:space="preserve">PA0109</t>
  </si>
  <si>
    <t xml:space="preserve">Lititz Public Library</t>
  </si>
  <si>
    <t xml:space="preserve">Lititz</t>
  </si>
  <si>
    <t xml:space="preserve">(717) 626-2255</t>
  </si>
  <si>
    <t xml:space="preserve">PA0193</t>
  </si>
  <si>
    <t xml:space="preserve">Lower Macungie Library</t>
  </si>
  <si>
    <t xml:space="preserve">Macungie</t>
  </si>
  <si>
    <t xml:space="preserve">(610) 966-6864</t>
  </si>
  <si>
    <t xml:space="preserve">PA9040</t>
  </si>
  <si>
    <t xml:space="preserve">Lower Merion Library System</t>
  </si>
  <si>
    <t xml:space="preserve">(610) 645-6110</t>
  </si>
  <si>
    <t xml:space="preserve">PA0448</t>
  </si>
  <si>
    <t xml:space="preserve">Lower Providence Com Library</t>
  </si>
  <si>
    <t xml:space="preserve">Eagleville</t>
  </si>
  <si>
    <t xml:space="preserve">(610) 666-6640</t>
  </si>
  <si>
    <t xml:space="preserve">PA0334</t>
  </si>
  <si>
    <t xml:space="preserve">Mahanoy City Public Library</t>
  </si>
  <si>
    <t xml:space="preserve">Mahanoy City</t>
  </si>
  <si>
    <t xml:space="preserve">Schuylkill</t>
  </si>
  <si>
    <t xml:space="preserve">(570) 773-1610</t>
  </si>
  <si>
    <t xml:space="preserve">PA0402</t>
  </si>
  <si>
    <t xml:space="preserve">Malvern Public Library</t>
  </si>
  <si>
    <t xml:space="preserve">(610) 644-7259</t>
  </si>
  <si>
    <t xml:space="preserve">PA0350</t>
  </si>
  <si>
    <t xml:space="preserve">Manheim Community Library</t>
  </si>
  <si>
    <t xml:space="preserve">Manheim</t>
  </si>
  <si>
    <t xml:space="preserve">(717) 665-6700</t>
  </si>
  <si>
    <t xml:space="preserve">PA0526</t>
  </si>
  <si>
    <t xml:space="preserve">Manheim Township Public Library</t>
  </si>
  <si>
    <t xml:space="preserve">(717) 560-6441</t>
  </si>
  <si>
    <t xml:space="preserve">PA0535</t>
  </si>
  <si>
    <t xml:space="preserve">Marian Sutherland Kirby Lib</t>
  </si>
  <si>
    <t xml:space="preserve">Mountaintop</t>
  </si>
  <si>
    <t xml:space="preserve">(570) 474-9313</t>
  </si>
  <si>
    <t xml:space="preserve">PA0264</t>
  </si>
  <si>
    <t xml:space="preserve">Marple Public Library</t>
  </si>
  <si>
    <t xml:space="preserve">Broomall</t>
  </si>
  <si>
    <t xml:space="preserve">(610) 356-1510</t>
  </si>
  <si>
    <t xml:space="preserve">PA0452</t>
  </si>
  <si>
    <t xml:space="preserve">Mars Area Public Library</t>
  </si>
  <si>
    <t xml:space="preserve">Mars</t>
  </si>
  <si>
    <t xml:space="preserve">(724) 625-9048</t>
  </si>
  <si>
    <t xml:space="preserve">PA0058</t>
  </si>
  <si>
    <t xml:space="preserve">Mary Meuser Memorial Library</t>
  </si>
  <si>
    <t xml:space="preserve">(610) 258-3040</t>
  </si>
  <si>
    <t xml:space="preserve">PA0295</t>
  </si>
  <si>
    <t xml:space="preserve">Mason Dixon Public Library</t>
  </si>
  <si>
    <t xml:space="preserve">Stewartstown</t>
  </si>
  <si>
    <t xml:space="preserve">(717) 993-2404</t>
  </si>
  <si>
    <t xml:space="preserve">PA0186</t>
  </si>
  <si>
    <t xml:space="preserve">Matthews Public Library</t>
  </si>
  <si>
    <t xml:space="preserve">Fredericksburg</t>
  </si>
  <si>
    <t xml:space="preserve">(717) 865-5523</t>
  </si>
  <si>
    <t xml:space="preserve">PA0520</t>
  </si>
  <si>
    <t xml:space="preserve">Mcbride Memorial Library</t>
  </si>
  <si>
    <t xml:space="preserve">Berwick</t>
  </si>
  <si>
    <t xml:space="preserve">(570) 752-2241</t>
  </si>
  <si>
    <t xml:space="preserve">PA0225</t>
  </si>
  <si>
    <t xml:space="preserve">Mccord Memorial Library</t>
  </si>
  <si>
    <t xml:space="preserve">(814) 725-4057</t>
  </si>
  <si>
    <t xml:space="preserve">PA0080</t>
  </si>
  <si>
    <t xml:space="preserve">Meadville Public Library</t>
  </si>
  <si>
    <t xml:space="preserve">Meadville</t>
  </si>
  <si>
    <t xml:space="preserve">(814) 336-1773</t>
  </si>
  <si>
    <t xml:space="preserve">PA0421</t>
  </si>
  <si>
    <t xml:space="preserve">Media Upper Providence Free Library</t>
  </si>
  <si>
    <t xml:space="preserve">Media</t>
  </si>
  <si>
    <t xml:space="preserve">(610) 566-1918</t>
  </si>
  <si>
    <t xml:space="preserve">PA0370</t>
  </si>
  <si>
    <t xml:space="preserve">Mem Lib Of Nazareth &amp; Vicinity</t>
  </si>
  <si>
    <t xml:space="preserve">Nazareth</t>
  </si>
  <si>
    <t xml:space="preserve">(610) 759-4932</t>
  </si>
  <si>
    <t xml:space="preserve">PA0293</t>
  </si>
  <si>
    <t xml:space="preserve">Mem Library Of Radnor Twnshp</t>
  </si>
  <si>
    <t xml:space="preserve">(610) 687-1124</t>
  </si>
  <si>
    <t xml:space="preserve">PA0376</t>
  </si>
  <si>
    <t xml:space="preserve">Mercer Area Library</t>
  </si>
  <si>
    <t xml:space="preserve">(724) 662-4233</t>
  </si>
  <si>
    <t xml:space="preserve">PA0067</t>
  </si>
  <si>
    <t xml:space="preserve">Meyersdale Public Library</t>
  </si>
  <si>
    <t xml:space="preserve">Meyersdale</t>
  </si>
  <si>
    <t xml:space="preserve">(814) 634-0512</t>
  </si>
  <si>
    <t xml:space="preserve">PA0145</t>
  </si>
  <si>
    <t xml:space="preserve">Middletown Free Library</t>
  </si>
  <si>
    <t xml:space="preserve">(610) 566-7828</t>
  </si>
  <si>
    <t xml:space="preserve">PA0371</t>
  </si>
  <si>
    <t xml:space="preserve">Mifflin Community Library</t>
  </si>
  <si>
    <t xml:space="preserve">Shillington</t>
  </si>
  <si>
    <t xml:space="preserve">(610) 777-3911</t>
  </si>
  <si>
    <t xml:space="preserve">PA9033</t>
  </si>
  <si>
    <t xml:space="preserve">Mifflin County Library</t>
  </si>
  <si>
    <t xml:space="preserve">Lewistown</t>
  </si>
  <si>
    <t xml:space="preserve">Mifflin</t>
  </si>
  <si>
    <t xml:space="preserve">(717) 242-2391</t>
  </si>
  <si>
    <t xml:space="preserve">PA0174</t>
  </si>
  <si>
    <t xml:space="preserve">Milanof-Schock Library</t>
  </si>
  <si>
    <t xml:space="preserve">Mount Joy</t>
  </si>
  <si>
    <t xml:space="preserve">(717) 653-1510</t>
  </si>
  <si>
    <t xml:space="preserve">PA0194</t>
  </si>
  <si>
    <t xml:space="preserve">Mill Memorial Library</t>
  </si>
  <si>
    <t xml:space="preserve">Nanticoke</t>
  </si>
  <si>
    <t xml:space="preserve">(570) 735-3030</t>
  </si>
  <si>
    <t xml:space="preserve">PA0265</t>
  </si>
  <si>
    <t xml:space="preserve">(570) 742-7111</t>
  </si>
  <si>
    <t xml:space="preserve">PA0230</t>
  </si>
  <si>
    <t xml:space="preserve">Monongahela Area Library</t>
  </si>
  <si>
    <t xml:space="preserve">Monongahela</t>
  </si>
  <si>
    <t xml:space="preserve">(724) 258-5409</t>
  </si>
  <si>
    <t xml:space="preserve">PA0018</t>
  </si>
  <si>
    <t xml:space="preserve">Monroeville Public Library</t>
  </si>
  <si>
    <t xml:space="preserve">(412) 372-0500</t>
  </si>
  <si>
    <t xml:space="preserve">PA0035</t>
  </si>
  <si>
    <t xml:space="preserve">Mont Co-Norristown Pub Lib</t>
  </si>
  <si>
    <t xml:space="preserve">Norristown</t>
  </si>
  <si>
    <t xml:space="preserve">(610) 278-5100</t>
  </si>
  <si>
    <t xml:space="preserve">PA0336</t>
  </si>
  <si>
    <t xml:space="preserve">Moon Township Public Library</t>
  </si>
  <si>
    <t xml:space="preserve">Moon Township</t>
  </si>
  <si>
    <t xml:space="preserve">(412) 269-0334</t>
  </si>
  <si>
    <t xml:space="preserve">PA0036</t>
  </si>
  <si>
    <t xml:space="preserve">Mount Carmel Public Library</t>
  </si>
  <si>
    <t xml:space="preserve">Mount Carmel</t>
  </si>
  <si>
    <t xml:space="preserve">(570) 339-0703</t>
  </si>
  <si>
    <t xml:space="preserve">PA0231</t>
  </si>
  <si>
    <t xml:space="preserve">Mt Pleasant Fr Pub Lib Assoc</t>
  </si>
  <si>
    <t xml:space="preserve">(724) 547-3850</t>
  </si>
  <si>
    <t xml:space="preserve">PA0111</t>
  </si>
  <si>
    <t xml:space="preserve">Mt. Lebanon Public Library</t>
  </si>
  <si>
    <t xml:space="preserve">(412) 531-1912</t>
  </si>
  <si>
    <t xml:space="preserve">PA0037</t>
  </si>
  <si>
    <t xml:space="preserve">Muhlenberg Community Library</t>
  </si>
  <si>
    <t xml:space="preserve">Laureldale</t>
  </si>
  <si>
    <t xml:space="preserve">(610) 929-0589</t>
  </si>
  <si>
    <t xml:space="preserve">PA0209</t>
  </si>
  <si>
    <t xml:space="preserve">Murrysville Community Library</t>
  </si>
  <si>
    <t xml:space="preserve">Murrysville</t>
  </si>
  <si>
    <t xml:space="preserve">(724) 327-1102</t>
  </si>
  <si>
    <t xml:space="preserve">PA0103</t>
  </si>
  <si>
    <t xml:space="preserve">Myerstown Community Library</t>
  </si>
  <si>
    <t xml:space="preserve">Myerstown</t>
  </si>
  <si>
    <t xml:space="preserve">(717) 866-2800</t>
  </si>
  <si>
    <t xml:space="preserve">PA0198</t>
  </si>
  <si>
    <t xml:space="preserve">(724) 658-6659</t>
  </si>
  <si>
    <t xml:space="preserve">PA0063</t>
  </si>
  <si>
    <t xml:space="preserve">Newtown Public Library</t>
  </si>
  <si>
    <t xml:space="preserve">Newtown Square</t>
  </si>
  <si>
    <t xml:space="preserve">(610) 353-1022</t>
  </si>
  <si>
    <t xml:space="preserve">PA0373</t>
  </si>
  <si>
    <t xml:space="preserve">North Pocono Public Library</t>
  </si>
  <si>
    <t xml:space="preserve">(570) 842-4700</t>
  </si>
  <si>
    <t xml:space="preserve">PA0275</t>
  </si>
  <si>
    <t xml:space="preserve">North Versailles Public Library</t>
  </si>
  <si>
    <t xml:space="preserve">North Versailles</t>
  </si>
  <si>
    <t xml:space="preserve">(412) 823-2222</t>
  </si>
  <si>
    <t xml:space="preserve">PA0038</t>
  </si>
  <si>
    <t xml:space="preserve">North Wales Area Library</t>
  </si>
  <si>
    <t xml:space="preserve">North Wales</t>
  </si>
  <si>
    <t xml:space="preserve">(215) 699-5410</t>
  </si>
  <si>
    <t xml:space="preserve">PA9034</t>
  </si>
  <si>
    <t xml:space="preserve">Northampton Area Pub Library</t>
  </si>
  <si>
    <t xml:space="preserve">(610) 262-7537</t>
  </si>
  <si>
    <t xml:space="preserve">PA0294</t>
  </si>
  <si>
    <t xml:space="preserve">Northern Tier Regional Library</t>
  </si>
  <si>
    <t xml:space="preserve">Gibsonia</t>
  </si>
  <si>
    <t xml:space="preserve">(724) 449-2665</t>
  </si>
  <si>
    <t xml:space="preserve">PA0043</t>
  </si>
  <si>
    <t xml:space="preserve">Northland Public Library Authority</t>
  </si>
  <si>
    <t xml:space="preserve">(412) 366-8100</t>
  </si>
  <si>
    <t xml:space="preserve">PA0044</t>
  </si>
  <si>
    <t xml:space="preserve">Norwin Pub Lib Assoc</t>
  </si>
  <si>
    <t xml:space="preserve">Irwin</t>
  </si>
  <si>
    <t xml:space="preserve">(724) 863-4700</t>
  </si>
  <si>
    <t xml:space="preserve">PA0106</t>
  </si>
  <si>
    <t xml:space="preserve">Oil City Library</t>
  </si>
  <si>
    <t xml:space="preserve">Oil City</t>
  </si>
  <si>
    <t xml:space="preserve">Venango</t>
  </si>
  <si>
    <t xml:space="preserve">(814) 678-3072</t>
  </si>
  <si>
    <t xml:space="preserve">PA0101</t>
  </si>
  <si>
    <t xml:space="preserve">Osterhout Free Library</t>
  </si>
  <si>
    <t xml:space="preserve">Wilkes-Barre</t>
  </si>
  <si>
    <t xml:space="preserve">(570) 204-5583</t>
  </si>
  <si>
    <t xml:space="preserve">PA0269</t>
  </si>
  <si>
    <t xml:space="preserve">(610) 932-9625</t>
  </si>
  <si>
    <t xml:space="preserve">PA0351</t>
  </si>
  <si>
    <t xml:space="preserve">Palmerton Area Library</t>
  </si>
  <si>
    <t xml:space="preserve">Palmerton</t>
  </si>
  <si>
    <t xml:space="preserve">(610) 826-3424</t>
  </si>
  <si>
    <t xml:space="preserve">PA0300</t>
  </si>
  <si>
    <t xml:space="preserve">Palmyra Public Library</t>
  </si>
  <si>
    <t xml:space="preserve">(717) 838-1347</t>
  </si>
  <si>
    <t xml:space="preserve">PA0199</t>
  </si>
  <si>
    <t xml:space="preserve">Parkesburg Free Library</t>
  </si>
  <si>
    <t xml:space="preserve">Parkesburg</t>
  </si>
  <si>
    <t xml:space="preserve">(610) 857-5165</t>
  </si>
  <si>
    <t xml:space="preserve">PA0352</t>
  </si>
  <si>
    <t xml:space="preserve">Parkland Community Library</t>
  </si>
  <si>
    <t xml:space="preserve">(610) 398-1333</t>
  </si>
  <si>
    <t xml:space="preserve">PA0307</t>
  </si>
  <si>
    <t xml:space="preserve">Paul Smith Library Of Southern York County</t>
  </si>
  <si>
    <t xml:space="preserve">(717) 235-4313</t>
  </si>
  <si>
    <t xml:space="preserve">PA0184</t>
  </si>
  <si>
    <t xml:space="preserve">Penn Area Library</t>
  </si>
  <si>
    <t xml:space="preserve">Harrison City</t>
  </si>
  <si>
    <t xml:space="preserve">(724) 744-4414</t>
  </si>
  <si>
    <t xml:space="preserve">PA0429</t>
  </si>
  <si>
    <t xml:space="preserve">Penn Hills Library</t>
  </si>
  <si>
    <t xml:space="preserve">(412) 795-3507</t>
  </si>
  <si>
    <t xml:space="preserve">PA0041</t>
  </si>
  <si>
    <t xml:space="preserve">Peoples Library</t>
  </si>
  <si>
    <t xml:space="preserve">New Kensington</t>
  </si>
  <si>
    <t xml:space="preserve">(724) 339-1021</t>
  </si>
  <si>
    <t xml:space="preserve">PA0113</t>
  </si>
  <si>
    <t xml:space="preserve">Peters Township Public Library</t>
  </si>
  <si>
    <t xml:space="preserve">Mcmurray</t>
  </si>
  <si>
    <t xml:space="preserve">(724) 941-9430</t>
  </si>
  <si>
    <t xml:space="preserve">PA0019</t>
  </si>
  <si>
    <t xml:space="preserve">Phoenixville Public Library</t>
  </si>
  <si>
    <t xml:space="preserve">Phoenixville</t>
  </si>
  <si>
    <t xml:space="preserve">(610) 933-3013</t>
  </si>
  <si>
    <t xml:space="preserve">PA0353</t>
  </si>
  <si>
    <t xml:space="preserve">(570) 296-8211</t>
  </si>
  <si>
    <t xml:space="preserve">PA0297</t>
  </si>
  <si>
    <t xml:space="preserve">Plum Borough Library</t>
  </si>
  <si>
    <t xml:space="preserve">(412) 798-7323</t>
  </si>
  <si>
    <t xml:space="preserve">PA0495</t>
  </si>
  <si>
    <t xml:space="preserve">Pocono Mountain Public Library</t>
  </si>
  <si>
    <t xml:space="preserve">Tobyhanna</t>
  </si>
  <si>
    <t xml:space="preserve">(570) 894-8860</t>
  </si>
  <si>
    <t xml:space="preserve">PA0287</t>
  </si>
  <si>
    <t xml:space="preserve">Pottstown Regional Public Library</t>
  </si>
  <si>
    <t xml:space="preserve">Pottstown</t>
  </si>
  <si>
    <t xml:space="preserve">(610) 970-6551</t>
  </si>
  <si>
    <t xml:space="preserve">PA0338</t>
  </si>
  <si>
    <t xml:space="preserve">Pottsville Free Public Library</t>
  </si>
  <si>
    <t xml:space="preserve">Pottsville</t>
  </si>
  <si>
    <t xml:space="preserve">(570) 622-8880</t>
  </si>
  <si>
    <t xml:space="preserve">PA0405</t>
  </si>
  <si>
    <t xml:space="preserve">Public Library For Union Co</t>
  </si>
  <si>
    <t xml:space="preserve">Lewisburg</t>
  </si>
  <si>
    <t xml:space="preserve">(570) 523-1172</t>
  </si>
  <si>
    <t xml:space="preserve">PA0238</t>
  </si>
  <si>
    <t xml:space="preserve">Public Library Of Catasauqua</t>
  </si>
  <si>
    <t xml:space="preserve">Catasauqua</t>
  </si>
  <si>
    <t xml:space="preserve">(610) 264-4151</t>
  </si>
  <si>
    <t xml:space="preserve">PA0302</t>
  </si>
  <si>
    <t xml:space="preserve">Punxsutawney Memorial Library</t>
  </si>
  <si>
    <t xml:space="preserve">Punxsutawney</t>
  </si>
  <si>
    <t xml:space="preserve">(814) 938-5020</t>
  </si>
  <si>
    <t xml:space="preserve">PA0097</t>
  </si>
  <si>
    <t xml:space="preserve">Quarryville Library Center</t>
  </si>
  <si>
    <t xml:space="preserve">Quarryville</t>
  </si>
  <si>
    <t xml:space="preserve">(717) 786-1336</t>
  </si>
  <si>
    <t xml:space="preserve">PA0497</t>
  </si>
  <si>
    <t xml:space="preserve">Rachel Kohl Community Library</t>
  </si>
  <si>
    <t xml:space="preserve">Glen Mills</t>
  </si>
  <si>
    <t xml:space="preserve">(610) 358-3445</t>
  </si>
  <si>
    <t xml:space="preserve">PA0362</t>
  </si>
  <si>
    <t xml:space="preserve">(610) 655-6350</t>
  </si>
  <si>
    <t xml:space="preserve">PA0205</t>
  </si>
  <si>
    <t xml:space="preserve">Rebecca M Arthurs Mem Library</t>
  </si>
  <si>
    <t xml:space="preserve">(814) 849-5512</t>
  </si>
  <si>
    <t xml:space="preserve">PA0096</t>
  </si>
  <si>
    <t xml:space="preserve">Ridley Township Public Library</t>
  </si>
  <si>
    <t xml:space="preserve">(610) 583-0593</t>
  </si>
  <si>
    <t xml:space="preserve">PA0378</t>
  </si>
  <si>
    <t xml:space="preserve">Robinson Township Library</t>
  </si>
  <si>
    <t xml:space="preserve">(412) 787-3906</t>
  </si>
  <si>
    <t xml:space="preserve">PA0536</t>
  </si>
  <si>
    <t xml:space="preserve">Rostraver Public Library</t>
  </si>
  <si>
    <t xml:space="preserve">Rostraver Township</t>
  </si>
  <si>
    <t xml:space="preserve">(724) 379-5511</t>
  </si>
  <si>
    <t xml:space="preserve">PA0430</t>
  </si>
  <si>
    <t xml:space="preserve">Saint Marys Public Library</t>
  </si>
  <si>
    <t xml:space="preserve">St Marys</t>
  </si>
  <si>
    <t xml:space="preserve">Elk</t>
  </si>
  <si>
    <t xml:space="preserve">(814) 834-6141</t>
  </si>
  <si>
    <t xml:space="preserve">PA0152</t>
  </si>
  <si>
    <t xml:space="preserve">Schlow Centre Region Library</t>
  </si>
  <si>
    <t xml:space="preserve">State College</t>
  </si>
  <si>
    <t xml:space="preserve">(814) 237-6236</t>
  </si>
  <si>
    <t xml:space="preserve">PA0166</t>
  </si>
  <si>
    <t xml:space="preserve">Schuylkill Valley Community Library</t>
  </si>
  <si>
    <t xml:space="preserve">Leesport</t>
  </si>
  <si>
    <t xml:space="preserve">(610) 926-1555</t>
  </si>
  <si>
    <t xml:space="preserve">PA0464</t>
  </si>
  <si>
    <t xml:space="preserve">Scott Township Public Library</t>
  </si>
  <si>
    <t xml:space="preserve">Scott Township</t>
  </si>
  <si>
    <t xml:space="preserve">(412) 429-5380</t>
  </si>
  <si>
    <t xml:space="preserve">PA9041</t>
  </si>
  <si>
    <t xml:space="preserve">Scottdale Public Library</t>
  </si>
  <si>
    <t xml:space="preserve">Scottdale</t>
  </si>
  <si>
    <t xml:space="preserve">(724) 887-6140</t>
  </si>
  <si>
    <t xml:space="preserve">PA0116</t>
  </si>
  <si>
    <t xml:space="preserve">Scranton Public Library</t>
  </si>
  <si>
    <t xml:space="preserve">Scranton</t>
  </si>
  <si>
    <t xml:space="preserve">(570) 348-3000</t>
  </si>
  <si>
    <t xml:space="preserve">PA0276</t>
  </si>
  <si>
    <t xml:space="preserve">Sewickley Public Library</t>
  </si>
  <si>
    <t xml:space="preserve">Sewickley</t>
  </si>
  <si>
    <t xml:space="preserve">(412) 741-6920</t>
  </si>
  <si>
    <t xml:space="preserve">PA0053</t>
  </si>
  <si>
    <t xml:space="preserve">Shaler North Hills Library</t>
  </si>
  <si>
    <t xml:space="preserve">Glenshaw</t>
  </si>
  <si>
    <t xml:space="preserve">(412) 486-0211</t>
  </si>
  <si>
    <t xml:space="preserve">PA0045</t>
  </si>
  <si>
    <t xml:space="preserve">Shamokin &amp; Coal Twp Pub Lib</t>
  </si>
  <si>
    <t xml:space="preserve">Shamokin</t>
  </si>
  <si>
    <t xml:space="preserve">(570) 648-3202</t>
  </si>
  <si>
    <t xml:space="preserve">PA0234</t>
  </si>
  <si>
    <t xml:space="preserve">Shippensburg Public Library</t>
  </si>
  <si>
    <t xml:space="preserve">Shippensburg</t>
  </si>
  <si>
    <t xml:space="preserve">(717) 532-4508</t>
  </si>
  <si>
    <t xml:space="preserve">PA0220</t>
  </si>
  <si>
    <t xml:space="preserve">Slatington Library Inc</t>
  </si>
  <si>
    <t xml:space="preserve">Slatington</t>
  </si>
  <si>
    <t xml:space="preserve">(610) 767-6461</t>
  </si>
  <si>
    <t xml:space="preserve">PA0306</t>
  </si>
  <si>
    <t xml:space="preserve">Snyder County Libraries, Inc.</t>
  </si>
  <si>
    <t xml:space="preserve">Selinsgrove</t>
  </si>
  <si>
    <t xml:space="preserve">Snyder</t>
  </si>
  <si>
    <t xml:space="preserve">(570) 374-7163</t>
  </si>
  <si>
    <t xml:space="preserve">PA0237</t>
  </si>
  <si>
    <t xml:space="preserve">(814) 445-5907</t>
  </si>
  <si>
    <t xml:space="preserve">PA0146</t>
  </si>
  <si>
    <t xml:space="preserve">South Fayette Township Library</t>
  </si>
  <si>
    <t xml:space="preserve">(412) 257-8660</t>
  </si>
  <si>
    <t xml:space="preserve">PA0499</t>
  </si>
  <si>
    <t xml:space="preserve">South Park Township Library</t>
  </si>
  <si>
    <t xml:space="preserve">South Park</t>
  </si>
  <si>
    <t xml:space="preserve">(412) 833-5585</t>
  </si>
  <si>
    <t xml:space="preserve">PA0046</t>
  </si>
  <si>
    <t xml:space="preserve">Southampton Free Library</t>
  </si>
  <si>
    <t xml:space="preserve">(215) 322-1415</t>
  </si>
  <si>
    <t xml:space="preserve">PA0315</t>
  </si>
  <si>
    <t xml:space="preserve">Southern Lehigh Public Library</t>
  </si>
  <si>
    <t xml:space="preserve">Center Valley</t>
  </si>
  <si>
    <t xml:space="preserve">(610) 282-8825</t>
  </si>
  <si>
    <t xml:space="preserve">PA0305</t>
  </si>
  <si>
    <t xml:space="preserve">Spring City Fr Public Library</t>
  </si>
  <si>
    <t xml:space="preserve">Spring City</t>
  </si>
  <si>
    <t xml:space="preserve">(610) 948-4130</t>
  </si>
  <si>
    <t xml:space="preserve">PA0354</t>
  </si>
  <si>
    <t xml:space="preserve">Spring Township Library</t>
  </si>
  <si>
    <t xml:space="preserve">Wyomissing</t>
  </si>
  <si>
    <t xml:space="preserve">(610) 373-9888</t>
  </si>
  <si>
    <t xml:space="preserve">PA0211</t>
  </si>
  <si>
    <t xml:space="preserve">(610) 543-2113</t>
  </si>
  <si>
    <t xml:space="preserve">PA0380</t>
  </si>
  <si>
    <t xml:space="preserve">Sus Que Co Hist Soc &amp; Free Lib</t>
  </si>
  <si>
    <t xml:space="preserve">Susquehanna</t>
  </si>
  <si>
    <t xml:space="preserve">(570) 278-1881</t>
  </si>
  <si>
    <t xml:space="preserve">PA0278</t>
  </si>
  <si>
    <t xml:space="preserve">Tamaqua Public Library</t>
  </si>
  <si>
    <t xml:space="preserve">Tamaqua</t>
  </si>
  <si>
    <t xml:space="preserve">(570) 668-4660</t>
  </si>
  <si>
    <t xml:space="preserve">PA0409</t>
  </si>
  <si>
    <t xml:space="preserve">(570) 562-1234</t>
  </si>
  <si>
    <t xml:space="preserve">PA0277</t>
  </si>
  <si>
    <t xml:space="preserve">Thomas Beaver Free Library</t>
  </si>
  <si>
    <t xml:space="preserve">Montour</t>
  </si>
  <si>
    <t xml:space="preserve">(570) 275-4180</t>
  </si>
  <si>
    <t xml:space="preserve">PA0228</t>
  </si>
  <si>
    <t xml:space="preserve">Towanda Public Library</t>
  </si>
  <si>
    <t xml:space="preserve">Towanda</t>
  </si>
  <si>
    <t xml:space="preserve">(570) 265-2470</t>
  </si>
  <si>
    <t xml:space="preserve">PA0245</t>
  </si>
  <si>
    <t xml:space="preserve">Tredyffrin Public Library</t>
  </si>
  <si>
    <t xml:space="preserve">(610) 688-7092</t>
  </si>
  <si>
    <t xml:space="preserve">PA0355</t>
  </si>
  <si>
    <t xml:space="preserve">Tunkhannock Public Library</t>
  </si>
  <si>
    <t xml:space="preserve">Tunkhannock</t>
  </si>
  <si>
    <t xml:space="preserve">(570) 836-1677</t>
  </si>
  <si>
    <t xml:space="preserve">PA0270</t>
  </si>
  <si>
    <t xml:space="preserve">Twp Lib Of Lower Southampton</t>
  </si>
  <si>
    <t xml:space="preserve">Feasterville</t>
  </si>
  <si>
    <t xml:space="preserve">(215) 355-1183</t>
  </si>
  <si>
    <t xml:space="preserve">PA0310</t>
  </si>
  <si>
    <t xml:space="preserve">Upper Darby Township &amp; Sellers Memorial Free Public Library</t>
  </si>
  <si>
    <t xml:space="preserve">Upper Darby</t>
  </si>
  <si>
    <t xml:space="preserve">(610) 789-4440</t>
  </si>
  <si>
    <t xml:space="preserve">PA0383</t>
  </si>
  <si>
    <t xml:space="preserve">Upper Dublin Public Library</t>
  </si>
  <si>
    <t xml:space="preserve">Fort Washington</t>
  </si>
  <si>
    <t xml:space="preserve">(215) 628-8744</t>
  </si>
  <si>
    <t xml:space="preserve">PA0340</t>
  </si>
  <si>
    <t xml:space="preserve">Upper Merion Township Library</t>
  </si>
  <si>
    <t xml:space="preserve">King Of Prussia</t>
  </si>
  <si>
    <t xml:space="preserve">(610) 265-4805</t>
  </si>
  <si>
    <t xml:space="preserve">PA0341</t>
  </si>
  <si>
    <t xml:space="preserve">Upper Moreland Fr Pub Library</t>
  </si>
  <si>
    <t xml:space="preserve">Willow Grove</t>
  </si>
  <si>
    <t xml:space="preserve">(215) 659-0741</t>
  </si>
  <si>
    <t xml:space="preserve">PA0342</t>
  </si>
  <si>
    <t xml:space="preserve">Upper St. Clair Township Library</t>
  </si>
  <si>
    <t xml:space="preserve">Upper St Clair</t>
  </si>
  <si>
    <t xml:space="preserve">(412) 835-5540</t>
  </si>
  <si>
    <t xml:space="preserve">PA0049</t>
  </si>
  <si>
    <t xml:space="preserve">Valley Community Library</t>
  </si>
  <si>
    <t xml:space="preserve">Peckville</t>
  </si>
  <si>
    <t xml:space="preserve">(570) 489-1765</t>
  </si>
  <si>
    <t xml:space="preserve">PA0274</t>
  </si>
  <si>
    <t xml:space="preserve">Village Library Of Morgantown</t>
  </si>
  <si>
    <t xml:space="preserve">(610) 286-1022</t>
  </si>
  <si>
    <t xml:space="preserve">PA0203</t>
  </si>
  <si>
    <t xml:space="preserve">Warminster Township Library</t>
  </si>
  <si>
    <t xml:space="preserve">Warminster</t>
  </si>
  <si>
    <t xml:space="preserve">(215) 672-4362</t>
  </si>
  <si>
    <t xml:space="preserve">PA0316</t>
  </si>
  <si>
    <t xml:space="preserve">Warren Library Association</t>
  </si>
  <si>
    <t xml:space="preserve">(814) 723-4650</t>
  </si>
  <si>
    <t xml:space="preserve">PA0086</t>
  </si>
  <si>
    <t xml:space="preserve">Honesdale</t>
  </si>
  <si>
    <t xml:space="preserve">(570) 253-1220</t>
  </si>
  <si>
    <t xml:space="preserve">PA0281</t>
  </si>
  <si>
    <t xml:space="preserve">Wernersville Public Library</t>
  </si>
  <si>
    <t xml:space="preserve">Wernersville</t>
  </si>
  <si>
    <t xml:space="preserve">(610) 678-8771</t>
  </si>
  <si>
    <t xml:space="preserve">PA0210</t>
  </si>
  <si>
    <t xml:space="preserve">West Chester Public Library</t>
  </si>
  <si>
    <t xml:space="preserve">West Chester</t>
  </si>
  <si>
    <t xml:space="preserve">(610) 696-1721</t>
  </si>
  <si>
    <t xml:space="preserve">PA0356</t>
  </si>
  <si>
    <t xml:space="preserve">Western Allegheny Community Library</t>
  </si>
  <si>
    <t xml:space="preserve">(724) 695-8150</t>
  </si>
  <si>
    <t xml:space="preserve">PA0473</t>
  </si>
  <si>
    <t xml:space="preserve">Western Pocono Community Library</t>
  </si>
  <si>
    <t xml:space="preserve">Brodheadsville</t>
  </si>
  <si>
    <t xml:space="preserve">(570) 992-7934</t>
  </si>
  <si>
    <t xml:space="preserve">PA0286</t>
  </si>
  <si>
    <t xml:space="preserve">Whitehall Public Library</t>
  </si>
  <si>
    <t xml:space="preserve">(412) 882-6622</t>
  </si>
  <si>
    <t xml:space="preserve">PA0417</t>
  </si>
  <si>
    <t xml:space="preserve">Whitehall Township Pub Library</t>
  </si>
  <si>
    <t xml:space="preserve">(610) 432-4339</t>
  </si>
  <si>
    <t xml:space="preserve">PA0308</t>
  </si>
  <si>
    <t xml:space="preserve">Wilkinsburg Public Library</t>
  </si>
  <si>
    <t xml:space="preserve">Wilkinsburg</t>
  </si>
  <si>
    <t xml:space="preserve">(412) 244-2940</t>
  </si>
  <si>
    <t xml:space="preserve">PA0050</t>
  </si>
  <si>
    <t xml:space="preserve">William Jeanes Mem Library</t>
  </si>
  <si>
    <t xml:space="preserve">Lafayette Hill</t>
  </si>
  <si>
    <t xml:space="preserve">(610) 828-0441</t>
  </si>
  <si>
    <t xml:space="preserve">PA0451</t>
  </si>
  <si>
    <t xml:space="preserve">Windber Public Library</t>
  </si>
  <si>
    <t xml:space="preserve">Windber</t>
  </si>
  <si>
    <t xml:space="preserve">(814) 467-4950</t>
  </si>
  <si>
    <t xml:space="preserve">PA0148</t>
  </si>
  <si>
    <t xml:space="preserve">Wissahickon Valley Pub Library</t>
  </si>
  <si>
    <t xml:space="preserve">Blue Bell</t>
  </si>
  <si>
    <t xml:space="preserve">(215) 643-1320</t>
  </si>
  <si>
    <t xml:space="preserve">PA0319</t>
  </si>
  <si>
    <t xml:space="preserve">Wyomissing Public Library</t>
  </si>
  <si>
    <t xml:space="preserve">(610) 374-2385</t>
  </si>
  <si>
    <t xml:space="preserve">PA0213</t>
  </si>
  <si>
    <t xml:space="preserve">Yeadon Public Library</t>
  </si>
  <si>
    <t xml:space="preserve">Yeadon</t>
  </si>
  <si>
    <t xml:space="preserve">(610) 623-4090</t>
  </si>
  <si>
    <t xml:space="preserve">PA0384</t>
  </si>
  <si>
    <t xml:space="preserve">York Sys Admin Unit</t>
  </si>
  <si>
    <t xml:space="preserve">(717) 846-5300</t>
  </si>
  <si>
    <t xml:space="preserve">PA0188</t>
  </si>
  <si>
    <t xml:space="preserve">Zelienople Public Library</t>
  </si>
  <si>
    <t xml:space="preserve">Zelienople</t>
  </si>
  <si>
    <t xml:space="preserve">(724) 452-9330</t>
  </si>
  <si>
    <t xml:space="preserve">PA0060</t>
  </si>
  <si>
    <t xml:space="preserve">RI</t>
  </si>
  <si>
    <t xml:space="preserve">Adams Public Library</t>
  </si>
  <si>
    <t xml:space="preserve">Central Falls</t>
  </si>
  <si>
    <t xml:space="preserve">Providence</t>
  </si>
  <si>
    <t xml:space="preserve">(401) 727-7440</t>
  </si>
  <si>
    <t xml:space="preserve">RI0005</t>
  </si>
  <si>
    <t xml:space="preserve">Barrington Public Library</t>
  </si>
  <si>
    <t xml:space="preserve">(401) 247-1920</t>
  </si>
  <si>
    <t xml:space="preserve">RI0001</t>
  </si>
  <si>
    <t xml:space="preserve">Coventry Public Library</t>
  </si>
  <si>
    <t xml:space="preserve">(401) 822-9100</t>
  </si>
  <si>
    <t xml:space="preserve">RI0007</t>
  </si>
  <si>
    <t xml:space="preserve">Cranston Public Library</t>
  </si>
  <si>
    <t xml:space="preserve">Cranston</t>
  </si>
  <si>
    <t xml:space="preserve">(401) 943-9080</t>
  </si>
  <si>
    <t xml:space="preserve">RI0010</t>
  </si>
  <si>
    <t xml:space="preserve">Cumberland Public Library</t>
  </si>
  <si>
    <t xml:space="preserve">(401) 333-2552</t>
  </si>
  <si>
    <t xml:space="preserve">RI0011</t>
  </si>
  <si>
    <t xml:space="preserve">East Greenwich Free Library</t>
  </si>
  <si>
    <t xml:space="preserve">East Greenwich</t>
  </si>
  <si>
    <t xml:space="preserve">(401) 884-9510</t>
  </si>
  <si>
    <t xml:space="preserve">RI0012</t>
  </si>
  <si>
    <t xml:space="preserve">East Providence Public Library</t>
  </si>
  <si>
    <t xml:space="preserve">East Providence</t>
  </si>
  <si>
    <t xml:space="preserve">(401) 434-2453</t>
  </si>
  <si>
    <t xml:space="preserve">RI0013</t>
  </si>
  <si>
    <t xml:space="preserve">George Hail Free Library</t>
  </si>
  <si>
    <t xml:space="preserve">(401) 245-7686</t>
  </si>
  <si>
    <t xml:space="preserve">RI0045</t>
  </si>
  <si>
    <t xml:space="preserve">(401) 949-3630</t>
  </si>
  <si>
    <t xml:space="preserve">RI0042</t>
  </si>
  <si>
    <t xml:space="preserve">Jesse M. Smith Memorial Library</t>
  </si>
  <si>
    <t xml:space="preserve">Burrillville</t>
  </si>
  <si>
    <t xml:space="preserve">(401) 710-7800</t>
  </si>
  <si>
    <t xml:space="preserve">RI0003</t>
  </si>
  <si>
    <t xml:space="preserve">(401) 333-2422</t>
  </si>
  <si>
    <t xml:space="preserve">RI0023</t>
  </si>
  <si>
    <t xml:space="preserve">Marian J. Mohr Memorial Library</t>
  </si>
  <si>
    <t xml:space="preserve">(401) 231-4980</t>
  </si>
  <si>
    <t xml:space="preserve">RI0022</t>
  </si>
  <si>
    <t xml:space="preserve">Maury Loontjens Memorial Library (Narragansett)</t>
  </si>
  <si>
    <t xml:space="preserve">Narragansett</t>
  </si>
  <si>
    <t xml:space="preserve">(401) 789-9507</t>
  </si>
  <si>
    <t xml:space="preserve">RI0026</t>
  </si>
  <si>
    <t xml:space="preserve">Mayor Salvatore Mancini Union Free Library</t>
  </si>
  <si>
    <t xml:space="preserve">North Providence</t>
  </si>
  <si>
    <t xml:space="preserve">(401) 353-5600</t>
  </si>
  <si>
    <t xml:space="preserve">RI0032</t>
  </si>
  <si>
    <t xml:space="preserve">Middletown Public Library</t>
  </si>
  <si>
    <t xml:space="preserve">(401) 846-1573</t>
  </si>
  <si>
    <t xml:space="preserve">RI0025</t>
  </si>
  <si>
    <t xml:space="preserve">(401) 847-8720</t>
  </si>
  <si>
    <t xml:space="preserve">RI0028</t>
  </si>
  <si>
    <t xml:space="preserve">North Kingstown Free Library</t>
  </si>
  <si>
    <t xml:space="preserve">North Kingstown</t>
  </si>
  <si>
    <t xml:space="preserve">(401) 294-3306</t>
  </si>
  <si>
    <t xml:space="preserve">RI0029</t>
  </si>
  <si>
    <t xml:space="preserve">North Smithfield Public Library</t>
  </si>
  <si>
    <t xml:space="preserve">North Smithfield</t>
  </si>
  <si>
    <t xml:space="preserve">(401) 767-2780</t>
  </si>
  <si>
    <t xml:space="preserve">RI0033</t>
  </si>
  <si>
    <t xml:space="preserve">Pawtucket Public Library</t>
  </si>
  <si>
    <t xml:space="preserve">Pawtucket</t>
  </si>
  <si>
    <t xml:space="preserve">(401) 725-3714</t>
  </si>
  <si>
    <t xml:space="preserve">RI0034</t>
  </si>
  <si>
    <t xml:space="preserve">Portsmouth Free Public Library</t>
  </si>
  <si>
    <t xml:space="preserve">(401) 683-9457</t>
  </si>
  <si>
    <t xml:space="preserve">RI0035</t>
  </si>
  <si>
    <t xml:space="preserve">Providence Community Library</t>
  </si>
  <si>
    <t xml:space="preserve">(401) 467-2700</t>
  </si>
  <si>
    <t xml:space="preserve">RI0053</t>
  </si>
  <si>
    <t xml:space="preserve">Providence Public Library</t>
  </si>
  <si>
    <t xml:space="preserve">(401) 455-8000</t>
  </si>
  <si>
    <t xml:space="preserve">RI0036</t>
  </si>
  <si>
    <t xml:space="preserve">Rogers Free Library</t>
  </si>
  <si>
    <t xml:space="preserve">(401) 253-6948</t>
  </si>
  <si>
    <t xml:space="preserve">RI0002</t>
  </si>
  <si>
    <t xml:space="preserve">South Kingstown Public Library</t>
  </si>
  <si>
    <t xml:space="preserve">South Kingstown</t>
  </si>
  <si>
    <t xml:space="preserve">(401) 789-1555</t>
  </si>
  <si>
    <t xml:space="preserve">RI0043</t>
  </si>
  <si>
    <t xml:space="preserve">Tiverton Public Library</t>
  </si>
  <si>
    <t xml:space="preserve">Tiverton</t>
  </si>
  <si>
    <t xml:space="preserve">(401) 625-6796</t>
  </si>
  <si>
    <t xml:space="preserve">RI0044</t>
  </si>
  <si>
    <t xml:space="preserve">Warwick Public Library</t>
  </si>
  <si>
    <t xml:space="preserve">(401) 739-5440</t>
  </si>
  <si>
    <t xml:space="preserve">RI0046</t>
  </si>
  <si>
    <t xml:space="preserve">West Warwick Public Library</t>
  </si>
  <si>
    <t xml:space="preserve">West Warwick</t>
  </si>
  <si>
    <t xml:space="preserve">(401) 828-3750</t>
  </si>
  <si>
    <t xml:space="preserve">RI0049</t>
  </si>
  <si>
    <t xml:space="preserve">Westerly Public Library</t>
  </si>
  <si>
    <t xml:space="preserve">Westerly</t>
  </si>
  <si>
    <t xml:space="preserve">(401) 596-2877</t>
  </si>
  <si>
    <t xml:space="preserve">RI0050</t>
  </si>
  <si>
    <t xml:space="preserve">Woonsocket Harris Public Library</t>
  </si>
  <si>
    <t xml:space="preserve">Woonsocket</t>
  </si>
  <si>
    <t xml:space="preserve">(401) 769-9044</t>
  </si>
  <si>
    <t xml:space="preserve">RI0051</t>
  </si>
  <si>
    <t xml:space="preserve">SC</t>
  </si>
  <si>
    <t xml:space="preserve">Abbe Regional Library System</t>
  </si>
  <si>
    <t xml:space="preserve">Aiken</t>
  </si>
  <si>
    <t xml:space="preserve">(803) 642-7575</t>
  </si>
  <si>
    <t xml:space="preserve">SC0002</t>
  </si>
  <si>
    <t xml:space="preserve">Abbeville County Library System</t>
  </si>
  <si>
    <t xml:space="preserve">(864) 459-4009</t>
  </si>
  <si>
    <t xml:space="preserve">SC8003</t>
  </si>
  <si>
    <t xml:space="preserve">Allendale Hampton Jasper Regional Library</t>
  </si>
  <si>
    <t xml:space="preserve">(803) 584-3513</t>
  </si>
  <si>
    <t xml:space="preserve">SC0003</t>
  </si>
  <si>
    <t xml:space="preserve">Anderson County Library</t>
  </si>
  <si>
    <t xml:space="preserve">(864) 260-4500</t>
  </si>
  <si>
    <t xml:space="preserve">SC0004</t>
  </si>
  <si>
    <t xml:space="preserve">Beaufort County Library</t>
  </si>
  <si>
    <t xml:space="preserve">(843) 255-6456</t>
  </si>
  <si>
    <t xml:space="preserve">SC0005</t>
  </si>
  <si>
    <t xml:space="preserve">Berkeley County Library System</t>
  </si>
  <si>
    <t xml:space="preserve">Moncks Corner</t>
  </si>
  <si>
    <t xml:space="preserve">(843) 719-4223</t>
  </si>
  <si>
    <t xml:space="preserve">SC0006</t>
  </si>
  <si>
    <t xml:space="preserve">Calhoun County Library System</t>
  </si>
  <si>
    <t xml:space="preserve">St. Matthews</t>
  </si>
  <si>
    <t xml:space="preserve">(803) 873-3389</t>
  </si>
  <si>
    <t xml:space="preserve">SC0007</t>
  </si>
  <si>
    <t xml:space="preserve">Chapin Memorial Library</t>
  </si>
  <si>
    <t xml:space="preserve">Myrtle Beach</t>
  </si>
  <si>
    <t xml:space="preserve">Horry</t>
  </si>
  <si>
    <t xml:space="preserve">(843) 918-1275</t>
  </si>
  <si>
    <t xml:space="preserve">SC0008</t>
  </si>
  <si>
    <t xml:space="preserve">Charleston County Public Library System</t>
  </si>
  <si>
    <t xml:space="preserve">(843) 805-6930</t>
  </si>
  <si>
    <t xml:space="preserve">SC0009</t>
  </si>
  <si>
    <t xml:space="preserve">Cherokee County Public Library</t>
  </si>
  <si>
    <t xml:space="preserve">Gaffney</t>
  </si>
  <si>
    <t xml:space="preserve">(864) 487-2711</t>
  </si>
  <si>
    <t xml:space="preserve">SC0010</t>
  </si>
  <si>
    <t xml:space="preserve">(803) 377-8145</t>
  </si>
  <si>
    <t xml:space="preserve">SC0011</t>
  </si>
  <si>
    <t xml:space="preserve">Chesterfield County Library System</t>
  </si>
  <si>
    <t xml:space="preserve">(843) 623-7489</t>
  </si>
  <si>
    <t xml:space="preserve">SC0012</t>
  </si>
  <si>
    <t xml:space="preserve">Clarendon County Library System</t>
  </si>
  <si>
    <t xml:space="preserve">Manning</t>
  </si>
  <si>
    <t xml:space="preserve">Clarendon</t>
  </si>
  <si>
    <t xml:space="preserve">(803) 435-8633</t>
  </si>
  <si>
    <t xml:space="preserve">SC0013</t>
  </si>
  <si>
    <t xml:space="preserve">Colleton County Memorial Library</t>
  </si>
  <si>
    <t xml:space="preserve">Walterboro</t>
  </si>
  <si>
    <t xml:space="preserve">Colleton</t>
  </si>
  <si>
    <t xml:space="preserve">(843) 549-5621</t>
  </si>
  <si>
    <t xml:space="preserve">SC0014</t>
  </si>
  <si>
    <t xml:space="preserve">Darlington County Library System</t>
  </si>
  <si>
    <t xml:space="preserve">Darlington</t>
  </si>
  <si>
    <t xml:space="preserve">(843) 398-4940</t>
  </si>
  <si>
    <t xml:space="preserve">SC0015</t>
  </si>
  <si>
    <t xml:space="preserve">Dillon County Library System</t>
  </si>
  <si>
    <t xml:space="preserve">Dillon</t>
  </si>
  <si>
    <t xml:space="preserve">(843) 774-0330</t>
  </si>
  <si>
    <t xml:space="preserve">SC0016</t>
  </si>
  <si>
    <t xml:space="preserve">Dorchester County Library System</t>
  </si>
  <si>
    <t xml:space="preserve">St. George</t>
  </si>
  <si>
    <t xml:space="preserve">(843) 563-9189</t>
  </si>
  <si>
    <t xml:space="preserve">SC0017</t>
  </si>
  <si>
    <t xml:space="preserve">Fairfield County Library</t>
  </si>
  <si>
    <t xml:space="preserve">(803) 635-4971</t>
  </si>
  <si>
    <t xml:space="preserve">SC0018</t>
  </si>
  <si>
    <t xml:space="preserve">Florence County Library System</t>
  </si>
  <si>
    <t xml:space="preserve">(843) 662-8424</t>
  </si>
  <si>
    <t xml:space="preserve">SC0019</t>
  </si>
  <si>
    <t xml:space="preserve">Georgetown County Library</t>
  </si>
  <si>
    <t xml:space="preserve">(843) 545-3300</t>
  </si>
  <si>
    <t xml:space="preserve">SC0020</t>
  </si>
  <si>
    <t xml:space="preserve">Greenville County Library System</t>
  </si>
  <si>
    <t xml:space="preserve">(864) 242-5000</t>
  </si>
  <si>
    <t xml:space="preserve">SC0021</t>
  </si>
  <si>
    <t xml:space="preserve">Greenwood County Library System</t>
  </si>
  <si>
    <t xml:space="preserve">(864) 941-4650</t>
  </si>
  <si>
    <t xml:space="preserve">SC8004</t>
  </si>
  <si>
    <t xml:space="preserve">Horry County Memorial Library</t>
  </si>
  <si>
    <t xml:space="preserve">(843) 915-5285</t>
  </si>
  <si>
    <t xml:space="preserve">SC0022</t>
  </si>
  <si>
    <t xml:space="preserve">Kershaw County Library</t>
  </si>
  <si>
    <t xml:space="preserve">Kershaw</t>
  </si>
  <si>
    <t xml:space="preserve">(803) 425-1508</t>
  </si>
  <si>
    <t xml:space="preserve">SC0023</t>
  </si>
  <si>
    <t xml:space="preserve">Lancaster County Library System</t>
  </si>
  <si>
    <t xml:space="preserve">(803) 285-1502</t>
  </si>
  <si>
    <t xml:space="preserve">SC0024</t>
  </si>
  <si>
    <t xml:space="preserve">Laurens County Library System</t>
  </si>
  <si>
    <t xml:space="preserve">(864) 681-7323</t>
  </si>
  <si>
    <t xml:space="preserve">SC0025</t>
  </si>
  <si>
    <t xml:space="preserve">Lee County Public Library System</t>
  </si>
  <si>
    <t xml:space="preserve">Bishopville</t>
  </si>
  <si>
    <t xml:space="preserve">(803) 484-5921</t>
  </si>
  <si>
    <t xml:space="preserve">SC0026</t>
  </si>
  <si>
    <t xml:space="preserve">Lexington County Public Library System</t>
  </si>
  <si>
    <t xml:space="preserve">(803) 785-2600</t>
  </si>
  <si>
    <t xml:space="preserve">SC0027</t>
  </si>
  <si>
    <t xml:space="preserve">Marion County Library System</t>
  </si>
  <si>
    <t xml:space="preserve">(843) 423-8300</t>
  </si>
  <si>
    <t xml:space="preserve">SC0029</t>
  </si>
  <si>
    <t xml:space="preserve">Marlboro County Library System</t>
  </si>
  <si>
    <t xml:space="preserve">Bennettsville</t>
  </si>
  <si>
    <t xml:space="preserve">(843) 479-5630</t>
  </si>
  <si>
    <t xml:space="preserve">SC0030</t>
  </si>
  <si>
    <t xml:space="preserve">Newberry County Library System</t>
  </si>
  <si>
    <t xml:space="preserve">Newberry</t>
  </si>
  <si>
    <t xml:space="preserve">(803) 276-0854</t>
  </si>
  <si>
    <t xml:space="preserve">SC8001</t>
  </si>
  <si>
    <t xml:space="preserve">Oconee County Public Library</t>
  </si>
  <si>
    <t xml:space="preserve">Walhalla</t>
  </si>
  <si>
    <t xml:space="preserve">Oconee</t>
  </si>
  <si>
    <t xml:space="preserve">(864) 638-4133</t>
  </si>
  <si>
    <t xml:space="preserve">SC0032</t>
  </si>
  <si>
    <t xml:space="preserve">Orangeburg County Library Commission</t>
  </si>
  <si>
    <t xml:space="preserve">Orangeburg</t>
  </si>
  <si>
    <t xml:space="preserve">(803) 531-4636</t>
  </si>
  <si>
    <t xml:space="preserve">SC0033</t>
  </si>
  <si>
    <t xml:space="preserve">Pickens County Library System</t>
  </si>
  <si>
    <t xml:space="preserve">Easley</t>
  </si>
  <si>
    <t xml:space="preserve">(864) 850-7077</t>
  </si>
  <si>
    <t xml:space="preserve">SC0034</t>
  </si>
  <si>
    <t xml:space="preserve">Richland County Public Library</t>
  </si>
  <si>
    <t xml:space="preserve">(803) 799-9084</t>
  </si>
  <si>
    <t xml:space="preserve">SC0035</t>
  </si>
  <si>
    <t xml:space="preserve">Saluda County Library System</t>
  </si>
  <si>
    <t xml:space="preserve">Saluda</t>
  </si>
  <si>
    <t xml:space="preserve">(864) 445-4500</t>
  </si>
  <si>
    <t xml:space="preserve">SC8002</t>
  </si>
  <si>
    <t xml:space="preserve">Spartanburg County Public Library System</t>
  </si>
  <si>
    <t xml:space="preserve">Spartanburg</t>
  </si>
  <si>
    <t xml:space="preserve">(864) 596-3500</t>
  </si>
  <si>
    <t xml:space="preserve">SC0036</t>
  </si>
  <si>
    <t xml:space="preserve">Sumter County Public Library System</t>
  </si>
  <si>
    <t xml:space="preserve">(803) 773-7273</t>
  </si>
  <si>
    <t xml:space="preserve">SC0037</t>
  </si>
  <si>
    <t xml:space="preserve">(864) 427-7140</t>
  </si>
  <si>
    <t xml:space="preserve">SC0038</t>
  </si>
  <si>
    <t xml:space="preserve">Williamsburg County Library System</t>
  </si>
  <si>
    <t xml:space="preserve">Kingstree</t>
  </si>
  <si>
    <t xml:space="preserve">(843) 355-5946</t>
  </si>
  <si>
    <t xml:space="preserve">SC0039</t>
  </si>
  <si>
    <t xml:space="preserve">York County Library System</t>
  </si>
  <si>
    <t xml:space="preserve">Rock Hill</t>
  </si>
  <si>
    <t xml:space="preserve">(803) 981-5858</t>
  </si>
  <si>
    <t xml:space="preserve">SC0040</t>
  </si>
  <si>
    <t xml:space="preserve">SD</t>
  </si>
  <si>
    <t xml:space="preserve">Brookings Public Library</t>
  </si>
  <si>
    <t xml:space="preserve">(605) 692-9407</t>
  </si>
  <si>
    <t xml:space="preserve">SD0004</t>
  </si>
  <si>
    <t xml:space="preserve">Edith B Siegrist Vermillion Public Library</t>
  </si>
  <si>
    <t xml:space="preserve">Vermillion</t>
  </si>
  <si>
    <t xml:space="preserve">(605) 677-7060</t>
  </si>
  <si>
    <t xml:space="preserve">SD0026</t>
  </si>
  <si>
    <t xml:space="preserve">Grace Balloch Memorial Library</t>
  </si>
  <si>
    <t xml:space="preserve">Spearfish</t>
  </si>
  <si>
    <t xml:space="preserve">(605) 642-1330</t>
  </si>
  <si>
    <t xml:space="preserve">SD0125</t>
  </si>
  <si>
    <t xml:space="preserve">Hamlin-Codington Regional Library</t>
  </si>
  <si>
    <t xml:space="preserve">Codington</t>
  </si>
  <si>
    <t xml:space="preserve">(605) 753-1011</t>
  </si>
  <si>
    <t xml:space="preserve">SD0032</t>
  </si>
  <si>
    <t xml:space="preserve">Beadle</t>
  </si>
  <si>
    <t xml:space="preserve">(605) 353-8530</t>
  </si>
  <si>
    <t xml:space="preserve">SD0060</t>
  </si>
  <si>
    <t xml:space="preserve">K.O. Lee Aberdeen Public Library</t>
  </si>
  <si>
    <t xml:space="preserve">Aberdeen</t>
  </si>
  <si>
    <t xml:space="preserve">(605) 626-7997</t>
  </si>
  <si>
    <t xml:space="preserve">SD0077</t>
  </si>
  <si>
    <t xml:space="preserve">Mitchell Public Library</t>
  </si>
  <si>
    <t xml:space="preserve">Davison</t>
  </si>
  <si>
    <t xml:space="preserve">(605) 995-8480</t>
  </si>
  <si>
    <t xml:space="preserve">SD0049</t>
  </si>
  <si>
    <t xml:space="preserve">Oglala Lakota College Woksape Tipi Academic &amp; Public Library</t>
  </si>
  <si>
    <t xml:space="preserve">Kyle</t>
  </si>
  <si>
    <t xml:space="preserve">Oglala Lakota</t>
  </si>
  <si>
    <t xml:space="preserve">(605) 455-6064</t>
  </si>
  <si>
    <t xml:space="preserve">SD0154</t>
  </si>
  <si>
    <t xml:space="preserve">Piedmont Valley Library</t>
  </si>
  <si>
    <t xml:space="preserve">Piedmont</t>
  </si>
  <si>
    <t xml:space="preserve">(605) 718-3663</t>
  </si>
  <si>
    <t xml:space="preserve">SD0162</t>
  </si>
  <si>
    <t xml:space="preserve">R. E. Rawlins Municipal Library</t>
  </si>
  <si>
    <t xml:space="preserve">Pierre</t>
  </si>
  <si>
    <t xml:space="preserve">Hughes</t>
  </si>
  <si>
    <t xml:space="preserve">(605) 773-7421</t>
  </si>
  <si>
    <t xml:space="preserve">SD0094</t>
  </si>
  <si>
    <t xml:space="preserve">Rapid City Public Library</t>
  </si>
  <si>
    <t xml:space="preserve">Rapid City</t>
  </si>
  <si>
    <t xml:space="preserve">(605) 394-6139</t>
  </si>
  <si>
    <t xml:space="preserve">SD0112</t>
  </si>
  <si>
    <t xml:space="preserve">Sinte Gleska University Library</t>
  </si>
  <si>
    <t xml:space="preserve">Mission</t>
  </si>
  <si>
    <t xml:space="preserve">(605) 856-8112</t>
  </si>
  <si>
    <t xml:space="preserve">SD0152</t>
  </si>
  <si>
    <t xml:space="preserve">Siouxland Libraries</t>
  </si>
  <si>
    <t xml:space="preserve">Sioux Falls</t>
  </si>
  <si>
    <t xml:space="preserve">Minnehaha</t>
  </si>
  <si>
    <t xml:space="preserve">(605) 367-8713</t>
  </si>
  <si>
    <t xml:space="preserve">SD0141</t>
  </si>
  <si>
    <t xml:space="preserve">Sisseton Wahpeton Community College Library</t>
  </si>
  <si>
    <t xml:space="preserve">Sisseton</t>
  </si>
  <si>
    <t xml:space="preserve">Roberts</t>
  </si>
  <si>
    <t xml:space="preserve">(605) 698-3966</t>
  </si>
  <si>
    <t xml:space="preserve">SD0148</t>
  </si>
  <si>
    <t xml:space="preserve">Sturgis Public Library</t>
  </si>
  <si>
    <t xml:space="preserve">(605) 347-2624</t>
  </si>
  <si>
    <t xml:space="preserve">SD0126</t>
  </si>
  <si>
    <t xml:space="preserve">Watertown Regional Library</t>
  </si>
  <si>
    <t xml:space="preserve">(605) 882-6220</t>
  </si>
  <si>
    <t xml:space="preserve">SD0033</t>
  </si>
  <si>
    <t xml:space="preserve">Yankton Community Library</t>
  </si>
  <si>
    <t xml:space="preserve">Yankton</t>
  </si>
  <si>
    <t xml:space="preserve">(605) 668-5276</t>
  </si>
  <si>
    <t xml:space="preserve">SD0030</t>
  </si>
  <si>
    <t xml:space="preserve">TN</t>
  </si>
  <si>
    <t xml:space="preserve">Art Circle Public Library</t>
  </si>
  <si>
    <t xml:space="preserve">Crossville</t>
  </si>
  <si>
    <t xml:space="preserve">(931) 484-6790</t>
  </si>
  <si>
    <t xml:space="preserve">TN0012</t>
  </si>
  <si>
    <t xml:space="preserve">Barbara Reynolds Carr Memorial Library</t>
  </si>
  <si>
    <t xml:space="preserve">(423) 626-5414</t>
  </si>
  <si>
    <t xml:space="preserve">TN0023</t>
  </si>
  <si>
    <t xml:space="preserve">Beene-Pearson Public Library</t>
  </si>
  <si>
    <t xml:space="preserve">South Pittsburg</t>
  </si>
  <si>
    <t xml:space="preserve">(423) 837-6513</t>
  </si>
  <si>
    <t xml:space="preserve">TN0013</t>
  </si>
  <si>
    <t xml:space="preserve">Benton County Library</t>
  </si>
  <si>
    <t xml:space="preserve">(731) 584-4772</t>
  </si>
  <si>
    <t xml:space="preserve">TN0080</t>
  </si>
  <si>
    <t xml:space="preserve">Bledsoe County Public Library</t>
  </si>
  <si>
    <t xml:space="preserve">Bledsoe</t>
  </si>
  <si>
    <t xml:space="preserve">(423) 447-2817</t>
  </si>
  <si>
    <t xml:space="preserve">TN0020</t>
  </si>
  <si>
    <t xml:space="preserve">Blount County Public Library</t>
  </si>
  <si>
    <t xml:space="preserve">(865) 982-0981</t>
  </si>
  <si>
    <t xml:space="preserve">TN0053</t>
  </si>
  <si>
    <t xml:space="preserve">Bolivar Hardeman County Library</t>
  </si>
  <si>
    <t xml:space="preserve">Hardeman</t>
  </si>
  <si>
    <t xml:space="preserve">(731) 658-3436</t>
  </si>
  <si>
    <t xml:space="preserve">TN0094</t>
  </si>
  <si>
    <t xml:space="preserve">Cannon County Library System</t>
  </si>
  <si>
    <t xml:space="preserve">Cannon</t>
  </si>
  <si>
    <t xml:space="preserve">(615) 563-5861</t>
  </si>
  <si>
    <t xml:space="preserve">TN0056</t>
  </si>
  <si>
    <t xml:space="preserve">Caroyln Stewart Public Library</t>
  </si>
  <si>
    <t xml:space="preserve">(423) 942-3369</t>
  </si>
  <si>
    <t xml:space="preserve">TN0014</t>
  </si>
  <si>
    <t xml:space="preserve">Carroll County Library</t>
  </si>
  <si>
    <t xml:space="preserve">(731) 986-1919</t>
  </si>
  <si>
    <t xml:space="preserve">TN0081</t>
  </si>
  <si>
    <t xml:space="preserve">Charles Ralph Holland Memorial Library</t>
  </si>
  <si>
    <t xml:space="preserve">Gainesboro</t>
  </si>
  <si>
    <t xml:space="preserve">(931) 268-9190</t>
  </si>
  <si>
    <t xml:space="preserve">TN0102</t>
  </si>
  <si>
    <t xml:space="preserve">Chattanooga Public Library</t>
  </si>
  <si>
    <t xml:space="preserve">Chattanooga (S)</t>
  </si>
  <si>
    <t xml:space="preserve">(423) 643-7700</t>
  </si>
  <si>
    <t xml:space="preserve">TN0132</t>
  </si>
  <si>
    <t xml:space="preserve">Cheatham County Public Library</t>
  </si>
  <si>
    <t xml:space="preserve">Ashland City</t>
  </si>
  <si>
    <t xml:space="preserve">Cheatham</t>
  </si>
  <si>
    <t xml:space="preserve">(615) 792-4828</t>
  </si>
  <si>
    <t xml:space="preserve">TN0111</t>
  </si>
  <si>
    <t xml:space="preserve">(731) 989-4673</t>
  </si>
  <si>
    <t xml:space="preserve">TN0091</t>
  </si>
  <si>
    <t xml:space="preserve">Clarksville Montgomery County Public Library</t>
  </si>
  <si>
    <t xml:space="preserve">Clarksville</t>
  </si>
  <si>
    <t xml:space="preserve">(931) 648-8826</t>
  </si>
  <si>
    <t xml:space="preserve">TN0115</t>
  </si>
  <si>
    <t xml:space="preserve">Cleveland Bradley County Public Library</t>
  </si>
  <si>
    <t xml:space="preserve">(423) 472-2163</t>
  </si>
  <si>
    <t xml:space="preserve">TN0047</t>
  </si>
  <si>
    <t xml:space="preserve">(865) 457-0519</t>
  </si>
  <si>
    <t xml:space="preserve">TN0027</t>
  </si>
  <si>
    <t xml:space="preserve">Clyde W. Roddy Public Library</t>
  </si>
  <si>
    <t xml:space="preserve">Rhea</t>
  </si>
  <si>
    <t xml:space="preserve">(423) 775-8406</t>
  </si>
  <si>
    <t xml:space="preserve">TN0049</t>
  </si>
  <si>
    <t xml:space="preserve">Coffee County Lannom Memorial Public Library</t>
  </si>
  <si>
    <t xml:space="preserve">Tullahoma</t>
  </si>
  <si>
    <t xml:space="preserve">(931) 455-2460</t>
  </si>
  <si>
    <t xml:space="preserve">TN0057</t>
  </si>
  <si>
    <t xml:space="preserve">Coffee County-Manchester Public Library</t>
  </si>
  <si>
    <t xml:space="preserve">(931) 723-5143</t>
  </si>
  <si>
    <t xml:space="preserve">TN0058</t>
  </si>
  <si>
    <t xml:space="preserve">Collegedale Public Library</t>
  </si>
  <si>
    <t xml:space="preserve">Collegedale</t>
  </si>
  <si>
    <t xml:space="preserve">(423) 396-9300</t>
  </si>
  <si>
    <t xml:space="preserve">TN0211</t>
  </si>
  <si>
    <t xml:space="preserve">Crockett Memorial Library</t>
  </si>
  <si>
    <t xml:space="preserve">Alamo</t>
  </si>
  <si>
    <t xml:space="preserve">Crockett</t>
  </si>
  <si>
    <t xml:space="preserve">(731) 696-4220</t>
  </si>
  <si>
    <t xml:space="preserve">TN0031</t>
  </si>
  <si>
    <t xml:space="preserve">Dandridge Memorial Library</t>
  </si>
  <si>
    <t xml:space="preserve">Dandridge</t>
  </si>
  <si>
    <t xml:space="preserve">(865) 397-9758</t>
  </si>
  <si>
    <t xml:space="preserve">TN0074</t>
  </si>
  <si>
    <t xml:space="preserve">Dickson County Public Library</t>
  </si>
  <si>
    <t xml:space="preserve">Dickson</t>
  </si>
  <si>
    <t xml:space="preserve">(615) 446-8293</t>
  </si>
  <si>
    <t xml:space="preserve">TN0112</t>
  </si>
  <si>
    <t xml:space="preserve">E. G. Fisher Public Library</t>
  </si>
  <si>
    <t xml:space="preserve">Mcminn</t>
  </si>
  <si>
    <t xml:space="preserve">(423) 745-7782</t>
  </si>
  <si>
    <t xml:space="preserve">TN0052</t>
  </si>
  <si>
    <t xml:space="preserve">East Ridge City Library</t>
  </si>
  <si>
    <t xml:space="preserve">East Ridge (In)</t>
  </si>
  <si>
    <t xml:space="preserve">(423) 867-7323</t>
  </si>
  <si>
    <t xml:space="preserve">TN0068</t>
  </si>
  <si>
    <t xml:space="preserve">Elizabethton Carter County Public Library</t>
  </si>
  <si>
    <t xml:space="preserve">Elizabethton</t>
  </si>
  <si>
    <t xml:space="preserve">(423) 547-6360</t>
  </si>
  <si>
    <t xml:space="preserve">TN0123</t>
  </si>
  <si>
    <t xml:space="preserve">Elma Ross Public Library</t>
  </si>
  <si>
    <t xml:space="preserve">(731) 772-9534</t>
  </si>
  <si>
    <t xml:space="preserve">TN0034</t>
  </si>
  <si>
    <t xml:space="preserve">Everett Horn Public Library</t>
  </si>
  <si>
    <t xml:space="preserve">(731) 968-3239</t>
  </si>
  <si>
    <t xml:space="preserve">TN0096</t>
  </si>
  <si>
    <t xml:space="preserve">Fayetteville-Lincoln County Public Library</t>
  </si>
  <si>
    <t xml:space="preserve">(931) 433-3286</t>
  </si>
  <si>
    <t xml:space="preserve">TN0060</t>
  </si>
  <si>
    <t xml:space="preserve">Fentress County Public Library</t>
  </si>
  <si>
    <t xml:space="preserve">Fentress</t>
  </si>
  <si>
    <t xml:space="preserve">(931) 879-7512</t>
  </si>
  <si>
    <t xml:space="preserve">TN0203</t>
  </si>
  <si>
    <t xml:space="preserve">Franklin County Public Library</t>
  </si>
  <si>
    <t xml:space="preserve">(931) 967-3706</t>
  </si>
  <si>
    <t xml:space="preserve">TN0059</t>
  </si>
  <si>
    <t xml:space="preserve">Fred A. Vaught Memorial Library</t>
  </si>
  <si>
    <t xml:space="preserve">Hartsville</t>
  </si>
  <si>
    <t xml:space="preserve">Trousdale</t>
  </si>
  <si>
    <t xml:space="preserve">(615) 374-3677</t>
  </si>
  <si>
    <t xml:space="preserve">TN0063</t>
  </si>
  <si>
    <t xml:space="preserve">Germantown Community Library</t>
  </si>
  <si>
    <t xml:space="preserve">(901) 757-7323</t>
  </si>
  <si>
    <t xml:space="preserve">TN0206</t>
  </si>
  <si>
    <t xml:space="preserve">Gibson County Memorial Library</t>
  </si>
  <si>
    <t xml:space="preserve">(731) 855-1991</t>
  </si>
  <si>
    <t xml:space="preserve">TN0083</t>
  </si>
  <si>
    <t xml:space="preserve">Giles County Public Library</t>
  </si>
  <si>
    <t xml:space="preserve">Pulaski (S)</t>
  </si>
  <si>
    <t xml:space="preserve">Giles</t>
  </si>
  <si>
    <t xml:space="preserve">(931) 363-2720</t>
  </si>
  <si>
    <t xml:space="preserve">TN0001</t>
  </si>
  <si>
    <t xml:space="preserve">Greeneville-Greene County Public Library</t>
  </si>
  <si>
    <t xml:space="preserve">Greeneville</t>
  </si>
  <si>
    <t xml:space="preserve">(423) 638-5034</t>
  </si>
  <si>
    <t xml:space="preserve">TN0129</t>
  </si>
  <si>
    <t xml:space="preserve">Hardin County Library</t>
  </si>
  <si>
    <t xml:space="preserve">(731) 925-4314</t>
  </si>
  <si>
    <t xml:space="preserve">TN0095</t>
  </si>
  <si>
    <t xml:space="preserve">Harriman Public Library</t>
  </si>
  <si>
    <t xml:space="preserve">Harriman</t>
  </si>
  <si>
    <t xml:space="preserve">Roane</t>
  </si>
  <si>
    <t xml:space="preserve">(865) 882-3195</t>
  </si>
  <si>
    <t xml:space="preserve">TN0048</t>
  </si>
  <si>
    <t xml:space="preserve">Hawkins County Library System</t>
  </si>
  <si>
    <t xml:space="preserve">Rogersville</t>
  </si>
  <si>
    <t xml:space="preserve">Hawkins</t>
  </si>
  <si>
    <t xml:space="preserve">(423) 345-4805</t>
  </si>
  <si>
    <t xml:space="preserve">TN0071</t>
  </si>
  <si>
    <t xml:space="preserve">Hickman County Public Library</t>
  </si>
  <si>
    <t xml:space="preserve">Centerville (S)</t>
  </si>
  <si>
    <t xml:space="preserve">Hickman</t>
  </si>
  <si>
    <t xml:space="preserve">(931) 729-5130</t>
  </si>
  <si>
    <t xml:space="preserve">TN0002</t>
  </si>
  <si>
    <t xml:space="preserve">Humboldt Public Library</t>
  </si>
  <si>
    <t xml:space="preserve">(731) 784-2383</t>
  </si>
  <si>
    <t xml:space="preserve">TN0084</t>
  </si>
  <si>
    <t xml:space="preserve">Humphreys County Public Library</t>
  </si>
  <si>
    <t xml:space="preserve">Humphreys</t>
  </si>
  <si>
    <t xml:space="preserve">(931) 296-2143</t>
  </si>
  <si>
    <t xml:space="preserve">TN0114</t>
  </si>
  <si>
    <t xml:space="preserve">Jack Mcconnico Memorial Library</t>
  </si>
  <si>
    <t xml:space="preserve">Selmer</t>
  </si>
  <si>
    <t xml:space="preserve">Mcnairy</t>
  </si>
  <si>
    <t xml:space="preserve">(731) 645-5571</t>
  </si>
  <si>
    <t xml:space="preserve">TN0097</t>
  </si>
  <si>
    <t xml:space="preserve">Jackson-Madison County Library</t>
  </si>
  <si>
    <t xml:space="preserve">(731) 425-8600</t>
  </si>
  <si>
    <t xml:space="preserve">TN0099</t>
  </si>
  <si>
    <t xml:space="preserve">Jefferson City Public Library</t>
  </si>
  <si>
    <t xml:space="preserve">(865) 475-9094</t>
  </si>
  <si>
    <t xml:space="preserve">TN0075</t>
  </si>
  <si>
    <t xml:space="preserve">Johnson City Public Library</t>
  </si>
  <si>
    <t xml:space="preserve">(423) 434-4450</t>
  </si>
  <si>
    <t xml:space="preserve">TN0126</t>
  </si>
  <si>
    <t xml:space="preserve">Mountain City</t>
  </si>
  <si>
    <t xml:space="preserve">(423) 727-6544</t>
  </si>
  <si>
    <t xml:space="preserve">TN0130</t>
  </si>
  <si>
    <t xml:space="preserve">Justin Potter Library</t>
  </si>
  <si>
    <t xml:space="preserve">Smithville</t>
  </si>
  <si>
    <t xml:space="preserve">(615) 597-4359</t>
  </si>
  <si>
    <t xml:space="preserve">TN0103</t>
  </si>
  <si>
    <t xml:space="preserve">Kingsport Public Library</t>
  </si>
  <si>
    <t xml:space="preserve">Kingsport (S)</t>
  </si>
  <si>
    <t xml:space="preserve">(423) 229-9488</t>
  </si>
  <si>
    <t xml:space="preserve">TN0067</t>
  </si>
  <si>
    <t xml:space="preserve">(865) 376-9905</t>
  </si>
  <si>
    <t xml:space="preserve">TN0051</t>
  </si>
  <si>
    <t xml:space="preserve">Knox County Public Library System</t>
  </si>
  <si>
    <t xml:space="preserve">Knoxville (S)</t>
  </si>
  <si>
    <t xml:space="preserve">(865) 215-8750</t>
  </si>
  <si>
    <t xml:space="preserve">TN0133</t>
  </si>
  <si>
    <t xml:space="preserve">La Vergne Public Library</t>
  </si>
  <si>
    <t xml:space="preserve">La Vergne</t>
  </si>
  <si>
    <t xml:space="preserve">(615) 793-7303</t>
  </si>
  <si>
    <t xml:space="preserve">TN0175</t>
  </si>
  <si>
    <t xml:space="preserve">Lafollette Public Library</t>
  </si>
  <si>
    <t xml:space="preserve">Lafollette</t>
  </si>
  <si>
    <t xml:space="preserve">(423) 562-5154</t>
  </si>
  <si>
    <t xml:space="preserve">TN8014</t>
  </si>
  <si>
    <t xml:space="preserve">Lauderdale County Library</t>
  </si>
  <si>
    <t xml:space="preserve">(731) 635-1872</t>
  </si>
  <si>
    <t xml:space="preserve">TN0040</t>
  </si>
  <si>
    <t xml:space="preserve">Lawrenceburg (S)</t>
  </si>
  <si>
    <t xml:space="preserve">(931) 762-4627</t>
  </si>
  <si>
    <t xml:space="preserve">TN0003</t>
  </si>
  <si>
    <t xml:space="preserve">Lebanon-Wilson County Public Library</t>
  </si>
  <si>
    <t xml:space="preserve">(615) 444-0632</t>
  </si>
  <si>
    <t xml:space="preserve">TN0064</t>
  </si>
  <si>
    <t xml:space="preserve">Lenoir City Public Library</t>
  </si>
  <si>
    <t xml:space="preserve">Lenoir City</t>
  </si>
  <si>
    <t xml:space="preserve">Loudon</t>
  </si>
  <si>
    <t xml:space="preserve">(865) 986-3210</t>
  </si>
  <si>
    <t xml:space="preserve">TN0042</t>
  </si>
  <si>
    <t xml:space="preserve">Hohenwald</t>
  </si>
  <si>
    <t xml:space="preserve">(931) 796-5365</t>
  </si>
  <si>
    <t xml:space="preserve">TN0004</t>
  </si>
  <si>
    <t xml:space="preserve">Loudon Public Library</t>
  </si>
  <si>
    <t xml:space="preserve">(865) 458-3161</t>
  </si>
  <si>
    <t xml:space="preserve">TN8024</t>
  </si>
  <si>
    <t xml:space="preserve">Lucius E. And Elsie C. Burch, Jr. Library</t>
  </si>
  <si>
    <t xml:space="preserve">Collierville</t>
  </si>
  <si>
    <t xml:space="preserve">(901) 457-2600</t>
  </si>
  <si>
    <t xml:space="preserve">TN0207</t>
  </si>
  <si>
    <t xml:space="preserve">Luttrell Public Library</t>
  </si>
  <si>
    <t xml:space="preserve">Luttrell</t>
  </si>
  <si>
    <t xml:space="preserve">(865) 992-0208</t>
  </si>
  <si>
    <t xml:space="preserve">TN8015</t>
  </si>
  <si>
    <t xml:space="preserve">Macon County Public Library</t>
  </si>
  <si>
    <t xml:space="preserve">(615) 666-4340</t>
  </si>
  <si>
    <t xml:space="preserve">TN0105</t>
  </si>
  <si>
    <t xml:space="preserve">Madisonville Public Library</t>
  </si>
  <si>
    <t xml:space="preserve">(423) 442-4085</t>
  </si>
  <si>
    <t xml:space="preserve">TN0045</t>
  </si>
  <si>
    <t xml:space="preserve">Magness Community House &amp; Library</t>
  </si>
  <si>
    <t xml:space="preserve">(931) 473-2428</t>
  </si>
  <si>
    <t xml:space="preserve">TN0019</t>
  </si>
  <si>
    <t xml:space="preserve">Marshall County Memorial Library</t>
  </si>
  <si>
    <t xml:space="preserve">(931) 359-3335</t>
  </si>
  <si>
    <t xml:space="preserve">TN0010</t>
  </si>
  <si>
    <t xml:space="preserve">Martin Public Library</t>
  </si>
  <si>
    <t xml:space="preserve">Weakley</t>
  </si>
  <si>
    <t xml:space="preserve">(731) 587-3148</t>
  </si>
  <si>
    <t xml:space="preserve">TN0089</t>
  </si>
  <si>
    <t xml:space="preserve">Maury County Public Library</t>
  </si>
  <si>
    <t xml:space="preserve">Columbia (S)</t>
  </si>
  <si>
    <t xml:space="preserve">Maury</t>
  </si>
  <si>
    <t xml:space="preserve">(931) 375-6500</t>
  </si>
  <si>
    <t xml:space="preserve">TN0005</t>
  </si>
  <si>
    <t xml:space="preserve">Maynardville Public Library</t>
  </si>
  <si>
    <t xml:space="preserve">Maynardville</t>
  </si>
  <si>
    <t xml:space="preserve">(865) 992-7106</t>
  </si>
  <si>
    <t xml:space="preserve">TN0029</t>
  </si>
  <si>
    <t xml:space="preserve">Mciver`S Grant Public Library</t>
  </si>
  <si>
    <t xml:space="preserve">Dyersburg</t>
  </si>
  <si>
    <t xml:space="preserve">Dyer</t>
  </si>
  <si>
    <t xml:space="preserve">(731) 285-5032</t>
  </si>
  <si>
    <t xml:space="preserve">TN0205</t>
  </si>
  <si>
    <t xml:space="preserve">Meigs-Decatur Public Library</t>
  </si>
  <si>
    <t xml:space="preserve">(423) 334-3332</t>
  </si>
  <si>
    <t xml:space="preserve">TN0043</t>
  </si>
  <si>
    <t xml:space="preserve">Memphis Public Library And Information Center</t>
  </si>
  <si>
    <t xml:space="preserve">Memphis (S)</t>
  </si>
  <si>
    <t xml:space="preserve">(901) 415-2700</t>
  </si>
  <si>
    <t xml:space="preserve">TN0134</t>
  </si>
  <si>
    <t xml:space="preserve">Mildred G. Fields Memorial Library</t>
  </si>
  <si>
    <t xml:space="preserve">(731) 686-8268</t>
  </si>
  <si>
    <t xml:space="preserve">TN0085</t>
  </si>
  <si>
    <t xml:space="preserve">Millard Oakley Public Library</t>
  </si>
  <si>
    <t xml:space="preserve">Overton</t>
  </si>
  <si>
    <t xml:space="preserve">(931) 823-1888</t>
  </si>
  <si>
    <t xml:space="preserve">TN0106</t>
  </si>
  <si>
    <t xml:space="preserve">Millington Public Library</t>
  </si>
  <si>
    <t xml:space="preserve">Millington</t>
  </si>
  <si>
    <t xml:space="preserve">(901) 872-0561</t>
  </si>
  <si>
    <t xml:space="preserve">TN0208</t>
  </si>
  <si>
    <t xml:space="preserve">Morristown-Hamblen Public Library</t>
  </si>
  <si>
    <t xml:space="preserve">Hamblen</t>
  </si>
  <si>
    <t xml:space="preserve">(423) 586-6410</t>
  </si>
  <si>
    <t xml:space="preserve">TN0072</t>
  </si>
  <si>
    <t xml:space="preserve">Mt. Juliet-Wilson County Public Library</t>
  </si>
  <si>
    <t xml:space="preserve">Mt. Juliet</t>
  </si>
  <si>
    <t xml:space="preserve">(615) 758-7051</t>
  </si>
  <si>
    <t xml:space="preserve">TN0194</t>
  </si>
  <si>
    <t xml:space="preserve">Munford Tipton County Memorial Library</t>
  </si>
  <si>
    <t xml:space="preserve">Munford</t>
  </si>
  <si>
    <t xml:space="preserve">(901) 837-2665</t>
  </si>
  <si>
    <t xml:space="preserve">TN0039</t>
  </si>
  <si>
    <t xml:space="preserve">Nashville Public Library</t>
  </si>
  <si>
    <t xml:space="preserve">(615) 862-5760</t>
  </si>
  <si>
    <t xml:space="preserve">TN0135</t>
  </si>
  <si>
    <t xml:space="preserve">Ned R. Mcwherter Weakley County Library</t>
  </si>
  <si>
    <t xml:space="preserve">Dresden</t>
  </si>
  <si>
    <t xml:space="preserve">(731) 364-2678</t>
  </si>
  <si>
    <t xml:space="preserve">TN0088</t>
  </si>
  <si>
    <t xml:space="preserve">Oak Ridge Public Library</t>
  </si>
  <si>
    <t xml:space="preserve">Oak Ridge (In)</t>
  </si>
  <si>
    <t xml:space="preserve">(865) 425-3455</t>
  </si>
  <si>
    <t xml:space="preserve">TN0066</t>
  </si>
  <si>
    <t xml:space="preserve">Obion County Public Library</t>
  </si>
  <si>
    <t xml:space="preserve">Obion</t>
  </si>
  <si>
    <t xml:space="preserve">(731) 885-7000</t>
  </si>
  <si>
    <t xml:space="preserve">TN0087</t>
  </si>
  <si>
    <t xml:space="preserve">(423) 569-8634</t>
  </si>
  <si>
    <t xml:space="preserve">TN0193</t>
  </si>
  <si>
    <t xml:space="preserve">Public Library At Tellico Village</t>
  </si>
  <si>
    <t xml:space="preserve">(865) 458-5199</t>
  </si>
  <si>
    <t xml:space="preserve">TN8039</t>
  </si>
  <si>
    <t xml:space="preserve">Putnam County Library</t>
  </si>
  <si>
    <t xml:space="preserve">Cookeville</t>
  </si>
  <si>
    <t xml:space="preserve">(931) 526-2416</t>
  </si>
  <si>
    <t xml:space="preserve">TN0108</t>
  </si>
  <si>
    <t xml:space="preserve">Rockwood Public Library</t>
  </si>
  <si>
    <t xml:space="preserve">Rockwood</t>
  </si>
  <si>
    <t xml:space="preserve">(865) 354-1281</t>
  </si>
  <si>
    <t xml:space="preserve">TN0044</t>
  </si>
  <si>
    <t xml:space="preserve">Rutherford County Library System</t>
  </si>
  <si>
    <t xml:space="preserve">Murfreesboro</t>
  </si>
  <si>
    <t xml:space="preserve">(615) 962-7424</t>
  </si>
  <si>
    <t xml:space="preserve">TN0062</t>
  </si>
  <si>
    <t xml:space="preserve">Sam T. Wilson Public Library</t>
  </si>
  <si>
    <t xml:space="preserve">(901) 867-1954</t>
  </si>
  <si>
    <t xml:space="preserve">TN0209</t>
  </si>
  <si>
    <t xml:space="preserve">Sequatchie County Public Library</t>
  </si>
  <si>
    <t xml:space="preserve">Dunlap</t>
  </si>
  <si>
    <t xml:space="preserve">Sequatchie</t>
  </si>
  <si>
    <t xml:space="preserve">(423) 949-2357</t>
  </si>
  <si>
    <t xml:space="preserve">TN0017</t>
  </si>
  <si>
    <t xml:space="preserve">Sevier County Public Library System</t>
  </si>
  <si>
    <t xml:space="preserve">Sevierville (S)</t>
  </si>
  <si>
    <t xml:space="preserve">(865) 453-3532</t>
  </si>
  <si>
    <t xml:space="preserve">TN0076</t>
  </si>
  <si>
    <t xml:space="preserve">Shelbyville-Bedford County Public Library</t>
  </si>
  <si>
    <t xml:space="preserve">(931) 684-7323</t>
  </si>
  <si>
    <t xml:space="preserve">TN0055</t>
  </si>
  <si>
    <t xml:space="preserve">Smith County Public Library</t>
  </si>
  <si>
    <t xml:space="preserve">Carthage (S)</t>
  </si>
  <si>
    <t xml:space="preserve">Smith</t>
  </si>
  <si>
    <t xml:space="preserve">(615) 735-1326</t>
  </si>
  <si>
    <t xml:space="preserve">TN0109</t>
  </si>
  <si>
    <t xml:space="preserve">Somerville-Fayette County Library</t>
  </si>
  <si>
    <t xml:space="preserve">(901) 465-5248</t>
  </si>
  <si>
    <t xml:space="preserve">TN0035</t>
  </si>
  <si>
    <t xml:space="preserve">South Cheatham Public Library</t>
  </si>
  <si>
    <t xml:space="preserve">Kingston Springs</t>
  </si>
  <si>
    <t xml:space="preserve">(615) 952-4752</t>
  </si>
  <si>
    <t xml:space="preserve">TN0198</t>
  </si>
  <si>
    <t xml:space="preserve">Spring Hill Public Library</t>
  </si>
  <si>
    <t xml:space="preserve">Spring Hill</t>
  </si>
  <si>
    <t xml:space="preserve">(931) 486-2932</t>
  </si>
  <si>
    <t xml:space="preserve">TN8004</t>
  </si>
  <si>
    <t xml:space="preserve">Stewart County Public Library</t>
  </si>
  <si>
    <t xml:space="preserve">Stewart</t>
  </si>
  <si>
    <t xml:space="preserve">(931) 232-3127</t>
  </si>
  <si>
    <t xml:space="preserve">TN0118</t>
  </si>
  <si>
    <t xml:space="preserve">Stokely Memorial Library</t>
  </si>
  <si>
    <t xml:space="preserve">Cocke</t>
  </si>
  <si>
    <t xml:space="preserve">(423) 623-3832</t>
  </si>
  <si>
    <t xml:space="preserve">TN0078</t>
  </si>
  <si>
    <t xml:space="preserve">Stokes Brown Public Library</t>
  </si>
  <si>
    <t xml:space="preserve">Robertson</t>
  </si>
  <si>
    <t xml:space="preserve">(615) 384-5123</t>
  </si>
  <si>
    <t xml:space="preserve">TN0116</t>
  </si>
  <si>
    <t xml:space="preserve">Blountville</t>
  </si>
  <si>
    <t xml:space="preserve">(423) 279-2714</t>
  </si>
  <si>
    <t xml:space="preserve">TN0125</t>
  </si>
  <si>
    <t xml:space="preserve">Sweetwater Public Library</t>
  </si>
  <si>
    <t xml:space="preserve">Sweetwater</t>
  </si>
  <si>
    <t xml:space="preserve">(423) 337-5274</t>
  </si>
  <si>
    <t xml:space="preserve">TN0046</t>
  </si>
  <si>
    <t xml:space="preserve">The John P. Holt Brentwood Library</t>
  </si>
  <si>
    <t xml:space="preserve">(615) 371-0090</t>
  </si>
  <si>
    <t xml:space="preserve">TN0009</t>
  </si>
  <si>
    <t xml:space="preserve">The Sumner County Library System</t>
  </si>
  <si>
    <t xml:space="preserve">Sumner</t>
  </si>
  <si>
    <t xml:space="preserve">(615) 452-1722</t>
  </si>
  <si>
    <t xml:space="preserve">TN8060</t>
  </si>
  <si>
    <t xml:space="preserve">(901) 476-8289</t>
  </si>
  <si>
    <t xml:space="preserve">TN0038</t>
  </si>
  <si>
    <t xml:space="preserve">Unicoi County Public Library</t>
  </si>
  <si>
    <t xml:space="preserve">Erwin</t>
  </si>
  <si>
    <t xml:space="preserve">Unicoi</t>
  </si>
  <si>
    <t xml:space="preserve">(423) 743-6533</t>
  </si>
  <si>
    <t xml:space="preserve">TN0128</t>
  </si>
  <si>
    <t xml:space="preserve">W. G. Rhea Public Library</t>
  </si>
  <si>
    <t xml:space="preserve">(731) 642-1702</t>
  </si>
  <si>
    <t xml:space="preserve">TN0086</t>
  </si>
  <si>
    <t xml:space="preserve">Wartburg Public Library</t>
  </si>
  <si>
    <t xml:space="preserve">Wartburg</t>
  </si>
  <si>
    <t xml:space="preserve">(423) 346-2479</t>
  </si>
  <si>
    <t xml:space="preserve">TN0025</t>
  </si>
  <si>
    <t xml:space="preserve">Jonesborough</t>
  </si>
  <si>
    <t xml:space="preserve">(423) 753-1800</t>
  </si>
  <si>
    <t xml:space="preserve">TN0124</t>
  </si>
  <si>
    <t xml:space="preserve">Waynesboro (S)</t>
  </si>
  <si>
    <t xml:space="preserve">(931) 722-5537</t>
  </si>
  <si>
    <t xml:space="preserve">TN0007</t>
  </si>
  <si>
    <t xml:space="preserve">West Polk Public Library</t>
  </si>
  <si>
    <t xml:space="preserve">(423) 338-4536</t>
  </si>
  <si>
    <t xml:space="preserve">TN8034</t>
  </si>
  <si>
    <t xml:space="preserve">White County Public Library</t>
  </si>
  <si>
    <t xml:space="preserve">(931) 836-3613</t>
  </si>
  <si>
    <t xml:space="preserve">TN0016</t>
  </si>
  <si>
    <t xml:space="preserve">White House Public Library</t>
  </si>
  <si>
    <t xml:space="preserve">White House</t>
  </si>
  <si>
    <t xml:space="preserve">(615) 672-0239</t>
  </si>
  <si>
    <t xml:space="preserve">TN0117</t>
  </si>
  <si>
    <t xml:space="preserve">White Pine Public Library</t>
  </si>
  <si>
    <t xml:space="preserve">(865) 674-6313</t>
  </si>
  <si>
    <t xml:space="preserve">TN0196</t>
  </si>
  <si>
    <t xml:space="preserve">Williamson County Public Library</t>
  </si>
  <si>
    <t xml:space="preserve">(615) 595-1240</t>
  </si>
  <si>
    <t xml:space="preserve">TN0008</t>
  </si>
  <si>
    <t xml:space="preserve">TX</t>
  </si>
  <si>
    <t xml:space="preserve">Abilene Public Library</t>
  </si>
  <si>
    <t xml:space="preserve">Abilene</t>
  </si>
  <si>
    <t xml:space="preserve">(325) 677-2474</t>
  </si>
  <si>
    <t xml:space="preserve">TX0110</t>
  </si>
  <si>
    <t xml:space="preserve">Ah Meadows Library</t>
  </si>
  <si>
    <t xml:space="preserve">(469) 856-5211</t>
  </si>
  <si>
    <t xml:space="preserve">TX0180</t>
  </si>
  <si>
    <t xml:space="preserve">Alicia Salinas Public Library</t>
  </si>
  <si>
    <t xml:space="preserve">Alice</t>
  </si>
  <si>
    <t xml:space="preserve">Jim Wells</t>
  </si>
  <si>
    <t xml:space="preserve">(361) 664-9506</t>
  </si>
  <si>
    <t xml:space="preserve">TX0406</t>
  </si>
  <si>
    <t xml:space="preserve">Allan Shivers Library &amp; Museum</t>
  </si>
  <si>
    <t xml:space="preserve">Woodville</t>
  </si>
  <si>
    <t xml:space="preserve">Tyler</t>
  </si>
  <si>
    <t xml:space="preserve">(409) 283-3709</t>
  </si>
  <si>
    <t xml:space="preserve">TX0552</t>
  </si>
  <si>
    <t xml:space="preserve">Allen Public Library</t>
  </si>
  <si>
    <t xml:space="preserve">Collin</t>
  </si>
  <si>
    <t xml:space="preserve">(214) 509-4900</t>
  </si>
  <si>
    <t xml:space="preserve">TX0416</t>
  </si>
  <si>
    <t xml:space="preserve">Amarillo Public Library</t>
  </si>
  <si>
    <t xml:space="preserve">Amarillo</t>
  </si>
  <si>
    <t xml:space="preserve">(806) 378-3050</t>
  </si>
  <si>
    <t xml:space="preserve">TX0447</t>
  </si>
  <si>
    <t xml:space="preserve">Andrews County Library</t>
  </si>
  <si>
    <t xml:space="preserve">Andrews</t>
  </si>
  <si>
    <t xml:space="preserve">(432) 523-9819</t>
  </si>
  <si>
    <t xml:space="preserve">TX0013</t>
  </si>
  <si>
    <t xml:space="preserve">Aransas County Public Library</t>
  </si>
  <si>
    <t xml:space="preserve">Rockport</t>
  </si>
  <si>
    <t xml:space="preserve">Aransas</t>
  </si>
  <si>
    <t xml:space="preserve">(361) 790-0153</t>
  </si>
  <si>
    <t xml:space="preserve">TX0255</t>
  </si>
  <si>
    <t xml:space="preserve">Arlington Public Library System</t>
  </si>
  <si>
    <t xml:space="preserve">Tarrant</t>
  </si>
  <si>
    <t xml:space="preserve">(817) 459-6900</t>
  </si>
  <si>
    <t xml:space="preserve">TX0068</t>
  </si>
  <si>
    <t xml:space="preserve">Aubrey Area Library</t>
  </si>
  <si>
    <t xml:space="preserve">Aubrey</t>
  </si>
  <si>
    <t xml:space="preserve">(940) 365-9162</t>
  </si>
  <si>
    <t xml:space="preserve">TX0387</t>
  </si>
  <si>
    <t xml:space="preserve">Austin County Library System</t>
  </si>
  <si>
    <t xml:space="preserve">Wallis</t>
  </si>
  <si>
    <t xml:space="preserve">(979) 478-6813</t>
  </si>
  <si>
    <t xml:space="preserve">TX0320</t>
  </si>
  <si>
    <t xml:space="preserve">Travis</t>
  </si>
  <si>
    <t xml:space="preserve">(512) 974-7400</t>
  </si>
  <si>
    <t xml:space="preserve">TX0111</t>
  </si>
  <si>
    <t xml:space="preserve">Azle Memorial Library</t>
  </si>
  <si>
    <t xml:space="preserve">Azle</t>
  </si>
  <si>
    <t xml:space="preserve">Parker</t>
  </si>
  <si>
    <t xml:space="preserve">(817) 752-2682</t>
  </si>
  <si>
    <t xml:space="preserve">TX0121</t>
  </si>
  <si>
    <t xml:space="preserve">Balch Springs Library - Learning Center</t>
  </si>
  <si>
    <t xml:space="preserve">Balch Springs</t>
  </si>
  <si>
    <t xml:space="preserve">(972) 913-3000</t>
  </si>
  <si>
    <t xml:space="preserve">TX0342</t>
  </si>
  <si>
    <t xml:space="preserve">Bastrop Public Library</t>
  </si>
  <si>
    <t xml:space="preserve">(512) 332-8880</t>
  </si>
  <si>
    <t xml:space="preserve">TX0184</t>
  </si>
  <si>
    <t xml:space="preserve">Bay City Public Library</t>
  </si>
  <si>
    <t xml:space="preserve">Matagorda</t>
  </si>
  <si>
    <t xml:space="preserve">(979) 245-6931</t>
  </si>
  <si>
    <t xml:space="preserve">TX0195</t>
  </si>
  <si>
    <t xml:space="preserve">Beaumont Public Library System</t>
  </si>
  <si>
    <t xml:space="preserve">(409) 981-5911</t>
  </si>
  <si>
    <t xml:space="preserve">TX0216</t>
  </si>
  <si>
    <t xml:space="preserve">(817) 952-2332</t>
  </si>
  <si>
    <t xml:space="preserve">TX0226</t>
  </si>
  <si>
    <t xml:space="preserve">Bell/Whittington Public Library</t>
  </si>
  <si>
    <t xml:space="preserve">San Patricio</t>
  </si>
  <si>
    <t xml:space="preserve">(361) 777-4560</t>
  </si>
  <si>
    <t xml:space="preserve">TX0235</t>
  </si>
  <si>
    <t xml:space="preserve">Bellaire City Library</t>
  </si>
  <si>
    <t xml:space="preserve">Bellaire</t>
  </si>
  <si>
    <t xml:space="preserve">Harris</t>
  </si>
  <si>
    <t xml:space="preserve">(713) 662-8160</t>
  </si>
  <si>
    <t xml:space="preserve">TX0248</t>
  </si>
  <si>
    <t xml:space="preserve">Benbrook Public Library</t>
  </si>
  <si>
    <t xml:space="preserve">Benbrook</t>
  </si>
  <si>
    <t xml:space="preserve">(817) 249-6632</t>
  </si>
  <si>
    <t xml:space="preserve">TX0660</t>
  </si>
  <si>
    <t xml:space="preserve">Bibliotech</t>
  </si>
  <si>
    <t xml:space="preserve">San Antonio</t>
  </si>
  <si>
    <t xml:space="preserve">Bexar</t>
  </si>
  <si>
    <t xml:space="preserve">(210) 335-2450</t>
  </si>
  <si>
    <t xml:space="preserve">TX0744</t>
  </si>
  <si>
    <t xml:space="preserve">Bonham Public Library</t>
  </si>
  <si>
    <t xml:space="preserve">Bonham</t>
  </si>
  <si>
    <t xml:space="preserve">Fannin</t>
  </si>
  <si>
    <t xml:space="preserve">(903) 583-3128</t>
  </si>
  <si>
    <t xml:space="preserve">TX0319</t>
  </si>
  <si>
    <t xml:space="preserve">Bowie Public Library</t>
  </si>
  <si>
    <t xml:space="preserve">Montague</t>
  </si>
  <si>
    <t xml:space="preserve">(940) 872-2681</t>
  </si>
  <si>
    <t xml:space="preserve">TX0339</t>
  </si>
  <si>
    <t xml:space="preserve">Boyce Ditto Public Library</t>
  </si>
  <si>
    <t xml:space="preserve">Mineral Wells</t>
  </si>
  <si>
    <t xml:space="preserve">Palo Pinto</t>
  </si>
  <si>
    <t xml:space="preserve">(940) 328-7880</t>
  </si>
  <si>
    <t xml:space="preserve">TX0181</t>
  </si>
  <si>
    <t xml:space="preserve">Brazoria County Library System</t>
  </si>
  <si>
    <t xml:space="preserve">Angleton</t>
  </si>
  <si>
    <t xml:space="preserve">Brazoria</t>
  </si>
  <si>
    <t xml:space="preserve">(979) 864-1505</t>
  </si>
  <si>
    <t xml:space="preserve">TX0024</t>
  </si>
  <si>
    <t xml:space="preserve">Wise</t>
  </si>
  <si>
    <t xml:space="preserve">(940) 683-3450</t>
  </si>
  <si>
    <t xml:space="preserve">TX0385</t>
  </si>
  <si>
    <t xml:space="preserve">Brownsville Public Library</t>
  </si>
  <si>
    <t xml:space="preserve">Cameron</t>
  </si>
  <si>
    <t xml:space="preserve">(956) 548-1055</t>
  </si>
  <si>
    <t xml:space="preserve">TX0402</t>
  </si>
  <si>
    <t xml:space="preserve">Brownwood Community Library</t>
  </si>
  <si>
    <t xml:space="preserve">Brownwood</t>
  </si>
  <si>
    <t xml:space="preserve">(325) 646-0155</t>
  </si>
  <si>
    <t xml:space="preserve">TX0407</t>
  </si>
  <si>
    <t xml:space="preserve">Bryan+College Station Public Library System</t>
  </si>
  <si>
    <t xml:space="preserve">Brazos</t>
  </si>
  <si>
    <t xml:space="preserve">(979) 209-5600</t>
  </si>
  <si>
    <t xml:space="preserve">TX0408</t>
  </si>
  <si>
    <t xml:space="preserve">Buda Public Library</t>
  </si>
  <si>
    <t xml:space="preserve">Buda</t>
  </si>
  <si>
    <t xml:space="preserve">(512) 295-5899</t>
  </si>
  <si>
    <t xml:space="preserve">TX0343</t>
  </si>
  <si>
    <t xml:space="preserve">Burkburnett Library</t>
  </si>
  <si>
    <t xml:space="preserve">Burkburnett</t>
  </si>
  <si>
    <t xml:space="preserve">(940) 569-2991</t>
  </si>
  <si>
    <t xml:space="preserve">TX0410</t>
  </si>
  <si>
    <t xml:space="preserve">Burleson Public Library</t>
  </si>
  <si>
    <t xml:space="preserve">Burleson</t>
  </si>
  <si>
    <t xml:space="preserve">(817) 426-9210</t>
  </si>
  <si>
    <t xml:space="preserve">TX0411</t>
  </si>
  <si>
    <t xml:space="preserve">Burnet County Library System</t>
  </si>
  <si>
    <t xml:space="preserve">Burnet</t>
  </si>
  <si>
    <t xml:space="preserve">(512) 715-5228</t>
  </si>
  <si>
    <t xml:space="preserve">TX0412</t>
  </si>
  <si>
    <t xml:space="preserve">Butt-Holdsworth Memorial Library</t>
  </si>
  <si>
    <t xml:space="preserve">Kerrville</t>
  </si>
  <si>
    <t xml:space="preserve">Kerr</t>
  </si>
  <si>
    <t xml:space="preserve">(830) 257-8422</t>
  </si>
  <si>
    <t xml:space="preserve">TX0125</t>
  </si>
  <si>
    <t xml:space="preserve">Calhoun County Public Library</t>
  </si>
  <si>
    <t xml:space="preserve">Port Lavaca</t>
  </si>
  <si>
    <t xml:space="preserve">(361) 552-7323</t>
  </si>
  <si>
    <t xml:space="preserve">TX0233</t>
  </si>
  <si>
    <t xml:space="preserve">Canyon Area Library</t>
  </si>
  <si>
    <t xml:space="preserve">Randall</t>
  </si>
  <si>
    <t xml:space="preserve">(806) 655-5015</t>
  </si>
  <si>
    <t xml:space="preserve">TX0418</t>
  </si>
  <si>
    <t xml:space="preserve">Carnegie City-County Library</t>
  </si>
  <si>
    <t xml:space="preserve">Wilbarger</t>
  </si>
  <si>
    <t xml:space="preserve">(940) 552-2462</t>
  </si>
  <si>
    <t xml:space="preserve">TX0314</t>
  </si>
  <si>
    <t xml:space="preserve">Carrollton Public Library</t>
  </si>
  <si>
    <t xml:space="preserve">(972) 466-4800</t>
  </si>
  <si>
    <t xml:space="preserve">TX0421</t>
  </si>
  <si>
    <t xml:space="preserve">Cedar Park Public Library</t>
  </si>
  <si>
    <t xml:space="preserve">Cedar Park</t>
  </si>
  <si>
    <t xml:space="preserve">(512) 401-5600</t>
  </si>
  <si>
    <t xml:space="preserve">TX0424</t>
  </si>
  <si>
    <t xml:space="preserve">Celina Public Library</t>
  </si>
  <si>
    <t xml:space="preserve">(972) 382-8655</t>
  </si>
  <si>
    <t xml:space="preserve">TX0732</t>
  </si>
  <si>
    <t xml:space="preserve">Cf Goodwin Public Library</t>
  </si>
  <si>
    <t xml:space="preserve">Royse City</t>
  </si>
  <si>
    <t xml:space="preserve">Rockwall</t>
  </si>
  <si>
    <t xml:space="preserve">(972) 635-2772</t>
  </si>
  <si>
    <t xml:space="preserve">TX0703</t>
  </si>
  <si>
    <t xml:space="preserve">Chambers County Library System</t>
  </si>
  <si>
    <t xml:space="preserve">Anahuac</t>
  </si>
  <si>
    <t xml:space="preserve">(409) 267-2550</t>
  </si>
  <si>
    <t xml:space="preserve">TX0002</t>
  </si>
  <si>
    <t xml:space="preserve">(903) 849-4122</t>
  </si>
  <si>
    <t xml:space="preserve">TX0734</t>
  </si>
  <si>
    <t xml:space="preserve">Cleburne Public Library</t>
  </si>
  <si>
    <t xml:space="preserve">(817) 645-0934</t>
  </si>
  <si>
    <t xml:space="preserve">TX0434</t>
  </si>
  <si>
    <t xml:space="preserve">Clint Isd Public Library</t>
  </si>
  <si>
    <t xml:space="preserve">(915) 926-8017</t>
  </si>
  <si>
    <t xml:space="preserve">TX0577</t>
  </si>
  <si>
    <t xml:space="preserve">Callahan</t>
  </si>
  <si>
    <t xml:space="preserve">(325) 893-5315</t>
  </si>
  <si>
    <t xml:space="preserve">TX0436</t>
  </si>
  <si>
    <t xml:space="preserve">Colleyville Public Library</t>
  </si>
  <si>
    <t xml:space="preserve">Colleyville</t>
  </si>
  <si>
    <t xml:space="preserve">(817) 503-1150</t>
  </si>
  <si>
    <t xml:space="preserve">TX0701</t>
  </si>
  <si>
    <t xml:space="preserve">Comfort Public Library</t>
  </si>
  <si>
    <t xml:space="preserve">Comfort</t>
  </si>
  <si>
    <t xml:space="preserve">(830) 995-2398</t>
  </si>
  <si>
    <t xml:space="preserve">TX0441</t>
  </si>
  <si>
    <t xml:space="preserve">Commerce Public Library</t>
  </si>
  <si>
    <t xml:space="preserve">Hunt</t>
  </si>
  <si>
    <t xml:space="preserve">(903) 886-6858</t>
  </si>
  <si>
    <t xml:space="preserve">TX0442</t>
  </si>
  <si>
    <t xml:space="preserve">Converse Public Library</t>
  </si>
  <si>
    <t xml:space="preserve">Converse</t>
  </si>
  <si>
    <t xml:space="preserve">(210) 659-4160</t>
  </si>
  <si>
    <t xml:space="preserve">TX0514</t>
  </si>
  <si>
    <t xml:space="preserve">Cooke County Library</t>
  </si>
  <si>
    <t xml:space="preserve">Cooke</t>
  </si>
  <si>
    <t xml:space="preserve">(940) 668-5530</t>
  </si>
  <si>
    <t xml:space="preserve">TX0055</t>
  </si>
  <si>
    <t xml:space="preserve">Copperas Cove Public Library</t>
  </si>
  <si>
    <t xml:space="preserve">Copperas Cove</t>
  </si>
  <si>
    <t xml:space="preserve">Coryell</t>
  </si>
  <si>
    <t xml:space="preserve">(254) 547-3826</t>
  </si>
  <si>
    <t xml:space="preserve">TX0444</t>
  </si>
  <si>
    <t xml:space="preserve">Corpus Christi Public Libraries</t>
  </si>
  <si>
    <t xml:space="preserve">Corpus Christi</t>
  </si>
  <si>
    <t xml:space="preserve">Nueces</t>
  </si>
  <si>
    <t xml:space="preserve">(361) 826-7070</t>
  </si>
  <si>
    <t xml:space="preserve">TX0445</t>
  </si>
  <si>
    <t xml:space="preserve">Corsicana Public Library</t>
  </si>
  <si>
    <t xml:space="preserve">Corsicana</t>
  </si>
  <si>
    <t xml:space="preserve">Navarro</t>
  </si>
  <si>
    <t xml:space="preserve">(903) 654-4810</t>
  </si>
  <si>
    <t xml:space="preserve">TX0448</t>
  </si>
  <si>
    <t xml:space="preserve">County-City Library</t>
  </si>
  <si>
    <t xml:space="preserve">Nolan</t>
  </si>
  <si>
    <t xml:space="preserve">(325) 235-4978</t>
  </si>
  <si>
    <t xml:space="preserve">TX0297</t>
  </si>
  <si>
    <t xml:space="preserve">Cozby Library And Community Commons</t>
  </si>
  <si>
    <t xml:space="preserve">Coppell</t>
  </si>
  <si>
    <t xml:space="preserve">(972) 304-3655</t>
  </si>
  <si>
    <t xml:space="preserve">TX0351</t>
  </si>
  <si>
    <t xml:space="preserve">Crandall-Combine Community Library</t>
  </si>
  <si>
    <t xml:space="preserve">Crandall</t>
  </si>
  <si>
    <t xml:space="preserve">Kaufman</t>
  </si>
  <si>
    <t xml:space="preserve">(972) 427-6120</t>
  </si>
  <si>
    <t xml:space="preserve">TX0626</t>
  </si>
  <si>
    <t xml:space="preserve">Crowley Public Library</t>
  </si>
  <si>
    <t xml:space="preserve">(817) 297-6707</t>
  </si>
  <si>
    <t xml:space="preserve">TX0484</t>
  </si>
  <si>
    <t xml:space="preserve">Dallam-Hartley County Library</t>
  </si>
  <si>
    <t xml:space="preserve">Dalhart</t>
  </si>
  <si>
    <t xml:space="preserve">Dallam</t>
  </si>
  <si>
    <t xml:space="preserve">(806) 244-2761</t>
  </si>
  <si>
    <t xml:space="preserve">TX0457</t>
  </si>
  <si>
    <t xml:space="preserve">(214) 670-1400</t>
  </si>
  <si>
    <t xml:space="preserve">TX0003</t>
  </si>
  <si>
    <t xml:space="preserve">Dawson County Public Library</t>
  </si>
  <si>
    <t xml:space="preserve">Lamesa</t>
  </si>
  <si>
    <t xml:space="preserve">(806) 872-6502</t>
  </si>
  <si>
    <t xml:space="preserve">TX0139</t>
  </si>
  <si>
    <t xml:space="preserve">Deaf Smith County Library</t>
  </si>
  <si>
    <t xml:space="preserve">Hereford</t>
  </si>
  <si>
    <t xml:space="preserve">Deaf Smith</t>
  </si>
  <si>
    <t xml:space="preserve">(806) 364-1206</t>
  </si>
  <si>
    <t xml:space="preserve">TX0093</t>
  </si>
  <si>
    <t xml:space="preserve">(940) 393-0290</t>
  </si>
  <si>
    <t xml:space="preserve">TX0007</t>
  </si>
  <si>
    <t xml:space="preserve">(281) 478-7208</t>
  </si>
  <si>
    <t xml:space="preserve">TX0008</t>
  </si>
  <si>
    <t xml:space="preserve">Denison Public Library</t>
  </si>
  <si>
    <t xml:space="preserve">(903) 465-1797</t>
  </si>
  <si>
    <t xml:space="preserve">TX0011</t>
  </si>
  <si>
    <t xml:space="preserve">Denton Public Library</t>
  </si>
  <si>
    <t xml:space="preserve">(940) 349-8752</t>
  </si>
  <si>
    <t xml:space="preserve">TX0012</t>
  </si>
  <si>
    <t xml:space="preserve">Desoto Public Library</t>
  </si>
  <si>
    <t xml:space="preserve">(972) 230-9665</t>
  </si>
  <si>
    <t xml:space="preserve">TX0352</t>
  </si>
  <si>
    <t xml:space="preserve">Dickinson Public Library</t>
  </si>
  <si>
    <t xml:space="preserve">Galveston</t>
  </si>
  <si>
    <t xml:space="preserve">(281) 534-3812</t>
  </si>
  <si>
    <t xml:space="preserve">TX0017</t>
  </si>
  <si>
    <t xml:space="preserve">Donna Public Library</t>
  </si>
  <si>
    <t xml:space="preserve">Donna</t>
  </si>
  <si>
    <t xml:space="preserve">Hidalgo</t>
  </si>
  <si>
    <t xml:space="preserve">(956) 464-2221</t>
  </si>
  <si>
    <t xml:space="preserve">TX0019</t>
  </si>
  <si>
    <t xml:space="preserve">Dr Eugene Clark Library</t>
  </si>
  <si>
    <t xml:space="preserve">Lockhart</t>
  </si>
  <si>
    <t xml:space="preserve">(512) 398-3223</t>
  </si>
  <si>
    <t xml:space="preserve">TX0151</t>
  </si>
  <si>
    <t xml:space="preserve">Dr Hector P Garcia Memorial Library</t>
  </si>
  <si>
    <t xml:space="preserve">Mercedes</t>
  </si>
  <si>
    <t xml:space="preserve">(956) 565-2371</t>
  </si>
  <si>
    <t xml:space="preserve">TX0176</t>
  </si>
  <si>
    <t xml:space="preserve">Dripping Springs Community Library</t>
  </si>
  <si>
    <t xml:space="preserve">Dripping Springs</t>
  </si>
  <si>
    <t xml:space="preserve">(512) 858-7825</t>
  </si>
  <si>
    <t xml:space="preserve">TX0384</t>
  </si>
  <si>
    <t xml:space="preserve">Duncanville Public Library</t>
  </si>
  <si>
    <t xml:space="preserve">Duncanville</t>
  </si>
  <si>
    <t xml:space="preserve">(972) 780-5050</t>
  </si>
  <si>
    <t xml:space="preserve">TX0022</t>
  </si>
  <si>
    <t xml:space="preserve">Dustin Michael Sekula Memorial Library</t>
  </si>
  <si>
    <t xml:space="preserve">Edinburg</t>
  </si>
  <si>
    <t xml:space="preserve">(956) 383-6246</t>
  </si>
  <si>
    <t xml:space="preserve">TX0028</t>
  </si>
  <si>
    <t xml:space="preserve">Eagle Pass Public Library</t>
  </si>
  <si>
    <t xml:space="preserve">Eagle Pass</t>
  </si>
  <si>
    <t xml:space="preserve">Maverick</t>
  </si>
  <si>
    <t xml:space="preserve">(830) 773-7323</t>
  </si>
  <si>
    <t xml:space="preserve">TX0025</t>
  </si>
  <si>
    <t xml:space="preserve">East Parker County Library</t>
  </si>
  <si>
    <t xml:space="preserve">Aledo</t>
  </si>
  <si>
    <t xml:space="preserve">(817) 441-6545</t>
  </si>
  <si>
    <t xml:space="preserve">TX0532</t>
  </si>
  <si>
    <t xml:space="preserve">East Travis Gateway Library District</t>
  </si>
  <si>
    <t xml:space="preserve">Del Valle</t>
  </si>
  <si>
    <t xml:space="preserve">(512) 243-1981</t>
  </si>
  <si>
    <t xml:space="preserve">TX0717</t>
  </si>
  <si>
    <t xml:space="preserve">Ector County Library</t>
  </si>
  <si>
    <t xml:space="preserve">Ector</t>
  </si>
  <si>
    <t xml:space="preserve">(432) 332-0633</t>
  </si>
  <si>
    <t xml:space="preserve">TX0203</t>
  </si>
  <si>
    <t xml:space="preserve">Ed &amp; Hazel Richmond Public Library</t>
  </si>
  <si>
    <t xml:space="preserve">Aransas Pass</t>
  </si>
  <si>
    <t xml:space="preserve">(361) 758-2350</t>
  </si>
  <si>
    <t xml:space="preserve">TX0046</t>
  </si>
  <si>
    <t xml:space="preserve">Edwards Public Library</t>
  </si>
  <si>
    <t xml:space="preserve">Henrietta</t>
  </si>
  <si>
    <t xml:space="preserve">(940) 538-4791</t>
  </si>
  <si>
    <t xml:space="preserve">TX0092</t>
  </si>
  <si>
    <t xml:space="preserve">Effie &amp; Wilton Hebert Public Library</t>
  </si>
  <si>
    <t xml:space="preserve">Port Neches</t>
  </si>
  <si>
    <t xml:space="preserve">(409) 722-4554</t>
  </si>
  <si>
    <t xml:space="preserve">TX0234</t>
  </si>
  <si>
    <t xml:space="preserve">El Paso Public Library</t>
  </si>
  <si>
    <t xml:space="preserve">(915) 212-7323</t>
  </si>
  <si>
    <t xml:space="preserve">TX0030</t>
  </si>
  <si>
    <t xml:space="preserve">El Progreso Memorial Library</t>
  </si>
  <si>
    <t xml:space="preserve">Uvalde</t>
  </si>
  <si>
    <t xml:space="preserve">(830) 278-2017</t>
  </si>
  <si>
    <t xml:space="preserve">TX0311</t>
  </si>
  <si>
    <t xml:space="preserve">Elgin Public Library</t>
  </si>
  <si>
    <t xml:space="preserve">(512) 281-5678</t>
  </si>
  <si>
    <t xml:space="preserve">TX0473</t>
  </si>
  <si>
    <t xml:space="preserve">Ennis Public Library</t>
  </si>
  <si>
    <t xml:space="preserve">Ennis</t>
  </si>
  <si>
    <t xml:space="preserve">(972) 875-5360</t>
  </si>
  <si>
    <t xml:space="preserve">TX0036</t>
  </si>
  <si>
    <t xml:space="preserve">Ethel L Whipple Memorial Library</t>
  </si>
  <si>
    <t xml:space="preserve">Los Fresnos</t>
  </si>
  <si>
    <t xml:space="preserve">(956) 233-5330</t>
  </si>
  <si>
    <t xml:space="preserve">TX0153</t>
  </si>
  <si>
    <t xml:space="preserve">Euless Public Library</t>
  </si>
  <si>
    <t xml:space="preserve">Euless</t>
  </si>
  <si>
    <t xml:space="preserve">(817) 685-1480</t>
  </si>
  <si>
    <t xml:space="preserve">TX0037</t>
  </si>
  <si>
    <t xml:space="preserve">Farmers Branch Manske Public Library</t>
  </si>
  <si>
    <t xml:space="preserve">Farmers Branch</t>
  </si>
  <si>
    <t xml:space="preserve">(972) 247-2511</t>
  </si>
  <si>
    <t xml:space="preserve">TX0041</t>
  </si>
  <si>
    <t xml:space="preserve">Flower Mound Public Library</t>
  </si>
  <si>
    <t xml:space="preserve">Flower Mound</t>
  </si>
  <si>
    <t xml:space="preserve">(972) 874-6200</t>
  </si>
  <si>
    <t xml:space="preserve">TX0395</t>
  </si>
  <si>
    <t xml:space="preserve">Forest Hill Public Library</t>
  </si>
  <si>
    <t xml:space="preserve">Forest Hill</t>
  </si>
  <si>
    <t xml:space="preserve">(817) 551-5354</t>
  </si>
  <si>
    <t xml:space="preserve">TX0397</t>
  </si>
  <si>
    <t xml:space="preserve">Fort Bend County Libraries</t>
  </si>
  <si>
    <t xml:space="preserve">Fort Bend</t>
  </si>
  <si>
    <t xml:space="preserve">(281) 633-4702</t>
  </si>
  <si>
    <t xml:space="preserve">TX0247</t>
  </si>
  <si>
    <t xml:space="preserve">Fort Stockton Public Library</t>
  </si>
  <si>
    <t xml:space="preserve">Fort Stockton</t>
  </si>
  <si>
    <t xml:space="preserve">Pecos</t>
  </si>
  <si>
    <t xml:space="preserve">(432) 336-3374</t>
  </si>
  <si>
    <t xml:space="preserve">TX0049</t>
  </si>
  <si>
    <t xml:space="preserve">Fort Worth Public Library</t>
  </si>
  <si>
    <t xml:space="preserve">Fort Worth</t>
  </si>
  <si>
    <t xml:space="preserve">(817) 392-7323</t>
  </si>
  <si>
    <t xml:space="preserve">TX0050</t>
  </si>
  <si>
    <t xml:space="preserve">Mt Vernon</t>
  </si>
  <si>
    <t xml:space="preserve">(903) 537-4916</t>
  </si>
  <si>
    <t xml:space="preserve">TX0189</t>
  </si>
  <si>
    <t xml:space="preserve">Friendswood Public Library</t>
  </si>
  <si>
    <t xml:space="preserve">Friendswood</t>
  </si>
  <si>
    <t xml:space="preserve">(281) 482-7135</t>
  </si>
  <si>
    <t xml:space="preserve">TX0053</t>
  </si>
  <si>
    <t xml:space="preserve">Frisco Public Library</t>
  </si>
  <si>
    <t xml:space="preserve">(972) 292-5669</t>
  </si>
  <si>
    <t xml:space="preserve">TX0538</t>
  </si>
  <si>
    <t xml:space="preserve">Gaines County Library</t>
  </si>
  <si>
    <t xml:space="preserve">Gaines</t>
  </si>
  <si>
    <t xml:space="preserve">(432) 758-4007</t>
  </si>
  <si>
    <t xml:space="preserve">TX0275</t>
  </si>
  <si>
    <t xml:space="preserve">(512) 930-3551</t>
  </si>
  <si>
    <t xml:space="preserve">TX0062</t>
  </si>
  <si>
    <t xml:space="preserve">Gibbs Memorial Library</t>
  </si>
  <si>
    <t xml:space="preserve">Mexia</t>
  </si>
  <si>
    <t xml:space="preserve">(254) 562-3231</t>
  </si>
  <si>
    <t xml:space="preserve">TX0178</t>
  </si>
  <si>
    <t xml:space="preserve">Grand Prairie Public Library System</t>
  </si>
  <si>
    <t xml:space="preserve">Grand Prairie</t>
  </si>
  <si>
    <t xml:space="preserve">(972) 237-5700</t>
  </si>
  <si>
    <t xml:space="preserve">TX0071</t>
  </si>
  <si>
    <t xml:space="preserve">Grapevine Public Library</t>
  </si>
  <si>
    <t xml:space="preserve">Grapevine</t>
  </si>
  <si>
    <t xml:space="preserve">(817) 410-3400</t>
  </si>
  <si>
    <t xml:space="preserve">TX0073</t>
  </si>
  <si>
    <t xml:space="preserve">Groves Public Library</t>
  </si>
  <si>
    <t xml:space="preserve">Groves</t>
  </si>
  <si>
    <t xml:space="preserve">(409) 962-6281</t>
  </si>
  <si>
    <t xml:space="preserve">TX0076</t>
  </si>
  <si>
    <t xml:space="preserve">Haltom City Public Library</t>
  </si>
  <si>
    <t xml:space="preserve">Haltom City</t>
  </si>
  <si>
    <t xml:space="preserve">(817) 222-7786</t>
  </si>
  <si>
    <t xml:space="preserve">TX0082</t>
  </si>
  <si>
    <t xml:space="preserve">Harlingen Public Library</t>
  </si>
  <si>
    <t xml:space="preserve">Harlingen</t>
  </si>
  <si>
    <t xml:space="preserve">(956) 216-5800</t>
  </si>
  <si>
    <t xml:space="preserve">TX0085</t>
  </si>
  <si>
    <t xml:space="preserve">Harris County Public Library</t>
  </si>
  <si>
    <t xml:space="preserve">(713) 274-6600</t>
  </si>
  <si>
    <t xml:space="preserve">TX0101</t>
  </si>
  <si>
    <t xml:space="preserve">Helen Hall Library</t>
  </si>
  <si>
    <t xml:space="preserve">League City</t>
  </si>
  <si>
    <t xml:space="preserve">(281) 554-1111</t>
  </si>
  <si>
    <t xml:space="preserve">TX0142</t>
  </si>
  <si>
    <t xml:space="preserve">Henderson County Clint W Murchison Memorial Library</t>
  </si>
  <si>
    <t xml:space="preserve">(903) 677-7295</t>
  </si>
  <si>
    <t xml:space="preserve">TX0089</t>
  </si>
  <si>
    <t xml:space="preserve">Hewitt Public Library</t>
  </si>
  <si>
    <t xml:space="preserve">Hewitt</t>
  </si>
  <si>
    <t xml:space="preserve">Mclennan</t>
  </si>
  <si>
    <t xml:space="preserve">(254) 666-2442</t>
  </si>
  <si>
    <t xml:space="preserve">TX0373</t>
  </si>
  <si>
    <t xml:space="preserve">Hidalgo Public Library</t>
  </si>
  <si>
    <t xml:space="preserve">(956) 843-2093</t>
  </si>
  <si>
    <t xml:space="preserve">TX0630</t>
  </si>
  <si>
    <t xml:space="preserve">Hockley County Memorial Library</t>
  </si>
  <si>
    <t xml:space="preserve">Levelland</t>
  </si>
  <si>
    <t xml:space="preserve">Hockley</t>
  </si>
  <si>
    <t xml:space="preserve">(806) 894-6750</t>
  </si>
  <si>
    <t xml:space="preserve">TX0145</t>
  </si>
  <si>
    <t xml:space="preserve">Hood County Public Library</t>
  </si>
  <si>
    <t xml:space="preserve">Granbury</t>
  </si>
  <si>
    <t xml:space="preserve">Hood</t>
  </si>
  <si>
    <t xml:space="preserve">(817) 573-3569</t>
  </si>
  <si>
    <t xml:space="preserve">TX0070</t>
  </si>
  <si>
    <t xml:space="preserve">Houston Public Library</t>
  </si>
  <si>
    <t xml:space="preserve">(832) 393-1313</t>
  </si>
  <si>
    <t xml:space="preserve">TX0099</t>
  </si>
  <si>
    <t xml:space="preserve">Howard County Library</t>
  </si>
  <si>
    <t xml:space="preserve">Big Spring</t>
  </si>
  <si>
    <t xml:space="preserve">(432) 264-2260</t>
  </si>
  <si>
    <t xml:space="preserve">TX0288</t>
  </si>
  <si>
    <t xml:space="preserve">Huntsville Public Library</t>
  </si>
  <si>
    <t xml:space="preserve">(936) 291-5472</t>
  </si>
  <si>
    <t xml:space="preserve">TX0103</t>
  </si>
  <si>
    <t xml:space="preserve">Hurst Public Library</t>
  </si>
  <si>
    <t xml:space="preserve">Hurst</t>
  </si>
  <si>
    <t xml:space="preserve">(817) 788-7300</t>
  </si>
  <si>
    <t xml:space="preserve">TX0104</t>
  </si>
  <si>
    <t xml:space="preserve">Hutchinson County Library</t>
  </si>
  <si>
    <t xml:space="preserve">Borger</t>
  </si>
  <si>
    <t xml:space="preserve">(806) 273-0126</t>
  </si>
  <si>
    <t xml:space="preserve">TX0328</t>
  </si>
  <si>
    <t xml:space="preserve">Hutto Public Library</t>
  </si>
  <si>
    <t xml:space="preserve">Hutto</t>
  </si>
  <si>
    <t xml:space="preserve">(512) 759-4008</t>
  </si>
  <si>
    <t xml:space="preserve">TX0724</t>
  </si>
  <si>
    <t xml:space="preserve">Ingleside Public Library</t>
  </si>
  <si>
    <t xml:space="preserve">Ingleside</t>
  </si>
  <si>
    <t xml:space="preserve">(361) 776-5355</t>
  </si>
  <si>
    <t xml:space="preserve">TX0106</t>
  </si>
  <si>
    <t xml:space="preserve">Irving Public Library</t>
  </si>
  <si>
    <t xml:space="preserve">Irving</t>
  </si>
  <si>
    <t xml:space="preserve">(972) 721-2628</t>
  </si>
  <si>
    <t xml:space="preserve">TX0109</t>
  </si>
  <si>
    <t xml:space="preserve">Jackson County Memorial Library</t>
  </si>
  <si>
    <t xml:space="preserve">Edna</t>
  </si>
  <si>
    <t xml:space="preserve">(361) 782-2162</t>
  </si>
  <si>
    <t xml:space="preserve">TX0029</t>
  </si>
  <si>
    <t xml:space="preserve">(903) 586-7664</t>
  </si>
  <si>
    <t xml:space="preserve">TX0559</t>
  </si>
  <si>
    <t xml:space="preserve">Joe A Hall High School And Community Library</t>
  </si>
  <si>
    <t xml:space="preserve">Venus</t>
  </si>
  <si>
    <t xml:space="preserve">(972) 366-8353</t>
  </si>
  <si>
    <t xml:space="preserve">TX0570</t>
  </si>
  <si>
    <t xml:space="preserve">Joe Barnhart Bee County Library</t>
  </si>
  <si>
    <t xml:space="preserve">Beeville</t>
  </si>
  <si>
    <t xml:space="preserve">Bee</t>
  </si>
  <si>
    <t xml:space="preserve">(361) 362-4901</t>
  </si>
  <si>
    <t xml:space="preserve">TX0237</t>
  </si>
  <si>
    <t xml:space="preserve">John Ed Keeter Public Library</t>
  </si>
  <si>
    <t xml:space="preserve">(817) 230-0300</t>
  </si>
  <si>
    <t xml:space="preserve">TX0564</t>
  </si>
  <si>
    <t xml:space="preserve">Joshua School &amp; Public Library</t>
  </si>
  <si>
    <t xml:space="preserve">Joshua</t>
  </si>
  <si>
    <t xml:space="preserve">(817) 202-2547</t>
  </si>
  <si>
    <t xml:space="preserve">TX0624</t>
  </si>
  <si>
    <t xml:space="preserve">Judy B Mcdonald Public Library</t>
  </si>
  <si>
    <t xml:space="preserve">Nacogdoches</t>
  </si>
  <si>
    <t xml:space="preserve">(936) 559-2970</t>
  </si>
  <si>
    <t xml:space="preserve">TX0193</t>
  </si>
  <si>
    <t xml:space="preserve">Kaufman County Library</t>
  </si>
  <si>
    <t xml:space="preserve">(972) 932-6222</t>
  </si>
  <si>
    <t xml:space="preserve">TX0119</t>
  </si>
  <si>
    <t xml:space="preserve">Keller Public Library</t>
  </si>
  <si>
    <t xml:space="preserve">Keller</t>
  </si>
  <si>
    <t xml:space="preserve">(817) 743-4800</t>
  </si>
  <si>
    <t xml:space="preserve">TX0120</t>
  </si>
  <si>
    <t xml:space="preserve">Kendrick Memorial Library</t>
  </si>
  <si>
    <t xml:space="preserve">Brownfield</t>
  </si>
  <si>
    <t xml:space="preserve">Terry</t>
  </si>
  <si>
    <t xml:space="preserve">(806) 637-3848</t>
  </si>
  <si>
    <t xml:space="preserve">TX0393</t>
  </si>
  <si>
    <t xml:space="preserve">Kilgore Public Library</t>
  </si>
  <si>
    <t xml:space="preserve">Kilgore</t>
  </si>
  <si>
    <t xml:space="preserve">Gregg</t>
  </si>
  <si>
    <t xml:space="preserve">(903) 984-1529</t>
  </si>
  <si>
    <t xml:space="preserve">TX0126</t>
  </si>
  <si>
    <t xml:space="preserve">Killeen City Library System</t>
  </si>
  <si>
    <t xml:space="preserve">Killeen</t>
  </si>
  <si>
    <t xml:space="preserve">(254) 501-8994</t>
  </si>
  <si>
    <t xml:space="preserve">TX0127</t>
  </si>
  <si>
    <t xml:space="preserve">Killgore Memorial Library</t>
  </si>
  <si>
    <t xml:space="preserve">Dumas</t>
  </si>
  <si>
    <t xml:space="preserve">(806) 935-4941</t>
  </si>
  <si>
    <t xml:space="preserve">TX0021</t>
  </si>
  <si>
    <t xml:space="preserve">Kurth Memorial Library</t>
  </si>
  <si>
    <t xml:space="preserve">Lufkin</t>
  </si>
  <si>
    <t xml:space="preserve">Angelina</t>
  </si>
  <si>
    <t xml:space="preserve">(936) 630-0560</t>
  </si>
  <si>
    <t xml:space="preserve">TX0156</t>
  </si>
  <si>
    <t xml:space="preserve">Kyle Public Library</t>
  </si>
  <si>
    <t xml:space="preserve">(512) 268-7411</t>
  </si>
  <si>
    <t xml:space="preserve">TX0131</t>
  </si>
  <si>
    <t xml:space="preserve">La Marque Public Library</t>
  </si>
  <si>
    <t xml:space="preserve">La Marque</t>
  </si>
  <si>
    <t xml:space="preserve">(409) 938-9270</t>
  </si>
  <si>
    <t xml:space="preserve">TX0135</t>
  </si>
  <si>
    <t xml:space="preserve">Lake Travis Community Library</t>
  </si>
  <si>
    <t xml:space="preserve">(512) 263-2885</t>
  </si>
  <si>
    <t xml:space="preserve">TX0357</t>
  </si>
  <si>
    <t xml:space="preserve">Lancaster Veterans Memorial Library</t>
  </si>
  <si>
    <t xml:space="preserve">(972) 227-1080</t>
  </si>
  <si>
    <t xml:space="preserve">TX0358</t>
  </si>
  <si>
    <t xml:space="preserve">Laredo Public Library</t>
  </si>
  <si>
    <t xml:space="preserve">Laredo</t>
  </si>
  <si>
    <t xml:space="preserve">Webb</t>
  </si>
  <si>
    <t xml:space="preserve">(956) 795-2400</t>
  </si>
  <si>
    <t xml:space="preserve">TX0141</t>
  </si>
  <si>
    <t xml:space="preserve">Leander Public Library</t>
  </si>
  <si>
    <t xml:space="preserve">Leander</t>
  </si>
  <si>
    <t xml:space="preserve">(512) 259-5259</t>
  </si>
  <si>
    <t xml:space="preserve">TX0471</t>
  </si>
  <si>
    <t xml:space="preserve">Lena Armstrong Public Library</t>
  </si>
  <si>
    <t xml:space="preserve">Belton</t>
  </si>
  <si>
    <t xml:space="preserve">(254) 933-5830</t>
  </si>
  <si>
    <t xml:space="preserve">TX0268</t>
  </si>
  <si>
    <t xml:space="preserve">Leon Valley Public Library</t>
  </si>
  <si>
    <t xml:space="preserve">Leon Valley</t>
  </si>
  <si>
    <t xml:space="preserve">(210) 684-0720</t>
  </si>
  <si>
    <t xml:space="preserve">TX0144</t>
  </si>
  <si>
    <t xml:space="preserve">Lewisville Public Library</t>
  </si>
  <si>
    <t xml:space="preserve">Lewisville</t>
  </si>
  <si>
    <t xml:space="preserve">(972) 219-3570</t>
  </si>
  <si>
    <t xml:space="preserve">TX0146</t>
  </si>
  <si>
    <t xml:space="preserve">Liberty Hill Public Library</t>
  </si>
  <si>
    <t xml:space="preserve">Liberty Hill</t>
  </si>
  <si>
    <t xml:space="preserve">(512) 778-6400</t>
  </si>
  <si>
    <t xml:space="preserve">TX0696</t>
  </si>
  <si>
    <t xml:space="preserve">Little Elm Public Library</t>
  </si>
  <si>
    <t xml:space="preserve">Little Elm</t>
  </si>
  <si>
    <t xml:space="preserve">(214) 975-0430</t>
  </si>
  <si>
    <t xml:space="preserve">TX0667</t>
  </si>
  <si>
    <t xml:space="preserve">Live Oak County Library</t>
  </si>
  <si>
    <t xml:space="preserve">George West</t>
  </si>
  <si>
    <t xml:space="preserve">(361) 449-1124</t>
  </si>
  <si>
    <t xml:space="preserve">TX0061</t>
  </si>
  <si>
    <t xml:space="preserve">Lois Nelson Public Library</t>
  </si>
  <si>
    <t xml:space="preserve">(972) 736-3741</t>
  </si>
  <si>
    <t xml:space="preserve">TX0675</t>
  </si>
  <si>
    <t xml:space="preserve">Longview Public Library</t>
  </si>
  <si>
    <t xml:space="preserve">Longview</t>
  </si>
  <si>
    <t xml:space="preserve">(903) 237-1350</t>
  </si>
  <si>
    <t xml:space="preserve">TX0152</t>
  </si>
  <si>
    <t xml:space="preserve">Lovett Memorial Library Pampa</t>
  </si>
  <si>
    <t xml:space="preserve">Pampa</t>
  </si>
  <si>
    <t xml:space="preserve">Gray</t>
  </si>
  <si>
    <t xml:space="preserve">(806) 669-5780</t>
  </si>
  <si>
    <t xml:space="preserve">TX0212</t>
  </si>
  <si>
    <t xml:space="preserve">Lubbock Public Library</t>
  </si>
  <si>
    <t xml:space="preserve">Lubbock</t>
  </si>
  <si>
    <t xml:space="preserve">(806) 775-2824</t>
  </si>
  <si>
    <t xml:space="preserve">TX0155</t>
  </si>
  <si>
    <t xml:space="preserve">Lumberton Public Library</t>
  </si>
  <si>
    <t xml:space="preserve">(409) 755-7400</t>
  </si>
  <si>
    <t xml:space="preserve">TX0573</t>
  </si>
  <si>
    <t xml:space="preserve">Madison County Library</t>
  </si>
  <si>
    <t xml:space="preserve">(936) 348-6118</t>
  </si>
  <si>
    <t xml:space="preserve">TX0159</t>
  </si>
  <si>
    <t xml:space="preserve">Mae S Bruce Library</t>
  </si>
  <si>
    <t xml:space="preserve">(409) 925-5540</t>
  </si>
  <si>
    <t xml:space="preserve">TX0271</t>
  </si>
  <si>
    <t xml:space="preserve">Mammen Family Public Library</t>
  </si>
  <si>
    <t xml:space="preserve">Bulverde</t>
  </si>
  <si>
    <t xml:space="preserve">Comal</t>
  </si>
  <si>
    <t xml:space="preserve">(830) 438-4864</t>
  </si>
  <si>
    <t xml:space="preserve">TX0391</t>
  </si>
  <si>
    <t xml:space="preserve">(817) 728-3690</t>
  </si>
  <si>
    <t xml:space="preserve">TX0161</t>
  </si>
  <si>
    <t xml:space="preserve">Marion &amp; Ed Hughes Public Library</t>
  </si>
  <si>
    <t xml:space="preserve">Nederland</t>
  </si>
  <si>
    <t xml:space="preserve">(409) 722-1255</t>
  </si>
  <si>
    <t xml:space="preserve">TX0196</t>
  </si>
  <si>
    <t xml:space="preserve">(903) 935-4465</t>
  </si>
  <si>
    <t xml:space="preserve">TX0164</t>
  </si>
  <si>
    <t xml:space="preserve">Mayor Joe V Sanchez Public Library</t>
  </si>
  <si>
    <t xml:space="preserve">Weslaco</t>
  </si>
  <si>
    <t xml:space="preserve">(956) 968-4533</t>
  </si>
  <si>
    <t xml:space="preserve">TX0325</t>
  </si>
  <si>
    <t xml:space="preserve">Mcallen Public Library</t>
  </si>
  <si>
    <t xml:space="preserve">Mcallen</t>
  </si>
  <si>
    <t xml:space="preserve">(956) 681-3000</t>
  </si>
  <si>
    <t xml:space="preserve">TX0549</t>
  </si>
  <si>
    <t xml:space="preserve">Mckinney Public Library System</t>
  </si>
  <si>
    <t xml:space="preserve">Mckinney</t>
  </si>
  <si>
    <t xml:space="preserve">(972) 547-7323</t>
  </si>
  <si>
    <t xml:space="preserve">TX0171</t>
  </si>
  <si>
    <t xml:space="preserve">Melissa Public Library</t>
  </si>
  <si>
    <t xml:space="preserve">Melissa</t>
  </si>
  <si>
    <t xml:space="preserve">(972) 837-4540</t>
  </si>
  <si>
    <t xml:space="preserve">TX0530</t>
  </si>
  <si>
    <t xml:space="preserve">Mesquite Public Library</t>
  </si>
  <si>
    <t xml:space="preserve">Mesquite</t>
  </si>
  <si>
    <t xml:space="preserve">(972) 216-6220</t>
  </si>
  <si>
    <t xml:space="preserve">TX0177</t>
  </si>
  <si>
    <t xml:space="preserve">Midland County Public Library</t>
  </si>
  <si>
    <t xml:space="preserve">(432) 688-4320</t>
  </si>
  <si>
    <t xml:space="preserve">TX0179</t>
  </si>
  <si>
    <t xml:space="preserve">(903) 569-2767</t>
  </si>
  <si>
    <t xml:space="preserve">TX0574</t>
  </si>
  <si>
    <t xml:space="preserve">Montgomery County Memorial Library System</t>
  </si>
  <si>
    <t xml:space="preserve">Conroe</t>
  </si>
  <si>
    <t xml:space="preserve">(936) 788-8377</t>
  </si>
  <si>
    <t xml:space="preserve">TX0443</t>
  </si>
  <si>
    <t xml:space="preserve">Moore Memorial Public Library</t>
  </si>
  <si>
    <t xml:space="preserve">Texas City</t>
  </si>
  <si>
    <t xml:space="preserve">(409) 643-5970</t>
  </si>
  <si>
    <t xml:space="preserve">TX0305</t>
  </si>
  <si>
    <t xml:space="preserve">Mt Pleasant</t>
  </si>
  <si>
    <t xml:space="preserve">Titus</t>
  </si>
  <si>
    <t xml:space="preserve">(903) 575-4180</t>
  </si>
  <si>
    <t xml:space="preserve">TX0188</t>
  </si>
  <si>
    <t xml:space="preserve">Nancy Carol Roberts Memorial Library</t>
  </si>
  <si>
    <t xml:space="preserve">Brenham</t>
  </si>
  <si>
    <t xml:space="preserve">(979) 337-7201</t>
  </si>
  <si>
    <t xml:space="preserve">TX0377</t>
  </si>
  <si>
    <t xml:space="preserve">Navasota Public Library</t>
  </si>
  <si>
    <t xml:space="preserve">Navasota</t>
  </si>
  <si>
    <t xml:space="preserve">(936) 825-6744</t>
  </si>
  <si>
    <t xml:space="preserve">TX0194</t>
  </si>
  <si>
    <t xml:space="preserve">New Braunfels Public Library</t>
  </si>
  <si>
    <t xml:space="preserve">New Braunfels</t>
  </si>
  <si>
    <t xml:space="preserve">(830) 221-4300</t>
  </si>
  <si>
    <t xml:space="preserve">TX0199</t>
  </si>
  <si>
    <t xml:space="preserve">Newton County Public Library</t>
  </si>
  <si>
    <t xml:space="preserve">(409) 379-8300</t>
  </si>
  <si>
    <t xml:space="preserve">TX0460</t>
  </si>
  <si>
    <t xml:space="preserve">Nicholas P Sims Library &amp; Lyceum</t>
  </si>
  <si>
    <t xml:space="preserve">Waxahachie</t>
  </si>
  <si>
    <t xml:space="preserve">(972) 937-2671</t>
  </si>
  <si>
    <t xml:space="preserve">TX0321</t>
  </si>
  <si>
    <t xml:space="preserve">Nicholson Memorial Library System</t>
  </si>
  <si>
    <t xml:space="preserve">(972) 205-2548</t>
  </si>
  <si>
    <t xml:space="preserve">TX0058</t>
  </si>
  <si>
    <t xml:space="preserve">North Richland Hills Public Library</t>
  </si>
  <si>
    <t xml:space="preserve">North Richland Hills</t>
  </si>
  <si>
    <t xml:space="preserve">(817) 427-6800</t>
  </si>
  <si>
    <t xml:space="preserve">TX0201</t>
  </si>
  <si>
    <t xml:space="preserve">Nueces County Public Libraries</t>
  </si>
  <si>
    <t xml:space="preserve">Robstown</t>
  </si>
  <si>
    <t xml:space="preserve">(361) 387-3431</t>
  </si>
  <si>
    <t xml:space="preserve">TX0686</t>
  </si>
  <si>
    <t xml:space="preserve">Olga V Figueroa Zapata County Public Library</t>
  </si>
  <si>
    <t xml:space="preserve">Zapata</t>
  </si>
  <si>
    <t xml:space="preserve">(956) 765-5351</t>
  </si>
  <si>
    <t xml:space="preserve">TX0349</t>
  </si>
  <si>
    <t xml:space="preserve">(409) 883-1086</t>
  </si>
  <si>
    <t xml:space="preserve">TX0206</t>
  </si>
  <si>
    <t xml:space="preserve">Palacios Library Inc</t>
  </si>
  <si>
    <t xml:space="preserve">Palacios</t>
  </si>
  <si>
    <t xml:space="preserve">(361) 972-3234</t>
  </si>
  <si>
    <t xml:space="preserve">TX0210</t>
  </si>
  <si>
    <t xml:space="preserve">Palestine Public Library</t>
  </si>
  <si>
    <t xml:space="preserve">Palestine</t>
  </si>
  <si>
    <t xml:space="preserve">(903) 729-4121</t>
  </si>
  <si>
    <t xml:space="preserve">TX0211</t>
  </si>
  <si>
    <t xml:space="preserve">Paris Public Library</t>
  </si>
  <si>
    <t xml:space="preserve">(903) 785-8531</t>
  </si>
  <si>
    <t xml:space="preserve">TX0214</t>
  </si>
  <si>
    <t xml:space="preserve">(713) 477-0276</t>
  </si>
  <si>
    <t xml:space="preserve">TX0217</t>
  </si>
  <si>
    <t xml:space="preserve">Patrick Heath Public Library</t>
  </si>
  <si>
    <t xml:space="preserve">Boerne</t>
  </si>
  <si>
    <t xml:space="preserve">(830) 249-3053</t>
  </si>
  <si>
    <t xml:space="preserve">TX0308</t>
  </si>
  <si>
    <t xml:space="preserve">Pflugerville Public Library</t>
  </si>
  <si>
    <t xml:space="preserve">Pflugerville</t>
  </si>
  <si>
    <t xml:space="preserve">(512) 990-6375</t>
  </si>
  <si>
    <t xml:space="preserve">TX0347</t>
  </si>
  <si>
    <t xml:space="preserve">Pharr Memorial Library</t>
  </si>
  <si>
    <t xml:space="preserve">Pharr</t>
  </si>
  <si>
    <t xml:space="preserve">(956) 402-4650</t>
  </si>
  <si>
    <t xml:space="preserve">TX0221</t>
  </si>
  <si>
    <t xml:space="preserve">Pioneer Memorial Library</t>
  </si>
  <si>
    <t xml:space="preserve">Gillespie</t>
  </si>
  <si>
    <t xml:space="preserve">(830) 997-6513</t>
  </si>
  <si>
    <t xml:space="preserve">TX0052</t>
  </si>
  <si>
    <t xml:space="preserve">Pittsburg-Camp County Public Library</t>
  </si>
  <si>
    <t xml:space="preserve">Camp</t>
  </si>
  <si>
    <t xml:space="preserve">(903) 856-3302</t>
  </si>
  <si>
    <t xml:space="preserve">TX0224</t>
  </si>
  <si>
    <t xml:space="preserve">Plano Public Library System</t>
  </si>
  <si>
    <t xml:space="preserve">(972) 769-4208</t>
  </si>
  <si>
    <t xml:space="preserve">TX0228</t>
  </si>
  <si>
    <t xml:space="preserve">Atascosa</t>
  </si>
  <si>
    <t xml:space="preserve">(830) 569-5901</t>
  </si>
  <si>
    <t xml:space="preserve">TX0229</t>
  </si>
  <si>
    <t xml:space="preserve">Port Arthur Public Library</t>
  </si>
  <si>
    <t xml:space="preserve">Port Arthur</t>
  </si>
  <si>
    <t xml:space="preserve">(409) 985-8838</t>
  </si>
  <si>
    <t xml:space="preserve">TX0231</t>
  </si>
  <si>
    <t xml:space="preserve">Prosper Community Library</t>
  </si>
  <si>
    <t xml:space="preserve">Prosper</t>
  </si>
  <si>
    <t xml:space="preserve">(972) 569-1185</t>
  </si>
  <si>
    <t xml:space="preserve">TX0687</t>
  </si>
  <si>
    <t xml:space="preserve">Quemado Public Library</t>
  </si>
  <si>
    <t xml:space="preserve">Quemado</t>
  </si>
  <si>
    <t xml:space="preserve">(830) 757-1313</t>
  </si>
  <si>
    <t xml:space="preserve">TX0240</t>
  </si>
  <si>
    <t xml:space="preserve">Rains County Public Library</t>
  </si>
  <si>
    <t xml:space="preserve">Emory</t>
  </si>
  <si>
    <t xml:space="preserve">Rains</t>
  </si>
  <si>
    <t xml:space="preserve">(903) 473-5096</t>
  </si>
  <si>
    <t xml:space="preserve">TX0034</t>
  </si>
  <si>
    <t xml:space="preserve">Red Oak Public Library</t>
  </si>
  <si>
    <t xml:space="preserve">Red Oak</t>
  </si>
  <si>
    <t xml:space="preserve">(469) 218-1230</t>
  </si>
  <si>
    <t xml:space="preserve">TX0711</t>
  </si>
  <si>
    <t xml:space="preserve">Red River County Public Library</t>
  </si>
  <si>
    <t xml:space="preserve">Red River</t>
  </si>
  <si>
    <t xml:space="preserve">(903) 427-3991</t>
  </si>
  <si>
    <t xml:space="preserve">TX0432</t>
  </si>
  <si>
    <t xml:space="preserve">Reeves County Library</t>
  </si>
  <si>
    <t xml:space="preserve">Reeves</t>
  </si>
  <si>
    <t xml:space="preserve">(432) 755-0914</t>
  </si>
  <si>
    <t xml:space="preserve">TX0623</t>
  </si>
  <si>
    <t xml:space="preserve">Richardson Public Library</t>
  </si>
  <si>
    <t xml:space="preserve">Richardson</t>
  </si>
  <si>
    <t xml:space="preserve">(972) 744-4350</t>
  </si>
  <si>
    <t xml:space="preserve">TX0245</t>
  </si>
  <si>
    <t xml:space="preserve">Rio Grande City Public Library</t>
  </si>
  <si>
    <t xml:space="preserve">Rio Grande City</t>
  </si>
  <si>
    <t xml:space="preserve">Starr</t>
  </si>
  <si>
    <t xml:space="preserve">(956) 487-4389</t>
  </si>
  <si>
    <t xml:space="preserve">TX0485</t>
  </si>
  <si>
    <t xml:space="preserve">Rita &amp; Truett Smith Public Library</t>
  </si>
  <si>
    <t xml:space="preserve">Wylie</t>
  </si>
  <si>
    <t xml:space="preserve">(972) 516-6250</t>
  </si>
  <si>
    <t xml:space="preserve">TX0337</t>
  </si>
  <si>
    <t xml:space="preserve">Riter C Hulsey Public Library</t>
  </si>
  <si>
    <t xml:space="preserve">(972) 551-6663</t>
  </si>
  <si>
    <t xml:space="preserve">TX0303</t>
  </si>
  <si>
    <t xml:space="preserve">Robert J Kleberg Public Library</t>
  </si>
  <si>
    <t xml:space="preserve">Kingsville</t>
  </si>
  <si>
    <t xml:space="preserve">Kleberg</t>
  </si>
  <si>
    <t xml:space="preserve">(361) 592-6381</t>
  </si>
  <si>
    <t xml:space="preserve">TX0128</t>
  </si>
  <si>
    <t xml:space="preserve">Rockwall County Library</t>
  </si>
  <si>
    <t xml:space="preserve">(972) 204-7700</t>
  </si>
  <si>
    <t xml:space="preserve">TX0256</t>
  </si>
  <si>
    <t xml:space="preserve">Rosenberg Library</t>
  </si>
  <si>
    <t xml:space="preserve">(409) 763-8854</t>
  </si>
  <si>
    <t xml:space="preserve">TX0056</t>
  </si>
  <si>
    <t xml:space="preserve">Round Rock Public Library System</t>
  </si>
  <si>
    <t xml:space="preserve">Round Rock</t>
  </si>
  <si>
    <t xml:space="preserve">(512) 218-7000</t>
  </si>
  <si>
    <t xml:space="preserve">TX0259</t>
  </si>
  <si>
    <t xml:space="preserve">Rowlett Public Library</t>
  </si>
  <si>
    <t xml:space="preserve">Rowlett</t>
  </si>
  <si>
    <t xml:space="preserve">(972) 412-6161</t>
  </si>
  <si>
    <t xml:space="preserve">TX0360</t>
  </si>
  <si>
    <t xml:space="preserve">Rusk County Library System</t>
  </si>
  <si>
    <t xml:space="preserve">Rusk</t>
  </si>
  <si>
    <t xml:space="preserve">(903) 657-8557</t>
  </si>
  <si>
    <t xml:space="preserve">TX0091</t>
  </si>
  <si>
    <t xml:space="preserve">Sachse Public Library</t>
  </si>
  <si>
    <t xml:space="preserve">Sachse</t>
  </si>
  <si>
    <t xml:space="preserve">(972) 530-8966</t>
  </si>
  <si>
    <t xml:space="preserve">TX0361</t>
  </si>
  <si>
    <t xml:space="preserve">Sammy Brown Library</t>
  </si>
  <si>
    <t xml:space="preserve">Panola</t>
  </si>
  <si>
    <t xml:space="preserve">(903) 693-6741</t>
  </si>
  <si>
    <t xml:space="preserve">TX0422</t>
  </si>
  <si>
    <t xml:space="preserve">San Antonio Public Library</t>
  </si>
  <si>
    <t xml:space="preserve">(210) 207-2500</t>
  </si>
  <si>
    <t xml:space="preserve">TX0263</t>
  </si>
  <si>
    <t xml:space="preserve">San Benito Public Library</t>
  </si>
  <si>
    <t xml:space="preserve">(956) 361-3860</t>
  </si>
  <si>
    <t xml:space="preserve">TX0265</t>
  </si>
  <si>
    <t xml:space="preserve">San Juan Memorial Library</t>
  </si>
  <si>
    <t xml:space="preserve">(956) 702-0926</t>
  </si>
  <si>
    <t xml:space="preserve">TX0620</t>
  </si>
  <si>
    <t xml:space="preserve">San Marcos Public Library</t>
  </si>
  <si>
    <t xml:space="preserve">San Marcos</t>
  </si>
  <si>
    <t xml:space="preserve">(512) 393-8200</t>
  </si>
  <si>
    <t xml:space="preserve">TX0266</t>
  </si>
  <si>
    <t xml:space="preserve">Sanger Public Library</t>
  </si>
  <si>
    <t xml:space="preserve">Sanger</t>
  </si>
  <si>
    <t xml:space="preserve">(940) 458-3257</t>
  </si>
  <si>
    <t xml:space="preserve">TX0382</t>
  </si>
  <si>
    <t xml:space="preserve">Schertz Public Library</t>
  </si>
  <si>
    <t xml:space="preserve">Schertz</t>
  </si>
  <si>
    <t xml:space="preserve">Guadalupe</t>
  </si>
  <si>
    <t xml:space="preserve">(210) 619-1700</t>
  </si>
  <si>
    <t xml:space="preserve">TX0272</t>
  </si>
  <si>
    <t xml:space="preserve">Scurry County Library</t>
  </si>
  <si>
    <t xml:space="preserve">Scurry</t>
  </si>
  <si>
    <t xml:space="preserve">(325) 573-5572</t>
  </si>
  <si>
    <t xml:space="preserve">TX0286</t>
  </si>
  <si>
    <t xml:space="preserve">Seagoville Public Library</t>
  </si>
  <si>
    <t xml:space="preserve">Seagoville</t>
  </si>
  <si>
    <t xml:space="preserve">(972) 287-7720</t>
  </si>
  <si>
    <t xml:space="preserve">TX0362</t>
  </si>
  <si>
    <t xml:space="preserve">Seguin Public Library</t>
  </si>
  <si>
    <t xml:space="preserve">Seguin</t>
  </si>
  <si>
    <t xml:space="preserve">(830) 401-2422</t>
  </si>
  <si>
    <t xml:space="preserve">TX0274</t>
  </si>
  <si>
    <t xml:space="preserve">Sergeant Fernando De La Rosa Memorial Library</t>
  </si>
  <si>
    <t xml:space="preserve">(956) 787-6160</t>
  </si>
  <si>
    <t xml:space="preserve">TX0215</t>
  </si>
  <si>
    <t xml:space="preserve">Sherman Public Library</t>
  </si>
  <si>
    <t xml:space="preserve">Sherman</t>
  </si>
  <si>
    <t xml:space="preserve">(903) 892-7240</t>
  </si>
  <si>
    <t xml:space="preserve">TX0281</t>
  </si>
  <si>
    <t xml:space="preserve">Silsbee Public Library</t>
  </si>
  <si>
    <t xml:space="preserve">Silsbee</t>
  </si>
  <si>
    <t xml:space="preserve">(409) 385-4831</t>
  </si>
  <si>
    <t xml:space="preserve">TX0282</t>
  </si>
  <si>
    <t xml:space="preserve">Smith-Welch Memorial Library</t>
  </si>
  <si>
    <t xml:space="preserve">Hearne</t>
  </si>
  <si>
    <t xml:space="preserve">(979) 279-5191</t>
  </si>
  <si>
    <t xml:space="preserve">TX0518</t>
  </si>
  <si>
    <t xml:space="preserve">Smithville Public Library</t>
  </si>
  <si>
    <t xml:space="preserve">(512) 237-3282</t>
  </si>
  <si>
    <t xml:space="preserve">TX0285</t>
  </si>
  <si>
    <t xml:space="preserve">Southlake Public Library</t>
  </si>
  <si>
    <t xml:space="preserve">Southlake</t>
  </si>
  <si>
    <t xml:space="preserve">(817) 748-8243</t>
  </si>
  <si>
    <t xml:space="preserve">TX0682</t>
  </si>
  <si>
    <t xml:space="preserve">Speer Memorial Library</t>
  </si>
  <si>
    <t xml:space="preserve">(956) 580-8750</t>
  </si>
  <si>
    <t xml:space="preserve">TX0182</t>
  </si>
  <si>
    <t xml:space="preserve">Springtown Public Library</t>
  </si>
  <si>
    <t xml:space="preserve">Springtown</t>
  </si>
  <si>
    <t xml:space="preserve">(817) 523-5862</t>
  </si>
  <si>
    <t xml:space="preserve">TX0365</t>
  </si>
  <si>
    <t xml:space="preserve">Stephenville Public Library</t>
  </si>
  <si>
    <t xml:space="preserve">Stephenville</t>
  </si>
  <si>
    <t xml:space="preserve">Erath</t>
  </si>
  <si>
    <t xml:space="preserve">(254) 918-1240</t>
  </si>
  <si>
    <t xml:space="preserve">TX0294</t>
  </si>
  <si>
    <t xml:space="preserve">Sterling Municipal Library</t>
  </si>
  <si>
    <t xml:space="preserve">Baytown</t>
  </si>
  <si>
    <t xml:space="preserve">(281) 427-7331</t>
  </si>
  <si>
    <t xml:space="preserve">TX0204</t>
  </si>
  <si>
    <t xml:space="preserve">Stewart C Meyer Library</t>
  </si>
  <si>
    <t xml:space="preserve">Harker Heights</t>
  </si>
  <si>
    <t xml:space="preserve">(254) 953-5491</t>
  </si>
  <si>
    <t xml:space="preserve">TX0084</t>
  </si>
  <si>
    <t xml:space="preserve">Tarkington Community Library</t>
  </si>
  <si>
    <t xml:space="preserve">Cleveland-Tarkington</t>
  </si>
  <si>
    <t xml:space="preserve">(281) 592-5136</t>
  </si>
  <si>
    <t xml:space="preserve">TX0712</t>
  </si>
  <si>
    <t xml:space="preserve">Taylor Public Library</t>
  </si>
  <si>
    <t xml:space="preserve">(512) 352-3434</t>
  </si>
  <si>
    <t xml:space="preserve">TX0300</t>
  </si>
  <si>
    <t xml:space="preserve">Teague Public Library</t>
  </si>
  <si>
    <t xml:space="preserve">Teague</t>
  </si>
  <si>
    <t xml:space="preserve">Freestone</t>
  </si>
  <si>
    <t xml:space="preserve">(254) 739-3311</t>
  </si>
  <si>
    <t xml:space="preserve">TX0301</t>
  </si>
  <si>
    <t xml:space="preserve">Temple Public Library</t>
  </si>
  <si>
    <t xml:space="preserve">Temple</t>
  </si>
  <si>
    <t xml:space="preserve">(254) 298-5555</t>
  </si>
  <si>
    <t xml:space="preserve">TX0302</t>
  </si>
  <si>
    <t xml:space="preserve">TX0304</t>
  </si>
  <si>
    <t xml:space="preserve">The Colony Public Library</t>
  </si>
  <si>
    <t xml:space="preserve">The Colony</t>
  </si>
  <si>
    <t xml:space="preserve">(972) 625-1900</t>
  </si>
  <si>
    <t xml:space="preserve">TX0306</t>
  </si>
  <si>
    <t xml:space="preserve">Tom Green County Library System</t>
  </si>
  <si>
    <t xml:space="preserve">San Angelo</t>
  </si>
  <si>
    <t xml:space="preserve">Tom Green</t>
  </si>
  <si>
    <t xml:space="preserve">(325) 655-7321</t>
  </si>
  <si>
    <t xml:space="preserve">TX0262</t>
  </si>
  <si>
    <t xml:space="preserve">Tye Preston Memorial Library</t>
  </si>
  <si>
    <t xml:space="preserve">Canyon Lake</t>
  </si>
  <si>
    <t xml:space="preserve">(830) 964-3744</t>
  </si>
  <si>
    <t xml:space="preserve">TX0419</t>
  </si>
  <si>
    <t xml:space="preserve">Tyler Public Library</t>
  </si>
  <si>
    <t xml:space="preserve">(903) 593-7323</t>
  </si>
  <si>
    <t xml:space="preserve">TX0310</t>
  </si>
  <si>
    <t xml:space="preserve">Unger Memorial Library</t>
  </si>
  <si>
    <t xml:space="preserve">Hale</t>
  </si>
  <si>
    <t xml:space="preserve">(806) 296-1148</t>
  </si>
  <si>
    <t xml:space="preserve">TX0227</t>
  </si>
  <si>
    <t xml:space="preserve">Universal City Public Library</t>
  </si>
  <si>
    <t xml:space="preserve">Universal City</t>
  </si>
  <si>
    <t xml:space="preserve">(210) 659-7048</t>
  </si>
  <si>
    <t xml:space="preserve">TX0376</t>
  </si>
  <si>
    <t xml:space="preserve">University Park Public Library</t>
  </si>
  <si>
    <t xml:space="preserve">(214) 363-9095</t>
  </si>
  <si>
    <t xml:space="preserve">TX0689</t>
  </si>
  <si>
    <t xml:space="preserve">Upshur County Library</t>
  </si>
  <si>
    <t xml:space="preserve">Gilmer</t>
  </si>
  <si>
    <t xml:space="preserve">Upshur</t>
  </si>
  <si>
    <t xml:space="preserve">(903) 843-5001</t>
  </si>
  <si>
    <t xml:space="preserve">TX0064</t>
  </si>
  <si>
    <t xml:space="preserve">Val Verde County Library</t>
  </si>
  <si>
    <t xml:space="preserve">Del Rio</t>
  </si>
  <si>
    <t xml:space="preserve">Val Verde</t>
  </si>
  <si>
    <t xml:space="preserve">(830) 774-7595</t>
  </si>
  <si>
    <t xml:space="preserve">TX0009</t>
  </si>
  <si>
    <t xml:space="preserve">Van Zandt County Library</t>
  </si>
  <si>
    <t xml:space="preserve">Van Zandt</t>
  </si>
  <si>
    <t xml:space="preserve">(903) 567-4276</t>
  </si>
  <si>
    <t xml:space="preserve">TX0417</t>
  </si>
  <si>
    <t xml:space="preserve">Victoria Public Library</t>
  </si>
  <si>
    <t xml:space="preserve">Victoria</t>
  </si>
  <si>
    <t xml:space="preserve">(361) 485-3301</t>
  </si>
  <si>
    <t xml:space="preserve">TX0315</t>
  </si>
  <si>
    <t xml:space="preserve">Virgil &amp; Josephine Gordon Memorial Library</t>
  </si>
  <si>
    <t xml:space="preserve">Sealy</t>
  </si>
  <si>
    <t xml:space="preserve">(979) 885-7469</t>
  </si>
  <si>
    <t xml:space="preserve">TX0273</t>
  </si>
  <si>
    <t xml:space="preserve">W Walworth Harrison Public Library</t>
  </si>
  <si>
    <t xml:space="preserve">(903) 457-2992</t>
  </si>
  <si>
    <t xml:space="preserve">TX0074</t>
  </si>
  <si>
    <t xml:space="preserve">Waco-Mclennan County Library</t>
  </si>
  <si>
    <t xml:space="preserve">Waco</t>
  </si>
  <si>
    <t xml:space="preserve">(254) 750-5941</t>
  </si>
  <si>
    <t xml:space="preserve">TX0317</t>
  </si>
  <si>
    <t xml:space="preserve">Waller County Library</t>
  </si>
  <si>
    <t xml:space="preserve">Waller</t>
  </si>
  <si>
    <t xml:space="preserve">(979) 826-7658</t>
  </si>
  <si>
    <t xml:space="preserve">TX0090</t>
  </si>
  <si>
    <t xml:space="preserve">Ward County Library</t>
  </si>
  <si>
    <t xml:space="preserve">Monahans</t>
  </si>
  <si>
    <t xml:space="preserve">(432) 943-3332</t>
  </si>
  <si>
    <t xml:space="preserve">TX0183</t>
  </si>
  <si>
    <t xml:space="preserve">Watauga Public Library</t>
  </si>
  <si>
    <t xml:space="preserve">Watauga</t>
  </si>
  <si>
    <t xml:space="preserve">(817) 514-5855</t>
  </si>
  <si>
    <t xml:space="preserve">TX0369</t>
  </si>
  <si>
    <t xml:space="preserve">Weatherford Public Library</t>
  </si>
  <si>
    <t xml:space="preserve">Weatherford</t>
  </si>
  <si>
    <t xml:space="preserve">(817) 598-4150</t>
  </si>
  <si>
    <t xml:space="preserve">TX0322</t>
  </si>
  <si>
    <t xml:space="preserve">Wells Branch Community Library</t>
  </si>
  <si>
    <t xml:space="preserve">(512) 989-3188</t>
  </si>
  <si>
    <t xml:space="preserve">TX0664</t>
  </si>
  <si>
    <t xml:space="preserve">Westbank Community Library District</t>
  </si>
  <si>
    <t xml:space="preserve">(512) 314-3580</t>
  </si>
  <si>
    <t xml:space="preserve">TX0370</t>
  </si>
  <si>
    <t xml:space="preserve">Wharton County Library</t>
  </si>
  <si>
    <t xml:space="preserve">Wharton</t>
  </si>
  <si>
    <t xml:space="preserve">(979) 532-8080</t>
  </si>
  <si>
    <t xml:space="preserve">TX0326</t>
  </si>
  <si>
    <t xml:space="preserve">White Settlement Public Library</t>
  </si>
  <si>
    <t xml:space="preserve">White Settlement</t>
  </si>
  <si>
    <t xml:space="preserve">(817) 367-0166</t>
  </si>
  <si>
    <t xml:space="preserve">TX0329</t>
  </si>
  <si>
    <t xml:space="preserve">Wichita Falls Public Library</t>
  </si>
  <si>
    <t xml:space="preserve">Wichita Falls</t>
  </si>
  <si>
    <t xml:space="preserve">(940) 767-0868</t>
  </si>
  <si>
    <t xml:space="preserve">TX0332</t>
  </si>
  <si>
    <t xml:space="preserve">Wilson County Public Libraries</t>
  </si>
  <si>
    <t xml:space="preserve">Floresville</t>
  </si>
  <si>
    <t xml:space="preserve">(830) 393-7361</t>
  </si>
  <si>
    <t xml:space="preserve">TX0045</t>
  </si>
  <si>
    <t xml:space="preserve">Wimberley Village Library</t>
  </si>
  <si>
    <t xml:space="preserve">Wimberley</t>
  </si>
  <si>
    <t xml:space="preserve">(512) 847-2188</t>
  </si>
  <si>
    <t xml:space="preserve">TX0565</t>
  </si>
  <si>
    <t xml:space="preserve">Zula B Wylie Public Library In Cedar Hill</t>
  </si>
  <si>
    <t xml:space="preserve">Cedar Hill</t>
  </si>
  <si>
    <t xml:space="preserve">(972) 291-7323</t>
  </si>
  <si>
    <t xml:space="preserve">TX0350</t>
  </si>
  <si>
    <t xml:space="preserve">UT</t>
  </si>
  <si>
    <t xml:space="preserve">American Fork City Library</t>
  </si>
  <si>
    <t xml:space="preserve">American Fork</t>
  </si>
  <si>
    <t xml:space="preserve">Utah</t>
  </si>
  <si>
    <t xml:space="preserve">(801) 763-3070</t>
  </si>
  <si>
    <t xml:space="preserve">UT0057</t>
  </si>
  <si>
    <t xml:space="preserve">Box Elder County Bookmobile Library</t>
  </si>
  <si>
    <t xml:space="preserve">Box Elder</t>
  </si>
  <si>
    <t xml:space="preserve">(435) 695-2525</t>
  </si>
  <si>
    <t xml:space="preserve">UT0005</t>
  </si>
  <si>
    <t xml:space="preserve">Brigham City Library</t>
  </si>
  <si>
    <t xml:space="preserve">Brigham City</t>
  </si>
  <si>
    <t xml:space="preserve">(435) 723-5850</t>
  </si>
  <si>
    <t xml:space="preserve">UT0006</t>
  </si>
  <si>
    <t xml:space="preserve">Cedar City Public Library</t>
  </si>
  <si>
    <t xml:space="preserve">Cedar City</t>
  </si>
  <si>
    <t xml:space="preserve">(435) 586-6661</t>
  </si>
  <si>
    <t xml:space="preserve">UT0026</t>
  </si>
  <si>
    <t xml:space="preserve">Davis County Library</t>
  </si>
  <si>
    <t xml:space="preserve">Davis</t>
  </si>
  <si>
    <t xml:space="preserve">(801) 451-3030</t>
  </si>
  <si>
    <t xml:space="preserve">UT0019</t>
  </si>
  <si>
    <t xml:space="preserve">Duchesne County Library System</t>
  </si>
  <si>
    <t xml:space="preserve">Duchesne</t>
  </si>
  <si>
    <t xml:space="preserve">(435) 738-2800</t>
  </si>
  <si>
    <t xml:space="preserve">UT0021</t>
  </si>
  <si>
    <t xml:space="preserve">Eagle Mountain Public Library</t>
  </si>
  <si>
    <t xml:space="preserve">Eagle Mountain</t>
  </si>
  <si>
    <t xml:space="preserve">(801) 789-6623</t>
  </si>
  <si>
    <t xml:space="preserve">UT8002</t>
  </si>
  <si>
    <t xml:space="preserve">Grantsville City Library</t>
  </si>
  <si>
    <t xml:space="preserve">Grantsville</t>
  </si>
  <si>
    <t xml:space="preserve">Tooele</t>
  </si>
  <si>
    <t xml:space="preserve">(435) 884-1670</t>
  </si>
  <si>
    <t xml:space="preserve">UT8003</t>
  </si>
  <si>
    <t xml:space="preserve">Highland City Library</t>
  </si>
  <si>
    <t xml:space="preserve">(801) 772-4528</t>
  </si>
  <si>
    <t xml:space="preserve">UT0071</t>
  </si>
  <si>
    <t xml:space="preserve">Hyrum Library</t>
  </si>
  <si>
    <t xml:space="preserve">Hyrum</t>
  </si>
  <si>
    <t xml:space="preserve">Cache</t>
  </si>
  <si>
    <t xml:space="preserve">(435) 245-6411</t>
  </si>
  <si>
    <t xml:space="preserve">UT0010</t>
  </si>
  <si>
    <t xml:space="preserve">Iron County Bookmobile Library</t>
  </si>
  <si>
    <t xml:space="preserve">Enoch</t>
  </si>
  <si>
    <t xml:space="preserve">(435) 586-6715</t>
  </si>
  <si>
    <t xml:space="preserve">UT0025</t>
  </si>
  <si>
    <t xml:space="preserve">Lehi City Public Library</t>
  </si>
  <si>
    <t xml:space="preserve">Lehi</t>
  </si>
  <si>
    <t xml:space="preserve">(801) 768-7150</t>
  </si>
  <si>
    <t xml:space="preserve">UT0058</t>
  </si>
  <si>
    <t xml:space="preserve">Logan Library</t>
  </si>
  <si>
    <t xml:space="preserve">(435) 716-9123</t>
  </si>
  <si>
    <t xml:space="preserve">UT0012</t>
  </si>
  <si>
    <t xml:space="preserve">(801) 829-3481</t>
  </si>
  <si>
    <t xml:space="preserve">UT0035</t>
  </si>
  <si>
    <t xml:space="preserve">Murray Public Library</t>
  </si>
  <si>
    <t xml:space="preserve">Salt Lake</t>
  </si>
  <si>
    <t xml:space="preserve">(801) 264-2574</t>
  </si>
  <si>
    <t xml:space="preserve">UT0047</t>
  </si>
  <si>
    <t xml:space="preserve">North Logan City Library</t>
  </si>
  <si>
    <t xml:space="preserve">North Logan</t>
  </si>
  <si>
    <t xml:space="preserve">(435) 755-7169</t>
  </si>
  <si>
    <t xml:space="preserve">UT0070</t>
  </si>
  <si>
    <t xml:space="preserve">Orem Public Library</t>
  </si>
  <si>
    <t xml:space="preserve">Orem</t>
  </si>
  <si>
    <t xml:space="preserve">(801) 229-7050</t>
  </si>
  <si>
    <t xml:space="preserve">UT0059</t>
  </si>
  <si>
    <t xml:space="preserve">Payson City Library</t>
  </si>
  <si>
    <t xml:space="preserve">(801) 465-5220</t>
  </si>
  <si>
    <t xml:space="preserve">UT0060</t>
  </si>
  <si>
    <t xml:space="preserve">Pleasant Grove Public Library</t>
  </si>
  <si>
    <t xml:space="preserve">Pleasant Grove</t>
  </si>
  <si>
    <t xml:space="preserve">(801) 785-3950</t>
  </si>
  <si>
    <t xml:space="preserve">UT0061</t>
  </si>
  <si>
    <t xml:space="preserve">Provo City Library</t>
  </si>
  <si>
    <t xml:space="preserve">Provo</t>
  </si>
  <si>
    <t xml:space="preserve">(801) 852-6651</t>
  </si>
  <si>
    <t xml:space="preserve">UT0062</t>
  </si>
  <si>
    <t xml:space="preserve">Salt Lake City Public Library System</t>
  </si>
  <si>
    <t xml:space="preserve">Salt Lake City</t>
  </si>
  <si>
    <t xml:space="preserve">(801) 524-8200</t>
  </si>
  <si>
    <t xml:space="preserve">UT0048</t>
  </si>
  <si>
    <t xml:space="preserve">Salt Lake County Library</t>
  </si>
  <si>
    <t xml:space="preserve">West Jordan</t>
  </si>
  <si>
    <t xml:space="preserve">(801) 944-7646</t>
  </si>
  <si>
    <t xml:space="preserve">UT0049</t>
  </si>
  <si>
    <t xml:space="preserve">San Juan County Library</t>
  </si>
  <si>
    <t xml:space="preserve">Blanding</t>
  </si>
  <si>
    <t xml:space="preserve">(435) 678-2335</t>
  </si>
  <si>
    <t xml:space="preserve">UT0050</t>
  </si>
  <si>
    <t xml:space="preserve">Sanpete County Bookmobile Library</t>
  </si>
  <si>
    <t xml:space="preserve">Sanpete</t>
  </si>
  <si>
    <t xml:space="preserve">(435) 427-9305</t>
  </si>
  <si>
    <t xml:space="preserve">UT0038</t>
  </si>
  <si>
    <t xml:space="preserve">Santaquin City Library</t>
  </si>
  <si>
    <t xml:space="preserve">Santaquin</t>
  </si>
  <si>
    <t xml:space="preserve">(801) 754-3030</t>
  </si>
  <si>
    <t xml:space="preserve">UT0063</t>
  </si>
  <si>
    <t xml:space="preserve">(801) 766-6513</t>
  </si>
  <si>
    <t xml:space="preserve">UT0074</t>
  </si>
  <si>
    <t xml:space="preserve">Smithfield Library</t>
  </si>
  <si>
    <t xml:space="preserve">(435) 563-3555</t>
  </si>
  <si>
    <t xml:space="preserve">UT0014</t>
  </si>
  <si>
    <t xml:space="preserve">Spanish Fork Public Library</t>
  </si>
  <si>
    <t xml:space="preserve">Spanish Fork</t>
  </si>
  <si>
    <t xml:space="preserve">(801) 804-4480</t>
  </si>
  <si>
    <t xml:space="preserve">UT0064</t>
  </si>
  <si>
    <t xml:space="preserve">(801) 489-2720</t>
  </si>
  <si>
    <t xml:space="preserve">UT0065</t>
  </si>
  <si>
    <t xml:space="preserve">Park City</t>
  </si>
  <si>
    <t xml:space="preserve">(435) 615-3947</t>
  </si>
  <si>
    <t xml:space="preserve">UT0051</t>
  </si>
  <si>
    <t xml:space="preserve">Tooele City Public Library</t>
  </si>
  <si>
    <t xml:space="preserve">(435) 882-2182</t>
  </si>
  <si>
    <t xml:space="preserve">UT0054</t>
  </si>
  <si>
    <t xml:space="preserve">Tremonton City Library</t>
  </si>
  <si>
    <t xml:space="preserve">Tremonton</t>
  </si>
  <si>
    <t xml:space="preserve">(435) 257-9525</t>
  </si>
  <si>
    <t xml:space="preserve">UT0008</t>
  </si>
  <si>
    <t xml:space="preserve">Uintah County Library</t>
  </si>
  <si>
    <t xml:space="preserve">Vernal</t>
  </si>
  <si>
    <t xml:space="preserve">Uintah</t>
  </si>
  <si>
    <t xml:space="preserve">(435) 789-0091</t>
  </si>
  <si>
    <t xml:space="preserve">UT0055</t>
  </si>
  <si>
    <t xml:space="preserve">Utah County Bookmobile Library</t>
  </si>
  <si>
    <t xml:space="preserve">Mapleton</t>
  </si>
  <si>
    <t xml:space="preserve">(801) 489-4833</t>
  </si>
  <si>
    <t xml:space="preserve">UT0056</t>
  </si>
  <si>
    <t xml:space="preserve">Wasatch County Library</t>
  </si>
  <si>
    <t xml:space="preserve">Heber City</t>
  </si>
  <si>
    <t xml:space="preserve">Wasatch</t>
  </si>
  <si>
    <t xml:space="preserve">(435) 654-1511</t>
  </si>
  <si>
    <t xml:space="preserve">UT0067</t>
  </si>
  <si>
    <t xml:space="preserve">(435) 634-5737</t>
  </si>
  <si>
    <t xml:space="preserve">UT0066</t>
  </si>
  <si>
    <t xml:space="preserve">Weber County Library System</t>
  </si>
  <si>
    <t xml:space="preserve">Roy</t>
  </si>
  <si>
    <t xml:space="preserve">Weber</t>
  </si>
  <si>
    <t xml:space="preserve">(801) 337-2617</t>
  </si>
  <si>
    <t xml:space="preserve">UT0069</t>
  </si>
  <si>
    <t xml:space="preserve">VA</t>
  </si>
  <si>
    <t xml:space="preserve">Alexandria Library</t>
  </si>
  <si>
    <t xml:space="preserve">(703) 746-1701</t>
  </si>
  <si>
    <t xml:space="preserve">VA0001</t>
  </si>
  <si>
    <t xml:space="preserve">Alleghany Highlands Regional Library</t>
  </si>
  <si>
    <t xml:space="preserve">(540) 962-3321</t>
  </si>
  <si>
    <t xml:space="preserve">VA0015</t>
  </si>
  <si>
    <t xml:space="preserve">Amherst County Public Library</t>
  </si>
  <si>
    <t xml:space="preserve">(434) 946-9389</t>
  </si>
  <si>
    <t xml:space="preserve">VA0002</t>
  </si>
  <si>
    <t xml:space="preserve">Appomattox Regional Library System</t>
  </si>
  <si>
    <t xml:space="preserve">Hopewell</t>
  </si>
  <si>
    <t xml:space="preserve">(804) 458-6329</t>
  </si>
  <si>
    <t xml:space="preserve">VA0004</t>
  </si>
  <si>
    <t xml:space="preserve">Arlington Dept. Of Libraries</t>
  </si>
  <si>
    <t xml:space="preserve">(703) 228-3347</t>
  </si>
  <si>
    <t xml:space="preserve">VA0005</t>
  </si>
  <si>
    <t xml:space="preserve">Augusta County Library</t>
  </si>
  <si>
    <t xml:space="preserve">Fishersville</t>
  </si>
  <si>
    <t xml:space="preserve">(540) 949-6354</t>
  </si>
  <si>
    <t xml:space="preserve">VA0006</t>
  </si>
  <si>
    <t xml:space="preserve">Bedford Public Library System</t>
  </si>
  <si>
    <t xml:space="preserve">(540) 586-8911</t>
  </si>
  <si>
    <t xml:space="preserve">VA0007</t>
  </si>
  <si>
    <t xml:space="preserve">Blackwater Regional Library</t>
  </si>
  <si>
    <t xml:space="preserve">Courtland</t>
  </si>
  <si>
    <t xml:space="preserve">(757) 653-0298</t>
  </si>
  <si>
    <t xml:space="preserve">VA0083</t>
  </si>
  <si>
    <t xml:space="preserve">Blue Ridge Regional Library</t>
  </si>
  <si>
    <t xml:space="preserve">(276) 403-5430</t>
  </si>
  <si>
    <t xml:space="preserve">VA0008</t>
  </si>
  <si>
    <t xml:space="preserve">Botetourt County Library</t>
  </si>
  <si>
    <t xml:space="preserve">Roanoke</t>
  </si>
  <si>
    <t xml:space="preserve">Botetourt</t>
  </si>
  <si>
    <t xml:space="preserve">(540) 928-2900</t>
  </si>
  <si>
    <t xml:space="preserve">VA0009</t>
  </si>
  <si>
    <t xml:space="preserve">(276) 645-8780</t>
  </si>
  <si>
    <t xml:space="preserve">VA0010</t>
  </si>
  <si>
    <t xml:space="preserve">Buchanan County Public Library</t>
  </si>
  <si>
    <t xml:space="preserve">(276) 935-5721</t>
  </si>
  <si>
    <t xml:space="preserve">VA0011</t>
  </si>
  <si>
    <t xml:space="preserve">Campbell County Public Library</t>
  </si>
  <si>
    <t xml:space="preserve">Rustburg</t>
  </si>
  <si>
    <t xml:space="preserve">(434) 332-9560</t>
  </si>
  <si>
    <t xml:space="preserve">VA0012</t>
  </si>
  <si>
    <t xml:space="preserve">Caroline County Library</t>
  </si>
  <si>
    <t xml:space="preserve">(804) 633-5455</t>
  </si>
  <si>
    <t xml:space="preserve">VA0013</t>
  </si>
  <si>
    <t xml:space="preserve">Central Rappahannock Regional Library</t>
  </si>
  <si>
    <t xml:space="preserve">Spotsylvania</t>
  </si>
  <si>
    <t xml:space="preserve">(540) 372-1144</t>
  </si>
  <si>
    <t xml:space="preserve">VA0014</t>
  </si>
  <si>
    <t xml:space="preserve">Central Virginia Regional Library</t>
  </si>
  <si>
    <t xml:space="preserve">Farmville</t>
  </si>
  <si>
    <t xml:space="preserve">Prince Edward</t>
  </si>
  <si>
    <t xml:space="preserve">(434) 392-6924</t>
  </si>
  <si>
    <t xml:space="preserve">VA0091</t>
  </si>
  <si>
    <t xml:space="preserve">Charlotte County Library</t>
  </si>
  <si>
    <t xml:space="preserve">Charlotte Court Hous</t>
  </si>
  <si>
    <t xml:space="preserve">(434) 542-5247</t>
  </si>
  <si>
    <t xml:space="preserve">VA0016</t>
  </si>
  <si>
    <t xml:space="preserve">Chesapeake Public Library</t>
  </si>
  <si>
    <t xml:space="preserve">Chesapeake</t>
  </si>
  <si>
    <t xml:space="preserve">(757) 410-7101</t>
  </si>
  <si>
    <t xml:space="preserve">VA0017</t>
  </si>
  <si>
    <t xml:space="preserve">Chesterfield County Public Library</t>
  </si>
  <si>
    <t xml:space="preserve">(804) 748-1601</t>
  </si>
  <si>
    <t xml:space="preserve">VA0018</t>
  </si>
  <si>
    <t xml:space="preserve">Colonial Heights Public Library</t>
  </si>
  <si>
    <t xml:space="preserve">Colonial Heights</t>
  </si>
  <si>
    <t xml:space="preserve">(804) 520-9384</t>
  </si>
  <si>
    <t xml:space="preserve">VA0020</t>
  </si>
  <si>
    <t xml:space="preserve">Culpeper County Library</t>
  </si>
  <si>
    <t xml:space="preserve">Culpeper</t>
  </si>
  <si>
    <t xml:space="preserve">(540) 825-8691</t>
  </si>
  <si>
    <t xml:space="preserve">VA0021</t>
  </si>
  <si>
    <t xml:space="preserve">(434) 799-5195</t>
  </si>
  <si>
    <t xml:space="preserve">VA0023</t>
  </si>
  <si>
    <t xml:space="preserve">Eastern Shore Public Library</t>
  </si>
  <si>
    <t xml:space="preserve">Accomac</t>
  </si>
  <si>
    <t xml:space="preserve">Accomack</t>
  </si>
  <si>
    <t xml:space="preserve">(757) 787-3400</t>
  </si>
  <si>
    <t xml:space="preserve">VA0024</t>
  </si>
  <si>
    <t xml:space="preserve">Essex Public Library</t>
  </si>
  <si>
    <t xml:space="preserve">Tappahannock</t>
  </si>
  <si>
    <t xml:space="preserve">(804) 443-4945</t>
  </si>
  <si>
    <t xml:space="preserve">VA0025</t>
  </si>
  <si>
    <t xml:space="preserve">Fairfax County Public Library</t>
  </si>
  <si>
    <t xml:space="preserve">Fairfax</t>
  </si>
  <si>
    <t xml:space="preserve">(703) 324-8322</t>
  </si>
  <si>
    <t xml:space="preserve">VA0026</t>
  </si>
  <si>
    <t xml:space="preserve">Fauquier County Public Library</t>
  </si>
  <si>
    <t xml:space="preserve">Fauquier</t>
  </si>
  <si>
    <t xml:space="preserve">(540) 422-8500</t>
  </si>
  <si>
    <t xml:space="preserve">VA0028</t>
  </si>
  <si>
    <t xml:space="preserve">Fluvanna County Public Library</t>
  </si>
  <si>
    <t xml:space="preserve">Palmyra</t>
  </si>
  <si>
    <t xml:space="preserve">Fluvanna</t>
  </si>
  <si>
    <t xml:space="preserve">(434) 589-1400</t>
  </si>
  <si>
    <t xml:space="preserve">VA0029</t>
  </si>
  <si>
    <t xml:space="preserve">(540) 483-3098</t>
  </si>
  <si>
    <t xml:space="preserve">VA0030</t>
  </si>
  <si>
    <t xml:space="preserve">Galax-Carroll Regional Library</t>
  </si>
  <si>
    <t xml:space="preserve">Galax</t>
  </si>
  <si>
    <t xml:space="preserve">(276) 236-2042</t>
  </si>
  <si>
    <t xml:space="preserve">VA0031</t>
  </si>
  <si>
    <t xml:space="preserve">Gloucester County Public Library</t>
  </si>
  <si>
    <t xml:space="preserve">(804) 693-2998</t>
  </si>
  <si>
    <t xml:space="preserve">VA0032</t>
  </si>
  <si>
    <t xml:space="preserve">Halifax County-South Boston Library System</t>
  </si>
  <si>
    <t xml:space="preserve">(434) 476-3357</t>
  </si>
  <si>
    <t xml:space="preserve">VA0033</t>
  </si>
  <si>
    <t xml:space="preserve">Hampton Public Library</t>
  </si>
  <si>
    <t xml:space="preserve">(757) 727-1154</t>
  </si>
  <si>
    <t xml:space="preserve">VA0034</t>
  </si>
  <si>
    <t xml:space="preserve">Handley Regional Library</t>
  </si>
  <si>
    <t xml:space="preserve">(540) 662-9041</t>
  </si>
  <si>
    <t xml:space="preserve">VA0035</t>
  </si>
  <si>
    <t xml:space="preserve">Henrico County Public Library</t>
  </si>
  <si>
    <t xml:space="preserve">Henrico</t>
  </si>
  <si>
    <t xml:space="preserve">(804) 501-1900</t>
  </si>
  <si>
    <t xml:space="preserve">VA0036</t>
  </si>
  <si>
    <t xml:space="preserve">Heritage Public Library</t>
  </si>
  <si>
    <t xml:space="preserve">New Kent</t>
  </si>
  <si>
    <t xml:space="preserve">(804) 966-2480</t>
  </si>
  <si>
    <t xml:space="preserve">VA0037</t>
  </si>
  <si>
    <t xml:space="preserve">J. Robert Jamerson Memorial Library</t>
  </si>
  <si>
    <t xml:space="preserve">Appomattox</t>
  </si>
  <si>
    <t xml:space="preserve">(434) 352-5340</t>
  </si>
  <si>
    <t xml:space="preserve">VA0003</t>
  </si>
  <si>
    <t xml:space="preserve">James L. Hamner Public Library</t>
  </si>
  <si>
    <t xml:space="preserve">Amelia</t>
  </si>
  <si>
    <t xml:space="preserve">(804) 561-4559</t>
  </si>
  <si>
    <t xml:space="preserve">VA0039</t>
  </si>
  <si>
    <t xml:space="preserve">Jefferson-Madison Regional Library</t>
  </si>
  <si>
    <t xml:space="preserve">Charlottesville</t>
  </si>
  <si>
    <t xml:space="preserve">(434) 979-7151</t>
  </si>
  <si>
    <t xml:space="preserve">VA0040</t>
  </si>
  <si>
    <t xml:space="preserve">Lancaster Community Library</t>
  </si>
  <si>
    <t xml:space="preserve">Kilmarnock</t>
  </si>
  <si>
    <t xml:space="preserve">(804) 435-1729</t>
  </si>
  <si>
    <t xml:space="preserve">VA0041</t>
  </si>
  <si>
    <t xml:space="preserve">Lewis Egerton Smoot Memorial Library</t>
  </si>
  <si>
    <t xml:space="preserve">King George</t>
  </si>
  <si>
    <t xml:space="preserve">(540) 775-2147</t>
  </si>
  <si>
    <t xml:space="preserve">VA0042</t>
  </si>
  <si>
    <t xml:space="preserve">Lonesome Pine Regional Library</t>
  </si>
  <si>
    <t xml:space="preserve">(276) 328-8325</t>
  </si>
  <si>
    <t xml:space="preserve">VA0043</t>
  </si>
  <si>
    <t xml:space="preserve">Loudoun County Public Library</t>
  </si>
  <si>
    <t xml:space="preserve">Loudoun</t>
  </si>
  <si>
    <t xml:space="preserve">(703) 777-0368</t>
  </si>
  <si>
    <t xml:space="preserve">VA0044</t>
  </si>
  <si>
    <t xml:space="preserve">Lunenburg County Public Library System, Inc</t>
  </si>
  <si>
    <t xml:space="preserve">Kenbridge</t>
  </si>
  <si>
    <t xml:space="preserve">(434) 676-3456</t>
  </si>
  <si>
    <t xml:space="preserve">VA8001</t>
  </si>
  <si>
    <t xml:space="preserve">Lynchburg Public Library</t>
  </si>
  <si>
    <t xml:space="preserve">Lynchburg</t>
  </si>
  <si>
    <t xml:space="preserve">(434) 455-6330</t>
  </si>
  <si>
    <t xml:space="preserve">VA0045</t>
  </si>
  <si>
    <t xml:space="preserve">Madison County Library, Inc.</t>
  </si>
  <si>
    <t xml:space="preserve">(540) 948-4720</t>
  </si>
  <si>
    <t xml:space="preserve">VA0046</t>
  </si>
  <si>
    <t xml:space="preserve">Manassas Park City Library</t>
  </si>
  <si>
    <t xml:space="preserve">Manassas Park</t>
  </si>
  <si>
    <t xml:space="preserve">(703) 335-8842</t>
  </si>
  <si>
    <t xml:space="preserve">VA8004</t>
  </si>
  <si>
    <t xml:space="preserve">Mary Riley Styles Public Library</t>
  </si>
  <si>
    <t xml:space="preserve">Falls Church</t>
  </si>
  <si>
    <t xml:space="preserve">(703) 248-5030</t>
  </si>
  <si>
    <t xml:space="preserve">VA0047</t>
  </si>
  <si>
    <t xml:space="preserve">Massanutten Regional Library</t>
  </si>
  <si>
    <t xml:space="preserve">Harrisonburg</t>
  </si>
  <si>
    <t xml:space="preserve">(540) 434-4475</t>
  </si>
  <si>
    <t xml:space="preserve">VA0072</t>
  </si>
  <si>
    <t xml:space="preserve">Mecklenburg County Public Library</t>
  </si>
  <si>
    <t xml:space="preserve">Boydton</t>
  </si>
  <si>
    <t xml:space="preserve">(434) 738-6580</t>
  </si>
  <si>
    <t xml:space="preserve">VA8002</t>
  </si>
  <si>
    <t xml:space="preserve">Meherrin Regional Library</t>
  </si>
  <si>
    <t xml:space="preserve">(434) 848-6899</t>
  </si>
  <si>
    <t xml:space="preserve">VA0049</t>
  </si>
  <si>
    <t xml:space="preserve">Middlesex County Public Library</t>
  </si>
  <si>
    <t xml:space="preserve">Urbanna</t>
  </si>
  <si>
    <t xml:space="preserve">(804) 758-5717</t>
  </si>
  <si>
    <t xml:space="preserve">VA0050</t>
  </si>
  <si>
    <t xml:space="preserve">Montgomery-Floyd Regional Library</t>
  </si>
  <si>
    <t xml:space="preserve">Christiansburg</t>
  </si>
  <si>
    <t xml:space="preserve">(540) 382-6969</t>
  </si>
  <si>
    <t xml:space="preserve">VA0051</t>
  </si>
  <si>
    <t xml:space="preserve">Newport News Public Library System</t>
  </si>
  <si>
    <t xml:space="preserve">Newport News</t>
  </si>
  <si>
    <t xml:space="preserve">(757) 926-1350</t>
  </si>
  <si>
    <t xml:space="preserve">VA0053</t>
  </si>
  <si>
    <t xml:space="preserve">(757) 664-7328</t>
  </si>
  <si>
    <t xml:space="preserve">VA0054</t>
  </si>
  <si>
    <t xml:space="preserve">Northumberland Public Library</t>
  </si>
  <si>
    <t xml:space="preserve">Heathsville</t>
  </si>
  <si>
    <t xml:space="preserve">(804) 580-5051</t>
  </si>
  <si>
    <t xml:space="preserve">VA0090</t>
  </si>
  <si>
    <t xml:space="preserve">Nottoway County Library System</t>
  </si>
  <si>
    <t xml:space="preserve">Crewe</t>
  </si>
  <si>
    <t xml:space="preserve">Nottoway</t>
  </si>
  <si>
    <t xml:space="preserve">(434) 645-8688</t>
  </si>
  <si>
    <t xml:space="preserve">VA0055</t>
  </si>
  <si>
    <t xml:space="preserve">(540) 672-3811</t>
  </si>
  <si>
    <t xml:space="preserve">VA0056</t>
  </si>
  <si>
    <t xml:space="preserve">Pamunkey Regional Library</t>
  </si>
  <si>
    <t xml:space="preserve">(804) 365-6211</t>
  </si>
  <si>
    <t xml:space="preserve">VA0057</t>
  </si>
  <si>
    <t xml:space="preserve">Petersburg Public Library</t>
  </si>
  <si>
    <t xml:space="preserve">(804) 733-2387</t>
  </si>
  <si>
    <t xml:space="preserve">VA0059</t>
  </si>
  <si>
    <t xml:space="preserve">Pittsylvania County Public Library</t>
  </si>
  <si>
    <t xml:space="preserve">Pittsylvania</t>
  </si>
  <si>
    <t xml:space="preserve">(434) 432-3271</t>
  </si>
  <si>
    <t xml:space="preserve">VA0060</t>
  </si>
  <si>
    <t xml:space="preserve">Poquoson Public Library</t>
  </si>
  <si>
    <t xml:space="preserve">Poquoson</t>
  </si>
  <si>
    <t xml:space="preserve">(757) 868-3060</t>
  </si>
  <si>
    <t xml:space="preserve">VA0061</t>
  </si>
  <si>
    <t xml:space="preserve">(757) 393-8365</t>
  </si>
  <si>
    <t xml:space="preserve">VA0062</t>
  </si>
  <si>
    <t xml:space="preserve">Powhatan County Public Library</t>
  </si>
  <si>
    <t xml:space="preserve">Powhatan</t>
  </si>
  <si>
    <t xml:space="preserve">(804) 598-5670</t>
  </si>
  <si>
    <t xml:space="preserve">VA0063</t>
  </si>
  <si>
    <t xml:space="preserve">Prince William Public Libraries</t>
  </si>
  <si>
    <t xml:space="preserve">Prince William</t>
  </si>
  <si>
    <t xml:space="preserve">(703) 792-6100</t>
  </si>
  <si>
    <t xml:space="preserve">VA0064</t>
  </si>
  <si>
    <t xml:space="preserve">Pulaski County Library System</t>
  </si>
  <si>
    <t xml:space="preserve">(540) 980-7770</t>
  </si>
  <si>
    <t xml:space="preserve">VA0065</t>
  </si>
  <si>
    <t xml:space="preserve">Radford Public Library</t>
  </si>
  <si>
    <t xml:space="preserve">Radford</t>
  </si>
  <si>
    <t xml:space="preserve">(540) 731-3621</t>
  </si>
  <si>
    <t xml:space="preserve">VA0066</t>
  </si>
  <si>
    <t xml:space="preserve">(804) 646-4256</t>
  </si>
  <si>
    <t xml:space="preserve">VA0068</t>
  </si>
  <si>
    <t xml:space="preserve">Roanoke City Public Library</t>
  </si>
  <si>
    <t xml:space="preserve">(540) 853-2476</t>
  </si>
  <si>
    <t xml:space="preserve">VA0069</t>
  </si>
  <si>
    <t xml:space="preserve">Roanoke County Public Library</t>
  </si>
  <si>
    <t xml:space="preserve">(540) 772-7507</t>
  </si>
  <si>
    <t xml:space="preserve">VA0070</t>
  </si>
  <si>
    <t xml:space="preserve">Rockbridge Regional Library</t>
  </si>
  <si>
    <t xml:space="preserve">(540) 463-4324</t>
  </si>
  <si>
    <t xml:space="preserve">VA0071</t>
  </si>
  <si>
    <t xml:space="preserve">(276) 889-8044</t>
  </si>
  <si>
    <t xml:space="preserve">VA0073</t>
  </si>
  <si>
    <t xml:space="preserve">(540) 375-3089</t>
  </si>
  <si>
    <t xml:space="preserve">VA0074</t>
  </si>
  <si>
    <t xml:space="preserve">Samuels Public Library</t>
  </si>
  <si>
    <t xml:space="preserve">Front Royal</t>
  </si>
  <si>
    <t xml:space="preserve">(540) 635-3153</t>
  </si>
  <si>
    <t xml:space="preserve">VA0075</t>
  </si>
  <si>
    <t xml:space="preserve">Shenandoah County Library</t>
  </si>
  <si>
    <t xml:space="preserve">Shenandoah</t>
  </si>
  <si>
    <t xml:space="preserve">(540) 984-8200</t>
  </si>
  <si>
    <t xml:space="preserve">VA0076</t>
  </si>
  <si>
    <t xml:space="preserve">Smyth County Public Library</t>
  </si>
  <si>
    <t xml:space="preserve">Smyth/Marion</t>
  </si>
  <si>
    <t xml:space="preserve">(276) 783-2323</t>
  </si>
  <si>
    <t xml:space="preserve">VA0077</t>
  </si>
  <si>
    <t xml:space="preserve">Staunton Public Library</t>
  </si>
  <si>
    <t xml:space="preserve">Staunton</t>
  </si>
  <si>
    <t xml:space="preserve">(540) 332-3902</t>
  </si>
  <si>
    <t xml:space="preserve">VA0079</t>
  </si>
  <si>
    <t xml:space="preserve">Suffolk Public Library System</t>
  </si>
  <si>
    <t xml:space="preserve">City Of Suffolk</t>
  </si>
  <si>
    <t xml:space="preserve">(757) 514-7323</t>
  </si>
  <si>
    <t xml:space="preserve">VA0080</t>
  </si>
  <si>
    <t xml:space="preserve">Tazewell County Public Library</t>
  </si>
  <si>
    <t xml:space="preserve">(276) 988-2541</t>
  </si>
  <si>
    <t xml:space="preserve">VA0081</t>
  </si>
  <si>
    <t xml:space="preserve">Virginia Beach Public Library</t>
  </si>
  <si>
    <t xml:space="preserve">Virginia Beach</t>
  </si>
  <si>
    <t xml:space="preserve">(757) 385-0150</t>
  </si>
  <si>
    <t xml:space="preserve">VA0082</t>
  </si>
  <si>
    <t xml:space="preserve">Abingdon</t>
  </si>
  <si>
    <t xml:space="preserve">(276) 676-6222</t>
  </si>
  <si>
    <t xml:space="preserve">VA0084</t>
  </si>
  <si>
    <t xml:space="preserve">Waynesboro Public Library</t>
  </si>
  <si>
    <t xml:space="preserve">(540) 942-6746</t>
  </si>
  <si>
    <t xml:space="preserve">VA0085</t>
  </si>
  <si>
    <t xml:space="preserve">Williamsburg Regional Library</t>
  </si>
  <si>
    <t xml:space="preserve">(757) 741-3300</t>
  </si>
  <si>
    <t xml:space="preserve">VA0086</t>
  </si>
  <si>
    <t xml:space="preserve">Wythe-Grayson Regional Library</t>
  </si>
  <si>
    <t xml:space="preserve">(276) 773-2761</t>
  </si>
  <si>
    <t xml:space="preserve">VA0087</t>
  </si>
  <si>
    <t xml:space="preserve">York County Public Library</t>
  </si>
  <si>
    <t xml:space="preserve">(757) 890-5130</t>
  </si>
  <si>
    <t xml:space="preserve">VA0088</t>
  </si>
  <si>
    <t xml:space="preserve">VT</t>
  </si>
  <si>
    <t xml:space="preserve">Aldrich Public</t>
  </si>
  <si>
    <t xml:space="preserve">Barre</t>
  </si>
  <si>
    <t xml:space="preserve">(802) 476-7550</t>
  </si>
  <si>
    <t xml:space="preserve">VT0011</t>
  </si>
  <si>
    <t xml:space="preserve">Bennington Free</t>
  </si>
  <si>
    <t xml:space="preserve">Bennington</t>
  </si>
  <si>
    <t xml:space="preserve">(802) 442-9051</t>
  </si>
  <si>
    <t xml:space="preserve">VT0014</t>
  </si>
  <si>
    <t xml:space="preserve">Brooks Memorial</t>
  </si>
  <si>
    <t xml:space="preserve">Brattleboro</t>
  </si>
  <si>
    <t xml:space="preserve">(802) 254-5290</t>
  </si>
  <si>
    <t xml:space="preserve">VT0020</t>
  </si>
  <si>
    <t xml:space="preserve">Brownell</t>
  </si>
  <si>
    <t xml:space="preserve">Essex Junction</t>
  </si>
  <si>
    <t xml:space="preserve">Chittenden</t>
  </si>
  <si>
    <t xml:space="preserve">(802) 878-6955</t>
  </si>
  <si>
    <t xml:space="preserve">VT0054</t>
  </si>
  <si>
    <t xml:space="preserve">Burnham Memorial</t>
  </si>
  <si>
    <t xml:space="preserve">(802) 264-5660</t>
  </si>
  <si>
    <t xml:space="preserve">VT0039</t>
  </si>
  <si>
    <t xml:space="preserve">Dorothy Alling Memorial</t>
  </si>
  <si>
    <t xml:space="preserve">(802) 878-4918</t>
  </si>
  <si>
    <t xml:space="preserve">VT0188</t>
  </si>
  <si>
    <t xml:space="preserve">Essex Free</t>
  </si>
  <si>
    <t xml:space="preserve">(802) 879-0313</t>
  </si>
  <si>
    <t xml:space="preserve">VT0053</t>
  </si>
  <si>
    <t xml:space="preserve">Fletcher Free</t>
  </si>
  <si>
    <t xml:space="preserve">(802) 863-3403</t>
  </si>
  <si>
    <t xml:space="preserve">VT0029</t>
  </si>
  <si>
    <t xml:space="preserve">Kellogg-Hubbard</t>
  </si>
  <si>
    <t xml:space="preserve">Montpelier</t>
  </si>
  <si>
    <t xml:space="preserve">(802) 223-3338</t>
  </si>
  <si>
    <t xml:space="preserve">VT0098</t>
  </si>
  <si>
    <t xml:space="preserve">Milton Public</t>
  </si>
  <si>
    <t xml:space="preserve">(802) 893-4644</t>
  </si>
  <si>
    <t xml:space="preserve">VT0095</t>
  </si>
  <si>
    <t xml:space="preserve">Rutland Free</t>
  </si>
  <si>
    <t xml:space="preserve">Rutland</t>
  </si>
  <si>
    <t xml:space="preserve">(802) 773-1860</t>
  </si>
  <si>
    <t xml:space="preserve">VT0133</t>
  </si>
  <si>
    <t xml:space="preserve">South Burlington</t>
  </si>
  <si>
    <t xml:space="preserve">S. Burlington</t>
  </si>
  <si>
    <t xml:space="preserve">(802) 846-4140</t>
  </si>
  <si>
    <t xml:space="preserve">VT0145</t>
  </si>
  <si>
    <t xml:space="preserve">St. Albans Free</t>
  </si>
  <si>
    <t xml:space="preserve">St. Albans</t>
  </si>
  <si>
    <t xml:space="preserve">(802) 524-1507</t>
  </si>
  <si>
    <t xml:space="preserve">VT0137</t>
  </si>
  <si>
    <t xml:space="preserve">WA</t>
  </si>
  <si>
    <t xml:space="preserve">Anacortes Public Library</t>
  </si>
  <si>
    <t xml:space="preserve">Anacortes</t>
  </si>
  <si>
    <t xml:space="preserve">Skagit</t>
  </si>
  <si>
    <t xml:space="preserve">(360) 293-1910</t>
  </si>
  <si>
    <t xml:space="preserve">WA0032</t>
  </si>
  <si>
    <t xml:space="preserve">Asotin County Library</t>
  </si>
  <si>
    <t xml:space="preserve">Asotin</t>
  </si>
  <si>
    <t xml:space="preserve">(509) 758-5454</t>
  </si>
  <si>
    <t xml:space="preserve">WA0033</t>
  </si>
  <si>
    <t xml:space="preserve">Whatcom</t>
  </si>
  <si>
    <t xml:space="preserve">(360) 778-7323</t>
  </si>
  <si>
    <t xml:space="preserve">WA0050</t>
  </si>
  <si>
    <t xml:space="preserve">Camas Public Library</t>
  </si>
  <si>
    <t xml:space="preserve">Camas</t>
  </si>
  <si>
    <t xml:space="preserve">(360) 834-4692</t>
  </si>
  <si>
    <t xml:space="preserve">WA0034</t>
  </si>
  <si>
    <t xml:space="preserve">Central Skagit Library District</t>
  </si>
  <si>
    <t xml:space="preserve">Sedro-Woolley</t>
  </si>
  <si>
    <t xml:space="preserve">(360) 755-3985</t>
  </si>
  <si>
    <t xml:space="preserve">WA0076</t>
  </si>
  <si>
    <t xml:space="preserve">Ellensburg Public Library</t>
  </si>
  <si>
    <t xml:space="preserve">Ellensburg</t>
  </si>
  <si>
    <t xml:space="preserve">Kittitas</t>
  </si>
  <si>
    <t xml:space="preserve">(509) 962-7252</t>
  </si>
  <si>
    <t xml:space="preserve">WA0035</t>
  </si>
  <si>
    <t xml:space="preserve">Everett Public Library</t>
  </si>
  <si>
    <t xml:space="preserve">Snohomish</t>
  </si>
  <si>
    <t xml:space="preserve">(425) 257-7620</t>
  </si>
  <si>
    <t xml:space="preserve">WA0051</t>
  </si>
  <si>
    <t xml:space="preserve">Fort Vancouver Regional Library District</t>
  </si>
  <si>
    <t xml:space="preserve">Vancouver</t>
  </si>
  <si>
    <t xml:space="preserve">(360) 695-1561</t>
  </si>
  <si>
    <t xml:space="preserve">WA0058</t>
  </si>
  <si>
    <t xml:space="preserve">Grandview Library</t>
  </si>
  <si>
    <t xml:space="preserve">Grandview</t>
  </si>
  <si>
    <t xml:space="preserve">Yakima</t>
  </si>
  <si>
    <t xml:space="preserve">(509) 882-7034</t>
  </si>
  <si>
    <t xml:space="preserve">WA0037</t>
  </si>
  <si>
    <t xml:space="preserve">Jefferson County Rural Library District</t>
  </si>
  <si>
    <t xml:space="preserve">Port Hadlock</t>
  </si>
  <si>
    <t xml:space="preserve">(360) 385-6544</t>
  </si>
  <si>
    <t xml:space="preserve">WA0038</t>
  </si>
  <si>
    <t xml:space="preserve">Kelso Public Library</t>
  </si>
  <si>
    <t xml:space="preserve">Kelso</t>
  </si>
  <si>
    <t xml:space="preserve">Cowlitz</t>
  </si>
  <si>
    <t xml:space="preserve">(360) 423-8110</t>
  </si>
  <si>
    <t xml:space="preserve">WA0039</t>
  </si>
  <si>
    <t xml:space="preserve">King County Library System</t>
  </si>
  <si>
    <t xml:space="preserve">Issaquah</t>
  </si>
  <si>
    <t xml:space="preserve">King</t>
  </si>
  <si>
    <t xml:space="preserve">(425) 369-3200</t>
  </si>
  <si>
    <t xml:space="preserve">WA0059</t>
  </si>
  <si>
    <t xml:space="preserve">Kitsap Regional Library</t>
  </si>
  <si>
    <t xml:space="preserve">Bremerton</t>
  </si>
  <si>
    <t xml:space="preserve">Kitsap</t>
  </si>
  <si>
    <t xml:space="preserve">(360) 405-9100</t>
  </si>
  <si>
    <t xml:space="preserve">WA0060</t>
  </si>
  <si>
    <t xml:space="preserve">Liberty Lake Municipal Library</t>
  </si>
  <si>
    <t xml:space="preserve">Liberty Lake</t>
  </si>
  <si>
    <t xml:space="preserve">Spokane</t>
  </si>
  <si>
    <t xml:space="preserve">(509) 232-2510</t>
  </si>
  <si>
    <t xml:space="preserve">WA0074</t>
  </si>
  <si>
    <t xml:space="preserve">(360) 442-5300</t>
  </si>
  <si>
    <t xml:space="preserve">WA0052</t>
  </si>
  <si>
    <t xml:space="preserve">Mid-Columbia Libraries</t>
  </si>
  <si>
    <t xml:space="preserve">Kennewick</t>
  </si>
  <si>
    <t xml:space="preserve">(509) 582-4745</t>
  </si>
  <si>
    <t xml:space="preserve">WA0061</t>
  </si>
  <si>
    <t xml:space="preserve">Mount Vernon City Library</t>
  </si>
  <si>
    <t xml:space="preserve">(360) 336-6249</t>
  </si>
  <si>
    <t xml:space="preserve">WA0040</t>
  </si>
  <si>
    <t xml:space="preserve">North Central Regional Library</t>
  </si>
  <si>
    <t xml:space="preserve">Wenatchee</t>
  </si>
  <si>
    <t xml:space="preserve">Chelan</t>
  </si>
  <si>
    <t xml:space="preserve">(509) 663-1117</t>
  </si>
  <si>
    <t xml:space="preserve">WA0062</t>
  </si>
  <si>
    <t xml:space="preserve">North Olympic Library System</t>
  </si>
  <si>
    <t xml:space="preserve">Port Angeles</t>
  </si>
  <si>
    <t xml:space="preserve">Clallam</t>
  </si>
  <si>
    <t xml:space="preserve">(360) 417-8500</t>
  </si>
  <si>
    <t xml:space="preserve">WA0053</t>
  </si>
  <si>
    <t xml:space="preserve">Pend Oreille County Library District</t>
  </si>
  <si>
    <t xml:space="preserve">Pend Oreille</t>
  </si>
  <si>
    <t xml:space="preserve">(800) 366-3654</t>
  </si>
  <si>
    <t xml:space="preserve">WA0041</t>
  </si>
  <si>
    <t xml:space="preserve">Pierce County Library System</t>
  </si>
  <si>
    <t xml:space="preserve">Tacoma</t>
  </si>
  <si>
    <t xml:space="preserve">Pierce</t>
  </si>
  <si>
    <t xml:space="preserve">(253) 548-3300</t>
  </si>
  <si>
    <t xml:space="preserve">WA0063</t>
  </si>
  <si>
    <t xml:space="preserve">Port Townsend Public Library</t>
  </si>
  <si>
    <t xml:space="preserve">Port Townsend</t>
  </si>
  <si>
    <t xml:space="preserve">(360) 344-3054</t>
  </si>
  <si>
    <t xml:space="preserve">WA0042</t>
  </si>
  <si>
    <t xml:space="preserve">Pullman (Neill) Public Library</t>
  </si>
  <si>
    <t xml:space="preserve">Pullman</t>
  </si>
  <si>
    <t xml:space="preserve">(509) 334-3595</t>
  </si>
  <si>
    <t xml:space="preserve">WA0043</t>
  </si>
  <si>
    <t xml:space="preserve">Puyallup Public Library</t>
  </si>
  <si>
    <t xml:space="preserve">Puyallup</t>
  </si>
  <si>
    <t xml:space="preserve">(253) 841-5454</t>
  </si>
  <si>
    <t xml:space="preserve">WA0044</t>
  </si>
  <si>
    <t xml:space="preserve">Richland Public Library</t>
  </si>
  <si>
    <t xml:space="preserve">(509) 942-7454</t>
  </si>
  <si>
    <t xml:space="preserve">WA0055</t>
  </si>
  <si>
    <t xml:space="preserve">Seattle Public Library</t>
  </si>
  <si>
    <t xml:space="preserve">Seattle</t>
  </si>
  <si>
    <t xml:space="preserve">(206) 386-4636</t>
  </si>
  <si>
    <t xml:space="preserve">WA0064</t>
  </si>
  <si>
    <t xml:space="preserve">Sno-Isle Libraries</t>
  </si>
  <si>
    <t xml:space="preserve">(360) 651-7000</t>
  </si>
  <si>
    <t xml:space="preserve">WA0065</t>
  </si>
  <si>
    <t xml:space="preserve">Spokane County Library District</t>
  </si>
  <si>
    <t xml:space="preserve">(509) 893-8200</t>
  </si>
  <si>
    <t xml:space="preserve">WA0066</t>
  </si>
  <si>
    <t xml:space="preserve">Spokane Public Library</t>
  </si>
  <si>
    <t xml:space="preserve">(509) 444-5305</t>
  </si>
  <si>
    <t xml:space="preserve">WA0067</t>
  </si>
  <si>
    <t xml:space="preserve">Stevens County Rural Library District</t>
  </si>
  <si>
    <t xml:space="preserve">Loon Lake</t>
  </si>
  <si>
    <t xml:space="preserve">Stevens</t>
  </si>
  <si>
    <t xml:space="preserve">(509) 233-9621</t>
  </si>
  <si>
    <t xml:space="preserve">WA0072</t>
  </si>
  <si>
    <t xml:space="preserve">Tacoma Public Library</t>
  </si>
  <si>
    <t xml:space="preserve">(253) 280-2800</t>
  </si>
  <si>
    <t xml:space="preserve">WA0068</t>
  </si>
  <si>
    <t xml:space="preserve">Timberland Regional Library</t>
  </si>
  <si>
    <t xml:space="preserve">Tumwater</t>
  </si>
  <si>
    <t xml:space="preserve">Thurston</t>
  </si>
  <si>
    <t xml:space="preserve">(360) 943-5001</t>
  </si>
  <si>
    <t xml:space="preserve">WA0069</t>
  </si>
  <si>
    <t xml:space="preserve">Walla Walla County Rural Library District</t>
  </si>
  <si>
    <t xml:space="preserve">Walla Walla</t>
  </si>
  <si>
    <t xml:space="preserve">(509) 527-3284</t>
  </si>
  <si>
    <t xml:space="preserve">WA0047</t>
  </si>
  <si>
    <t xml:space="preserve">Walla Walla Public Library</t>
  </si>
  <si>
    <t xml:space="preserve">(509) 527-4550</t>
  </si>
  <si>
    <t xml:space="preserve">WA0056</t>
  </si>
  <si>
    <t xml:space="preserve">Whatcom County Library System</t>
  </si>
  <si>
    <t xml:space="preserve">(360) 305-3600</t>
  </si>
  <si>
    <t xml:space="preserve">WA0057</t>
  </si>
  <si>
    <t xml:space="preserve">Whitman County Library</t>
  </si>
  <si>
    <t xml:space="preserve">(509) 397-4366</t>
  </si>
  <si>
    <t xml:space="preserve">WA0048</t>
  </si>
  <si>
    <t xml:space="preserve">Yakima Valley Regional Library</t>
  </si>
  <si>
    <t xml:space="preserve">(509) 575-3426</t>
  </si>
  <si>
    <t xml:space="preserve">WA0070</t>
  </si>
  <si>
    <t xml:space="preserve">WI</t>
  </si>
  <si>
    <t xml:space="preserve">Adams County Library</t>
  </si>
  <si>
    <t xml:space="preserve">(608) 339-4250</t>
  </si>
  <si>
    <t xml:space="preserve">WI0002</t>
  </si>
  <si>
    <t xml:space="preserve">Eau Claire</t>
  </si>
  <si>
    <t xml:space="preserve">(715) 839-5029</t>
  </si>
  <si>
    <t xml:space="preserve">WI0006</t>
  </si>
  <si>
    <t xml:space="preserve">Amery Public Library</t>
  </si>
  <si>
    <t xml:space="preserve">Amery</t>
  </si>
  <si>
    <t xml:space="preserve">(715) 268-9340</t>
  </si>
  <si>
    <t xml:space="preserve">WI0007</t>
  </si>
  <si>
    <t xml:space="preserve">Antigo Public Library</t>
  </si>
  <si>
    <t xml:space="preserve">Antigo</t>
  </si>
  <si>
    <t xml:space="preserve">Langlade</t>
  </si>
  <si>
    <t xml:space="preserve">(715) 623-3724</t>
  </si>
  <si>
    <t xml:space="preserve">WI0009</t>
  </si>
  <si>
    <t xml:space="preserve">Appleton Public Library</t>
  </si>
  <si>
    <t xml:space="preserve">Appleton</t>
  </si>
  <si>
    <t xml:space="preserve">Outagamie</t>
  </si>
  <si>
    <t xml:space="preserve">(920) 832-6170</t>
  </si>
  <si>
    <t xml:space="preserve">WI0010</t>
  </si>
  <si>
    <t xml:space="preserve">Aram Public Library</t>
  </si>
  <si>
    <t xml:space="preserve">Delavan</t>
  </si>
  <si>
    <t xml:space="preserve">Walworth</t>
  </si>
  <si>
    <t xml:space="preserve">(262) 728-3111</t>
  </si>
  <si>
    <t xml:space="preserve">WI0080</t>
  </si>
  <si>
    <t xml:space="preserve">Baraboo Public Library</t>
  </si>
  <si>
    <t xml:space="preserve">Baraboo</t>
  </si>
  <si>
    <t xml:space="preserve">Sauk</t>
  </si>
  <si>
    <t xml:space="preserve">(608) 356-6166</t>
  </si>
  <si>
    <t xml:space="preserve">WI0018</t>
  </si>
  <si>
    <t xml:space="preserve">Beaver Dam Community Library</t>
  </si>
  <si>
    <t xml:space="preserve">Beaver Dam</t>
  </si>
  <si>
    <t xml:space="preserve">(920) 887-4631</t>
  </si>
  <si>
    <t xml:space="preserve">WI0022</t>
  </si>
  <si>
    <t xml:space="preserve">Beloit Public Library</t>
  </si>
  <si>
    <t xml:space="preserve">Beloit</t>
  </si>
  <si>
    <t xml:space="preserve">Rock</t>
  </si>
  <si>
    <t xml:space="preserve">(608) 364-2908</t>
  </si>
  <si>
    <t xml:space="preserve">WI0025</t>
  </si>
  <si>
    <t xml:space="preserve">Black River Falls Public Library</t>
  </si>
  <si>
    <t xml:space="preserve">Black River Falls</t>
  </si>
  <si>
    <t xml:space="preserve">(715) 284-4112</t>
  </si>
  <si>
    <t xml:space="preserve">WI0031</t>
  </si>
  <si>
    <t xml:space="preserve">Brewer Public Library</t>
  </si>
  <si>
    <t xml:space="preserve">Richland Center</t>
  </si>
  <si>
    <t xml:space="preserve">(608) 647-6444</t>
  </si>
  <si>
    <t xml:space="preserve">WI0276</t>
  </si>
  <si>
    <t xml:space="preserve">Brillion Public Library</t>
  </si>
  <si>
    <t xml:space="preserve">Brillion</t>
  </si>
  <si>
    <t xml:space="preserve">Calumet</t>
  </si>
  <si>
    <t xml:space="preserve">(920) 756-3215</t>
  </si>
  <si>
    <t xml:space="preserve">WI0040</t>
  </si>
  <si>
    <t xml:space="preserve">Brookfield Public Library</t>
  </si>
  <si>
    <t xml:space="preserve">Waukesha</t>
  </si>
  <si>
    <t xml:space="preserve">(262) 782-4140</t>
  </si>
  <si>
    <t xml:space="preserve">WI0042</t>
  </si>
  <si>
    <t xml:space="preserve">Brown County Library</t>
  </si>
  <si>
    <t xml:space="preserve">Green Bay</t>
  </si>
  <si>
    <t xml:space="preserve">(920) 448-4400</t>
  </si>
  <si>
    <t xml:space="preserve">WI0121</t>
  </si>
  <si>
    <t xml:space="preserve">Brown Deer Public Library</t>
  </si>
  <si>
    <t xml:space="preserve">Brown Deer</t>
  </si>
  <si>
    <t xml:space="preserve">Milwaukee</t>
  </si>
  <si>
    <t xml:space="preserve">(414) 357-0106</t>
  </si>
  <si>
    <t xml:space="preserve">WI0043</t>
  </si>
  <si>
    <t xml:space="preserve">Racine</t>
  </si>
  <si>
    <t xml:space="preserve">(262) 342-1130</t>
  </si>
  <si>
    <t xml:space="preserve">WI0045</t>
  </si>
  <si>
    <t xml:space="preserve">Carleton A. Friday Memorial Library</t>
  </si>
  <si>
    <t xml:space="preserve">New Richmond</t>
  </si>
  <si>
    <t xml:space="preserve">St. Croix</t>
  </si>
  <si>
    <t xml:space="preserve">(715) 243-0431</t>
  </si>
  <si>
    <t xml:space="preserve">WI0223</t>
  </si>
  <si>
    <t xml:space="preserve">Cedarburg Public Library</t>
  </si>
  <si>
    <t xml:space="preserve">Cedarburg</t>
  </si>
  <si>
    <t xml:space="preserve">Ozaukee</t>
  </si>
  <si>
    <t xml:space="preserve">(262) 375-7640</t>
  </si>
  <si>
    <t xml:space="preserve">WI0055</t>
  </si>
  <si>
    <t xml:space="preserve">Chilton Public Library</t>
  </si>
  <si>
    <t xml:space="preserve">(920) 849-4414</t>
  </si>
  <si>
    <t xml:space="preserve">WI0058</t>
  </si>
  <si>
    <t xml:space="preserve">Chippewa Falls Public Library</t>
  </si>
  <si>
    <t xml:space="preserve">Chippewa Falls</t>
  </si>
  <si>
    <t xml:space="preserve">(715) 723-1146</t>
  </si>
  <si>
    <t xml:space="preserve">WI0059</t>
  </si>
  <si>
    <t xml:space="preserve">Kenosha</t>
  </si>
  <si>
    <t xml:space="preserve">(262) 843-3348</t>
  </si>
  <si>
    <t xml:space="preserve">WI0283</t>
  </si>
  <si>
    <t xml:space="preserve">Cudahy Family Library</t>
  </si>
  <si>
    <t xml:space="preserve">Cudahy</t>
  </si>
  <si>
    <t xml:space="preserve">(414) 769-2244</t>
  </si>
  <si>
    <t xml:space="preserve">WI0071</t>
  </si>
  <si>
    <t xml:space="preserve">Deforest Area Public Library</t>
  </si>
  <si>
    <t xml:space="preserve">Deforest</t>
  </si>
  <si>
    <t xml:space="preserve">Dane</t>
  </si>
  <si>
    <t xml:space="preserve">(608) 846-5482</t>
  </si>
  <si>
    <t xml:space="preserve">WI0078</t>
  </si>
  <si>
    <t xml:space="preserve">Delafield Public Library</t>
  </si>
  <si>
    <t xml:space="preserve">Delafield</t>
  </si>
  <si>
    <t xml:space="preserve">(262) 646-6230</t>
  </si>
  <si>
    <t xml:space="preserve">WI0079</t>
  </si>
  <si>
    <t xml:space="preserve">Dodgeville Public Library</t>
  </si>
  <si>
    <t xml:space="preserve">Dodgeville</t>
  </si>
  <si>
    <t xml:space="preserve">Iowa</t>
  </si>
  <si>
    <t xml:space="preserve">(608) 935-3728</t>
  </si>
  <si>
    <t xml:space="preserve">WI0380</t>
  </si>
  <si>
    <t xml:space="preserve">Door County Library</t>
  </si>
  <si>
    <t xml:space="preserve">Sturgeon Bay</t>
  </si>
  <si>
    <t xml:space="preserve">Door</t>
  </si>
  <si>
    <t xml:space="preserve">(920) 743-6578</t>
  </si>
  <si>
    <t xml:space="preserve">WI0312</t>
  </si>
  <si>
    <t xml:space="preserve">Dwight Foster Public Library</t>
  </si>
  <si>
    <t xml:space="preserve">Fort Atkinson</t>
  </si>
  <si>
    <t xml:space="preserve">(920) 563-7790</t>
  </si>
  <si>
    <t xml:space="preserve">WI0105</t>
  </si>
  <si>
    <t xml:space="preserve">E.D. Locke Public Library</t>
  </si>
  <si>
    <t xml:space="preserve">Mcfarland</t>
  </si>
  <si>
    <t xml:space="preserve">(608) 838-9030</t>
  </si>
  <si>
    <t xml:space="preserve">WI0420</t>
  </si>
  <si>
    <t xml:space="preserve">Elisha D. Smith Public Library</t>
  </si>
  <si>
    <t xml:space="preserve">Menasha</t>
  </si>
  <si>
    <t xml:space="preserve">(920) 967-3660</t>
  </si>
  <si>
    <t xml:space="preserve">WI0190</t>
  </si>
  <si>
    <t xml:space="preserve">Everett Roehl Marshfield Public Library</t>
  </si>
  <si>
    <t xml:space="preserve">(715) 387-8494</t>
  </si>
  <si>
    <t xml:space="preserve">WI0184</t>
  </si>
  <si>
    <t xml:space="preserve">(608) 729-1760</t>
  </si>
  <si>
    <t xml:space="preserve">WI0424</t>
  </si>
  <si>
    <t xml:space="preserve">Fond Du Lac Public Library</t>
  </si>
  <si>
    <t xml:space="preserve">Fond Du Lac</t>
  </si>
  <si>
    <t xml:space="preserve">(920) 929-7080</t>
  </si>
  <si>
    <t xml:space="preserve">WI0103</t>
  </si>
  <si>
    <t xml:space="preserve">Frances L. Simek Memorial Library Medford</t>
  </si>
  <si>
    <t xml:space="preserve">(715) 748-2505</t>
  </si>
  <si>
    <t xml:space="preserve">WI0188</t>
  </si>
  <si>
    <t xml:space="preserve">Frank L. Weyenberg Library</t>
  </si>
  <si>
    <t xml:space="preserve">Mequon</t>
  </si>
  <si>
    <t xml:space="preserve">(262) 242-2593</t>
  </si>
  <si>
    <t xml:space="preserve">WI0193</t>
  </si>
  <si>
    <t xml:space="preserve">(414) 425-8214</t>
  </si>
  <si>
    <t xml:space="preserve">WI0107</t>
  </si>
  <si>
    <t xml:space="preserve">(262) 253-7760</t>
  </si>
  <si>
    <t xml:space="preserve">WI0113</t>
  </si>
  <si>
    <t xml:space="preserve">Graham Public Library</t>
  </si>
  <si>
    <t xml:space="preserve">Union Grove</t>
  </si>
  <si>
    <t xml:space="preserve">(262) 878-2910</t>
  </si>
  <si>
    <t xml:space="preserve">WI0326</t>
  </si>
  <si>
    <t xml:space="preserve">Greendale Public Library</t>
  </si>
  <si>
    <t xml:space="preserve">Greendale</t>
  </si>
  <si>
    <t xml:space="preserve">(414) 423-2136</t>
  </si>
  <si>
    <t xml:space="preserve">WI0123</t>
  </si>
  <si>
    <t xml:space="preserve">(414) 321-9595</t>
  </si>
  <si>
    <t xml:space="preserve">WI0124</t>
  </si>
  <si>
    <t xml:space="preserve">Hartland Public Library</t>
  </si>
  <si>
    <t xml:space="preserve">(262) 367-3350</t>
  </si>
  <si>
    <t xml:space="preserve">WI0130</t>
  </si>
  <si>
    <t xml:space="preserve">Hatch Public Library</t>
  </si>
  <si>
    <t xml:space="preserve">Mauston</t>
  </si>
  <si>
    <t xml:space="preserve">Juneau</t>
  </si>
  <si>
    <t xml:space="preserve">(608) 847-4454</t>
  </si>
  <si>
    <t xml:space="preserve">WI0185</t>
  </si>
  <si>
    <t xml:space="preserve">Hedberg Public Library</t>
  </si>
  <si>
    <t xml:space="preserve">Janesville</t>
  </si>
  <si>
    <t xml:space="preserve">(608) 758-6600</t>
  </si>
  <si>
    <t xml:space="preserve">WI0142</t>
  </si>
  <si>
    <t xml:space="preserve">Hortonville Public Library</t>
  </si>
  <si>
    <t xml:space="preserve">Hortonville</t>
  </si>
  <si>
    <t xml:space="preserve">(920) 779-4279</t>
  </si>
  <si>
    <t xml:space="preserve">WI0136</t>
  </si>
  <si>
    <t xml:space="preserve">Hudson Area Joint Library</t>
  </si>
  <si>
    <t xml:space="preserve">(715) 386-3101</t>
  </si>
  <si>
    <t xml:space="preserve">WI0137</t>
  </si>
  <si>
    <t xml:space="preserve">Irvin L. Young Memorial Library</t>
  </si>
  <si>
    <t xml:space="preserve">Whitewater</t>
  </si>
  <si>
    <t xml:space="preserve">(262) 473-0530</t>
  </si>
  <si>
    <t xml:space="preserve">WI0352</t>
  </si>
  <si>
    <t xml:space="preserve">Jack Russell Memorial Library</t>
  </si>
  <si>
    <t xml:space="preserve">(262) 673-8240</t>
  </si>
  <si>
    <t xml:space="preserve">WI0129</t>
  </si>
  <si>
    <t xml:space="preserve">Jefferson Public Library</t>
  </si>
  <si>
    <t xml:space="preserve">(920) 674-7733</t>
  </si>
  <si>
    <t xml:space="preserve">WI0143</t>
  </si>
  <si>
    <t xml:space="preserve">Kaukauna Public Library</t>
  </si>
  <si>
    <t xml:space="preserve">Kaukauna</t>
  </si>
  <si>
    <t xml:space="preserve">(920) 766-6340</t>
  </si>
  <si>
    <t xml:space="preserve">WI0146</t>
  </si>
  <si>
    <t xml:space="preserve">Kenosha Public Library</t>
  </si>
  <si>
    <t xml:space="preserve">(262) 564-6100</t>
  </si>
  <si>
    <t xml:space="preserve">WI0148</t>
  </si>
  <si>
    <t xml:space="preserve">Kewaunee Public Library</t>
  </si>
  <si>
    <t xml:space="preserve">Kewaunee</t>
  </si>
  <si>
    <t xml:space="preserve">(920) 388-5015</t>
  </si>
  <si>
    <t xml:space="preserve">WI0151</t>
  </si>
  <si>
    <t xml:space="preserve">Kiel Public Library</t>
  </si>
  <si>
    <t xml:space="preserve">Kiel</t>
  </si>
  <si>
    <t xml:space="preserve">Manitowoc</t>
  </si>
  <si>
    <t xml:space="preserve">(920) 894-7122</t>
  </si>
  <si>
    <t xml:space="preserve">WI0152</t>
  </si>
  <si>
    <t xml:space="preserve">Kimberly Public Library</t>
  </si>
  <si>
    <t xml:space="preserve">Kimberly</t>
  </si>
  <si>
    <t xml:space="preserve">(920) 788-7515</t>
  </si>
  <si>
    <t xml:space="preserve">WI0153</t>
  </si>
  <si>
    <t xml:space="preserve">L.D. Fargo Public Library</t>
  </si>
  <si>
    <t xml:space="preserve">Lake Mills</t>
  </si>
  <si>
    <t xml:space="preserve">(920) 648-2166</t>
  </si>
  <si>
    <t xml:space="preserve">WI0163</t>
  </si>
  <si>
    <t xml:space="preserve">L.E. Phillips Memorial Public Library</t>
  </si>
  <si>
    <t xml:space="preserve">(715) 839-5001</t>
  </si>
  <si>
    <t xml:space="preserve">WI0090</t>
  </si>
  <si>
    <t xml:space="preserve">La Crosse County Library</t>
  </si>
  <si>
    <t xml:space="preserve">Holmen</t>
  </si>
  <si>
    <t xml:space="preserve">La Crosse</t>
  </si>
  <si>
    <t xml:space="preserve">(608) 526-9600</t>
  </si>
  <si>
    <t xml:space="preserve">WI0390</t>
  </si>
  <si>
    <t xml:space="preserve">La Crosse Public Library</t>
  </si>
  <si>
    <t xml:space="preserve">(608) 789-7100</t>
  </si>
  <si>
    <t xml:space="preserve">WI0159</t>
  </si>
  <si>
    <t xml:space="preserve">Lake Geneva Public Library</t>
  </si>
  <si>
    <t xml:space="preserve">Lake Geneva</t>
  </si>
  <si>
    <t xml:space="preserve">(262) 249-5299</t>
  </si>
  <si>
    <t xml:space="preserve">WI0162</t>
  </si>
  <si>
    <t xml:space="preserve">Lester Public Library</t>
  </si>
  <si>
    <t xml:space="preserve">Two Rivers</t>
  </si>
  <si>
    <t xml:space="preserve">(920) 793-8888</t>
  </si>
  <si>
    <t xml:space="preserve">WI0325</t>
  </si>
  <si>
    <t xml:space="preserve">Little Chute Public Library</t>
  </si>
  <si>
    <t xml:space="preserve">Little Chute</t>
  </si>
  <si>
    <t xml:space="preserve">(920) 788-7825</t>
  </si>
  <si>
    <t xml:space="preserve">WI9026</t>
  </si>
  <si>
    <t xml:space="preserve">(608) 266-6363</t>
  </si>
  <si>
    <t xml:space="preserve">WI0176</t>
  </si>
  <si>
    <t xml:space="preserve">Manitowoc Public Library</t>
  </si>
  <si>
    <t xml:space="preserve">(920) 686-3000</t>
  </si>
  <si>
    <t xml:space="preserve">WI0179</t>
  </si>
  <si>
    <t xml:space="preserve">Marathon County Public Library</t>
  </si>
  <si>
    <t xml:space="preserve">Wausau</t>
  </si>
  <si>
    <t xml:space="preserve">Marathon</t>
  </si>
  <si>
    <t xml:space="preserve">(715) 261-7200</t>
  </si>
  <si>
    <t xml:space="preserve">WI0341</t>
  </si>
  <si>
    <t xml:space="preserve">Marinette County Consolidated Public Library Service</t>
  </si>
  <si>
    <t xml:space="preserve">Marinette</t>
  </si>
  <si>
    <t xml:space="preserve">(715) 732-7570</t>
  </si>
  <si>
    <t xml:space="preserve">WI0394</t>
  </si>
  <si>
    <t xml:space="preserve">Matheson Memorial Library</t>
  </si>
  <si>
    <t xml:space="preserve">Elkhorn</t>
  </si>
  <si>
    <t xml:space="preserve">(262) 723-2678</t>
  </si>
  <si>
    <t xml:space="preserve">WI0093</t>
  </si>
  <si>
    <t xml:space="preserve">Mcintosh Memorial Library</t>
  </si>
  <si>
    <t xml:space="preserve">Viroqua</t>
  </si>
  <si>
    <t xml:space="preserve">(608) 637-7151</t>
  </si>
  <si>
    <t xml:space="preserve">WI0330</t>
  </si>
  <si>
    <t xml:space="preserve">Mcmillan Memorial Library</t>
  </si>
  <si>
    <t xml:space="preserve">Wisconsin Rapids</t>
  </si>
  <si>
    <t xml:space="preserve">(715) 422-5136</t>
  </si>
  <si>
    <t xml:space="preserve">WI0360</t>
  </si>
  <si>
    <t xml:space="preserve">Mead Public Library</t>
  </si>
  <si>
    <t xml:space="preserve">Sheboygan</t>
  </si>
  <si>
    <t xml:space="preserve">(920) 459-3400</t>
  </si>
  <si>
    <t xml:space="preserve">WI0292</t>
  </si>
  <si>
    <t xml:space="preserve">Menomonee Falls Public Library</t>
  </si>
  <si>
    <t xml:space="preserve">Menomonee Falls</t>
  </si>
  <si>
    <t xml:space="preserve">(262) 532-8900</t>
  </si>
  <si>
    <t xml:space="preserve">WI0191</t>
  </si>
  <si>
    <t xml:space="preserve">Menomonie Public Library</t>
  </si>
  <si>
    <t xml:space="preserve">Menomonie</t>
  </si>
  <si>
    <t xml:space="preserve">Dunn</t>
  </si>
  <si>
    <t xml:space="preserve">(715) 232-2164</t>
  </si>
  <si>
    <t xml:space="preserve">WI0192</t>
  </si>
  <si>
    <t xml:space="preserve">Middleton Public Library</t>
  </si>
  <si>
    <t xml:space="preserve">(608) 831-5564</t>
  </si>
  <si>
    <t xml:space="preserve">WI0196</t>
  </si>
  <si>
    <t xml:space="preserve">(608) 868-7462</t>
  </si>
  <si>
    <t xml:space="preserve">WI0198</t>
  </si>
  <si>
    <t xml:space="preserve">Milwaukee Public Library</t>
  </si>
  <si>
    <t xml:space="preserve">(414) 286-3000</t>
  </si>
  <si>
    <t xml:space="preserve">WI0199</t>
  </si>
  <si>
    <t xml:space="preserve">Minocqua Public Library</t>
  </si>
  <si>
    <t xml:space="preserve">Minocqua</t>
  </si>
  <si>
    <t xml:space="preserve">(715) 356-4437</t>
  </si>
  <si>
    <t xml:space="preserve">WI0201</t>
  </si>
  <si>
    <t xml:space="preserve">Monona Public Library</t>
  </si>
  <si>
    <t xml:space="preserve">Monona</t>
  </si>
  <si>
    <t xml:space="preserve">(608) 222-6127</t>
  </si>
  <si>
    <t xml:space="preserve">WI0203</t>
  </si>
  <si>
    <t xml:space="preserve">Monroe Public Library</t>
  </si>
  <si>
    <t xml:space="preserve">(608) 328-7010</t>
  </si>
  <si>
    <t xml:space="preserve">WI0204</t>
  </si>
  <si>
    <t xml:space="preserve">Mount Horeb Public Library</t>
  </si>
  <si>
    <t xml:space="preserve">Mount Horeb</t>
  </si>
  <si>
    <t xml:space="preserve">(608) 437-5021</t>
  </si>
  <si>
    <t xml:space="preserve">WI0209</t>
  </si>
  <si>
    <t xml:space="preserve">Mukwonago Community Library</t>
  </si>
  <si>
    <t xml:space="preserve">Mukwonago</t>
  </si>
  <si>
    <t xml:space="preserve">(262) 363-6411</t>
  </si>
  <si>
    <t xml:space="preserve">WI0396</t>
  </si>
  <si>
    <t xml:space="preserve">Muskego Public Library</t>
  </si>
  <si>
    <t xml:space="preserve">Muskego</t>
  </si>
  <si>
    <t xml:space="preserve">(262) 971-2119</t>
  </si>
  <si>
    <t xml:space="preserve">WI0212</t>
  </si>
  <si>
    <t xml:space="preserve">Neenah Public Library</t>
  </si>
  <si>
    <t xml:space="preserve">Neenah</t>
  </si>
  <si>
    <t xml:space="preserve">(920) 886-6315</t>
  </si>
  <si>
    <t xml:space="preserve">WI0214</t>
  </si>
  <si>
    <t xml:space="preserve">New Berlin Public Library</t>
  </si>
  <si>
    <t xml:space="preserve">New Berlin</t>
  </si>
  <si>
    <t xml:space="preserve">(262) 785-4980</t>
  </si>
  <si>
    <t xml:space="preserve">WI0218</t>
  </si>
  <si>
    <t xml:space="preserve">New London Public Library</t>
  </si>
  <si>
    <t xml:space="preserve">Waupaca</t>
  </si>
  <si>
    <t xml:space="preserve">(920) 982-8519</t>
  </si>
  <si>
    <t xml:space="preserve">WI0222</t>
  </si>
  <si>
    <t xml:space="preserve">North Shore Library</t>
  </si>
  <si>
    <t xml:space="preserve">(414) 351-3461</t>
  </si>
  <si>
    <t xml:space="preserve">WI0116</t>
  </si>
  <si>
    <t xml:space="preserve">Oak Creek Public Library</t>
  </si>
  <si>
    <t xml:space="preserve">Oak Creek</t>
  </si>
  <si>
    <t xml:space="preserve">(414) 766-7900</t>
  </si>
  <si>
    <t xml:space="preserve">WI0227</t>
  </si>
  <si>
    <t xml:space="preserve">Oconomowoc Public Library</t>
  </si>
  <si>
    <t xml:space="preserve">Oconomowoc</t>
  </si>
  <si>
    <t xml:space="preserve">(262) 569-2193</t>
  </si>
  <si>
    <t xml:space="preserve">WI0229</t>
  </si>
  <si>
    <t xml:space="preserve">Oregon Public Library</t>
  </si>
  <si>
    <t xml:space="preserve">Oregon</t>
  </si>
  <si>
    <t xml:space="preserve">(608) 835-3656</t>
  </si>
  <si>
    <t xml:space="preserve">WI0236</t>
  </si>
  <si>
    <t xml:space="preserve">Oshkosh Public Library</t>
  </si>
  <si>
    <t xml:space="preserve">Oshkosh</t>
  </si>
  <si>
    <t xml:space="preserve">(920) 236-5210</t>
  </si>
  <si>
    <t xml:space="preserve">WI0239</t>
  </si>
  <si>
    <t xml:space="preserve">Pauline Haass Public Library</t>
  </si>
  <si>
    <t xml:space="preserve">(262) 246-5180</t>
  </si>
  <si>
    <t xml:space="preserve">WI0408</t>
  </si>
  <si>
    <t xml:space="preserve">Pewaukee Public Library</t>
  </si>
  <si>
    <t xml:space="preserve">Pewaukee</t>
  </si>
  <si>
    <t xml:space="preserve">(262) 691-5670</t>
  </si>
  <si>
    <t xml:space="preserve">WI0421</t>
  </si>
  <si>
    <t xml:space="preserve">Platteville Public Library</t>
  </si>
  <si>
    <t xml:space="preserve">Platteville</t>
  </si>
  <si>
    <t xml:space="preserve">(608) 348-7441</t>
  </si>
  <si>
    <t xml:space="preserve">WI0255</t>
  </si>
  <si>
    <t xml:space="preserve">(920) 892-4416</t>
  </si>
  <si>
    <t xml:space="preserve">WI0257</t>
  </si>
  <si>
    <t xml:space="preserve">Portage County Public Library</t>
  </si>
  <si>
    <t xml:space="preserve">Stevens Point</t>
  </si>
  <si>
    <t xml:space="preserve">(715) 346-1544</t>
  </si>
  <si>
    <t xml:space="preserve">WI0309</t>
  </si>
  <si>
    <t xml:space="preserve">Portage Public Library</t>
  </si>
  <si>
    <t xml:space="preserve">(608) 742-4959</t>
  </si>
  <si>
    <t xml:space="preserve">WI0259</t>
  </si>
  <si>
    <t xml:space="preserve">Prairie Du Chien Memorial Library</t>
  </si>
  <si>
    <t xml:space="preserve">Prairie Du Chien</t>
  </si>
  <si>
    <t xml:space="preserve">(608) 326-6211</t>
  </si>
  <si>
    <t xml:space="preserve">WI0262</t>
  </si>
  <si>
    <t xml:space="preserve">Racine Public Library</t>
  </si>
  <si>
    <t xml:space="preserve">(262) 636-9217</t>
  </si>
  <si>
    <t xml:space="preserve">WI0268</t>
  </si>
  <si>
    <t xml:space="preserve">Reedsburg Public Library</t>
  </si>
  <si>
    <t xml:space="preserve">Reedsburg</t>
  </si>
  <si>
    <t xml:space="preserve">(608) 768-7323</t>
  </si>
  <si>
    <t xml:space="preserve">WI0272</t>
  </si>
  <si>
    <t xml:space="preserve">Rhinelander District Library</t>
  </si>
  <si>
    <t xml:space="preserve">Rhinelander</t>
  </si>
  <si>
    <t xml:space="preserve">(715) 365-1070</t>
  </si>
  <si>
    <t xml:space="preserve">WI0273</t>
  </si>
  <si>
    <t xml:space="preserve">Rice Lake Public Library</t>
  </si>
  <si>
    <t xml:space="preserve">Rice Lake</t>
  </si>
  <si>
    <t xml:space="preserve">Barron</t>
  </si>
  <si>
    <t xml:space="preserve">(715) 234-4861</t>
  </si>
  <si>
    <t xml:space="preserve">WI0275</t>
  </si>
  <si>
    <t xml:space="preserve">Ripon Public Library</t>
  </si>
  <si>
    <t xml:space="preserve">Ripon</t>
  </si>
  <si>
    <t xml:space="preserve">(920) 748-6160</t>
  </si>
  <si>
    <t xml:space="preserve">WI0278</t>
  </si>
  <si>
    <t xml:space="preserve">River Falls Public Library</t>
  </si>
  <si>
    <t xml:space="preserve">River Falls</t>
  </si>
  <si>
    <t xml:space="preserve">(715) 425-0905</t>
  </si>
  <si>
    <t xml:space="preserve">WI0279</t>
  </si>
  <si>
    <t xml:space="preserve">Rusk County Community Library</t>
  </si>
  <si>
    <t xml:space="preserve">Ladysmith</t>
  </si>
  <si>
    <t xml:space="preserve">(715) 532-2604</t>
  </si>
  <si>
    <t xml:space="preserve">WI0160</t>
  </si>
  <si>
    <t xml:space="preserve">Shawano County Library</t>
  </si>
  <si>
    <t xml:space="preserve">Shawano</t>
  </si>
  <si>
    <t xml:space="preserve">(715) 526-3829</t>
  </si>
  <si>
    <t xml:space="preserve">WI0291</t>
  </si>
  <si>
    <t xml:space="preserve">Sheboygan Falls Memorial Library</t>
  </si>
  <si>
    <t xml:space="preserve">Sheboygan Falls</t>
  </si>
  <si>
    <t xml:space="preserve">(920) 467-7908</t>
  </si>
  <si>
    <t xml:space="preserve">WI0293</t>
  </si>
  <si>
    <t xml:space="preserve">Sherman &amp; Ruth Weiss Community Library</t>
  </si>
  <si>
    <t xml:space="preserve">Sawyer</t>
  </si>
  <si>
    <t xml:space="preserve">(715) 634-2161</t>
  </si>
  <si>
    <t xml:space="preserve">WI0132</t>
  </si>
  <si>
    <t xml:space="preserve">Shorewood Public Library</t>
  </si>
  <si>
    <t xml:space="preserve">(414) 847-2670</t>
  </si>
  <si>
    <t xml:space="preserve">WI0296</t>
  </si>
  <si>
    <t xml:space="preserve">Slinger Community Library</t>
  </si>
  <si>
    <t xml:space="preserve">Slinger</t>
  </si>
  <si>
    <t xml:space="preserve">(262) 644-6171</t>
  </si>
  <si>
    <t xml:space="preserve">WI0298</t>
  </si>
  <si>
    <t xml:space="preserve">South Milwaukee Public Library</t>
  </si>
  <si>
    <t xml:space="preserve">South Milwaukee</t>
  </si>
  <si>
    <t xml:space="preserve">(414) 768-8195</t>
  </si>
  <si>
    <t xml:space="preserve">WI0301</t>
  </si>
  <si>
    <t xml:space="preserve">Sparta Free Library</t>
  </si>
  <si>
    <t xml:space="preserve">(608) 269-2010</t>
  </si>
  <si>
    <t xml:space="preserve">WI0302</t>
  </si>
  <si>
    <t xml:space="preserve">Spooner Memorial Library</t>
  </si>
  <si>
    <t xml:space="preserve">Spooner</t>
  </si>
  <si>
    <t xml:space="preserve">Washburn</t>
  </si>
  <si>
    <t xml:space="preserve">(715) 635-2792</t>
  </si>
  <si>
    <t xml:space="preserve">WI0303</t>
  </si>
  <si>
    <t xml:space="preserve">(608) 873-6281</t>
  </si>
  <si>
    <t xml:space="preserve">WI0310</t>
  </si>
  <si>
    <t xml:space="preserve">Sun Prairie Public Library</t>
  </si>
  <si>
    <t xml:space="preserve">Sun Prairie</t>
  </si>
  <si>
    <t xml:space="preserve">(608) 825-7323</t>
  </si>
  <si>
    <t xml:space="preserve">WI0314</t>
  </si>
  <si>
    <t xml:space="preserve">Superior Public Library</t>
  </si>
  <si>
    <t xml:space="preserve">Superior</t>
  </si>
  <si>
    <t xml:space="preserve">(715) 394-8860</t>
  </si>
  <si>
    <t xml:space="preserve">WI0315</t>
  </si>
  <si>
    <t xml:space="preserve">T.B. Scott Free Library</t>
  </si>
  <si>
    <t xml:space="preserve">Merrill</t>
  </si>
  <si>
    <t xml:space="preserve">(715) 536-7191</t>
  </si>
  <si>
    <t xml:space="preserve">WI0395</t>
  </si>
  <si>
    <t xml:space="preserve">Tomah Public Library</t>
  </si>
  <si>
    <t xml:space="preserve">Tomah</t>
  </si>
  <si>
    <t xml:space="preserve">(608) 374-7470</t>
  </si>
  <si>
    <t xml:space="preserve">WI0321</t>
  </si>
  <si>
    <t xml:space="preserve">U.S.S. Liberty Memorial Public Library</t>
  </si>
  <si>
    <t xml:space="preserve">(262) 375-5315</t>
  </si>
  <si>
    <t xml:space="preserve">WI0385</t>
  </si>
  <si>
    <t xml:space="preserve">Vaughn Public Library</t>
  </si>
  <si>
    <t xml:space="preserve">(715) 682-7060</t>
  </si>
  <si>
    <t xml:space="preserve">WI0014</t>
  </si>
  <si>
    <t xml:space="preserve">Verona Public Library</t>
  </si>
  <si>
    <t xml:space="preserve">(608) 845-7180</t>
  </si>
  <si>
    <t xml:space="preserve">WI0327</t>
  </si>
  <si>
    <t xml:space="preserve">W.J. Niederkorn Library</t>
  </si>
  <si>
    <t xml:space="preserve">(262) 284-5031</t>
  </si>
  <si>
    <t xml:space="preserve">WI0258</t>
  </si>
  <si>
    <t xml:space="preserve">Walter E. Olson Memorial Library</t>
  </si>
  <si>
    <t xml:space="preserve">Eagle River</t>
  </si>
  <si>
    <t xml:space="preserve">Vilas</t>
  </si>
  <si>
    <t xml:space="preserve">(715) 479-8070</t>
  </si>
  <si>
    <t xml:space="preserve">WI0088</t>
  </si>
  <si>
    <t xml:space="preserve">(262) 534-3988</t>
  </si>
  <si>
    <t xml:space="preserve">WI0334</t>
  </si>
  <si>
    <t xml:space="preserve">Watertown Public Library</t>
  </si>
  <si>
    <t xml:space="preserve">(920) 262-4090</t>
  </si>
  <si>
    <t xml:space="preserve">WI0336</t>
  </si>
  <si>
    <t xml:space="preserve">Waukesha Public Library</t>
  </si>
  <si>
    <t xml:space="preserve">(262) 524-3680</t>
  </si>
  <si>
    <t xml:space="preserve">WI0337</t>
  </si>
  <si>
    <t xml:space="preserve">Waunakee Public Library</t>
  </si>
  <si>
    <t xml:space="preserve">Waunakee</t>
  </si>
  <si>
    <t xml:space="preserve">(608) 849-4217</t>
  </si>
  <si>
    <t xml:space="preserve">WI0338</t>
  </si>
  <si>
    <t xml:space="preserve">Waupaca Area Public Library</t>
  </si>
  <si>
    <t xml:space="preserve">(715) 258-4414</t>
  </si>
  <si>
    <t xml:space="preserve">WI0339</t>
  </si>
  <si>
    <t xml:space="preserve">Waupun Public Library</t>
  </si>
  <si>
    <t xml:space="preserve">Waupun</t>
  </si>
  <si>
    <t xml:space="preserve">(920) 324-7925</t>
  </si>
  <si>
    <t xml:space="preserve">WI0340</t>
  </si>
  <si>
    <t xml:space="preserve">Wauwatosa Public Library</t>
  </si>
  <si>
    <t xml:space="preserve">Wauwatosa</t>
  </si>
  <si>
    <t xml:space="preserve">(414) 471-8484</t>
  </si>
  <si>
    <t xml:space="preserve">WI0343</t>
  </si>
  <si>
    <t xml:space="preserve">West Allis Public Library</t>
  </si>
  <si>
    <t xml:space="preserve">West Allis</t>
  </si>
  <si>
    <t xml:space="preserve">(414) 302-8501</t>
  </si>
  <si>
    <t xml:space="preserve">WI0344</t>
  </si>
  <si>
    <t xml:space="preserve">West Bend Community Memorial Library</t>
  </si>
  <si>
    <t xml:space="preserve">West Bend</t>
  </si>
  <si>
    <t xml:space="preserve">(262) 335-5151</t>
  </si>
  <si>
    <t xml:space="preserve">WI0345</t>
  </si>
  <si>
    <t xml:space="preserve">Whitefish Bay Public Library</t>
  </si>
  <si>
    <t xml:space="preserve">Whitefish Bay</t>
  </si>
  <si>
    <t xml:space="preserve">(414) 964-4380</t>
  </si>
  <si>
    <t xml:space="preserve">WI0350</t>
  </si>
  <si>
    <t xml:space="preserve">WV</t>
  </si>
  <si>
    <t xml:space="preserve">Bolivar-Harpers Ferry Public Library</t>
  </si>
  <si>
    <t xml:space="preserve">Harpers Ferry</t>
  </si>
  <si>
    <t xml:space="preserve">(304) 535-2301</t>
  </si>
  <si>
    <t xml:space="preserve">WV0054</t>
  </si>
  <si>
    <t xml:space="preserve">Boone-Madison Public Library</t>
  </si>
  <si>
    <t xml:space="preserve">(304) 369-7842</t>
  </si>
  <si>
    <t xml:space="preserve">WV0077</t>
  </si>
  <si>
    <t xml:space="preserve">Brooke County Public Library</t>
  </si>
  <si>
    <t xml:space="preserve">Wellsburg</t>
  </si>
  <si>
    <t xml:space="preserve">Brooke</t>
  </si>
  <si>
    <t xml:space="preserve">(304) 737-1551</t>
  </si>
  <si>
    <t xml:space="preserve">WV0080</t>
  </si>
  <si>
    <t xml:space="preserve">Buffalo Creek Memorial Library</t>
  </si>
  <si>
    <t xml:space="preserve">Man</t>
  </si>
  <si>
    <t xml:space="preserve">(304) 583-7887</t>
  </si>
  <si>
    <t xml:space="preserve">WV0090</t>
  </si>
  <si>
    <t xml:space="preserve">Cabell County Public Library</t>
  </si>
  <si>
    <t xml:space="preserve">Cabell</t>
  </si>
  <si>
    <t xml:space="preserve">(304) 528-5700</t>
  </si>
  <si>
    <t xml:space="preserve">WV0004</t>
  </si>
  <si>
    <t xml:space="preserve">Chapmanville Public Library</t>
  </si>
  <si>
    <t xml:space="preserve">Chapmanville</t>
  </si>
  <si>
    <t xml:space="preserve">(304) 855-3405</t>
  </si>
  <si>
    <t xml:space="preserve">WV0089</t>
  </si>
  <si>
    <t xml:space="preserve">Clarksburg-Harrison Public Library</t>
  </si>
  <si>
    <t xml:space="preserve">Clarksburg</t>
  </si>
  <si>
    <t xml:space="preserve">(304) 627-2236</t>
  </si>
  <si>
    <t xml:space="preserve">WV0040</t>
  </si>
  <si>
    <t xml:space="preserve">Craft Memorial Library</t>
  </si>
  <si>
    <t xml:space="preserve">Bluefield</t>
  </si>
  <si>
    <t xml:space="preserve">(304) 325-3943</t>
  </si>
  <si>
    <t xml:space="preserve">WV0002</t>
  </si>
  <si>
    <t xml:space="preserve">Elkins-Randolph Public Library</t>
  </si>
  <si>
    <t xml:space="preserve">Elkins</t>
  </si>
  <si>
    <t xml:space="preserve">(304) 637-0287</t>
  </si>
  <si>
    <t xml:space="preserve">WV0030</t>
  </si>
  <si>
    <t xml:space="preserve">Oak Hill</t>
  </si>
  <si>
    <t xml:space="preserve">(304) 465-0121</t>
  </si>
  <si>
    <t xml:space="preserve">WV0078</t>
  </si>
  <si>
    <t xml:space="preserve">Grant County Public Library</t>
  </si>
  <si>
    <t xml:space="preserve">(304) 257-4122</t>
  </si>
  <si>
    <t xml:space="preserve">WV0048</t>
  </si>
  <si>
    <t xml:space="preserve">Hamlin-Lincoln County Public Library</t>
  </si>
  <si>
    <t xml:space="preserve">Hamlin</t>
  </si>
  <si>
    <t xml:space="preserve">(304) 824-5481</t>
  </si>
  <si>
    <t xml:space="preserve">WV0088</t>
  </si>
  <si>
    <t xml:space="preserve">Hampshire County Public Library</t>
  </si>
  <si>
    <t xml:space="preserve">Romney</t>
  </si>
  <si>
    <t xml:space="preserve">(304) 822-3185</t>
  </si>
  <si>
    <t xml:space="preserve">WV0050</t>
  </si>
  <si>
    <t xml:space="preserve">Hardy County Public Library</t>
  </si>
  <si>
    <t xml:space="preserve">Moorefield</t>
  </si>
  <si>
    <t xml:space="preserve">Hardy</t>
  </si>
  <si>
    <t xml:space="preserve">(304) 538-6560</t>
  </si>
  <si>
    <t xml:space="preserve">WV0051</t>
  </si>
  <si>
    <t xml:space="preserve">(304) 372-5343</t>
  </si>
  <si>
    <t xml:space="preserve">WV0074</t>
  </si>
  <si>
    <t xml:space="preserve">Kanawha County Public Library</t>
  </si>
  <si>
    <t xml:space="preserve">Kanawha</t>
  </si>
  <si>
    <t xml:space="preserve">(304) 343-4646</t>
  </si>
  <si>
    <t xml:space="preserve">WV0009</t>
  </si>
  <si>
    <t xml:space="preserve">Keyser-Mineral County Public Library</t>
  </si>
  <si>
    <t xml:space="preserve">Keyser</t>
  </si>
  <si>
    <t xml:space="preserve">Mineral</t>
  </si>
  <si>
    <t xml:space="preserve">(304) 788-3222</t>
  </si>
  <si>
    <t xml:space="preserve">WV0046</t>
  </si>
  <si>
    <t xml:space="preserve">Kingwood Public Library</t>
  </si>
  <si>
    <t xml:space="preserve">Kingwood</t>
  </si>
  <si>
    <t xml:space="preserve">(304) 329-1499</t>
  </si>
  <si>
    <t xml:space="preserve">WV0024</t>
  </si>
  <si>
    <t xml:space="preserve">Logan Area Public Library</t>
  </si>
  <si>
    <t xml:space="preserve">(304) 752-6652</t>
  </si>
  <si>
    <t xml:space="preserve">WV8006</t>
  </si>
  <si>
    <t xml:space="preserve">Louis Bennett Public Library</t>
  </si>
  <si>
    <t xml:space="preserve">(304) 269-5151</t>
  </si>
  <si>
    <t xml:space="preserve">WV0076</t>
  </si>
  <si>
    <t xml:space="preserve">(304) 366-1210</t>
  </si>
  <si>
    <t xml:space="preserve">WV0075</t>
  </si>
  <si>
    <t xml:space="preserve">Martinsburg-Berkeley Co. Public Library</t>
  </si>
  <si>
    <t xml:space="preserve">Martinsburg</t>
  </si>
  <si>
    <t xml:space="preserve">(304) 267-8933</t>
  </si>
  <si>
    <t xml:space="preserve">WV0053</t>
  </si>
  <si>
    <t xml:space="preserve">Mary H. Weir Public Library</t>
  </si>
  <si>
    <t xml:space="preserve">Weirton</t>
  </si>
  <si>
    <t xml:space="preserve">(304) 797-8510</t>
  </si>
  <si>
    <t xml:space="preserve">WV0068</t>
  </si>
  <si>
    <t xml:space="preserve">Point Pleasant</t>
  </si>
  <si>
    <t xml:space="preserve">(304) 675-0894</t>
  </si>
  <si>
    <t xml:space="preserve">WV0073</t>
  </si>
  <si>
    <t xml:space="preserve">Mcdowell Public Library</t>
  </si>
  <si>
    <t xml:space="preserve">Welch</t>
  </si>
  <si>
    <t xml:space="preserve">(304) 436-3070</t>
  </si>
  <si>
    <t xml:space="preserve">WV0071</t>
  </si>
  <si>
    <t xml:space="preserve">Mingo County Public Library</t>
  </si>
  <si>
    <t xml:space="preserve">Delbarton</t>
  </si>
  <si>
    <t xml:space="preserve">Mingo</t>
  </si>
  <si>
    <t xml:space="preserve">(304) 475-2749</t>
  </si>
  <si>
    <t xml:space="preserve">WV0005</t>
  </si>
  <si>
    <t xml:space="preserve">Berkeley Springs</t>
  </si>
  <si>
    <t xml:space="preserve">(304) 258-3350</t>
  </si>
  <si>
    <t xml:space="preserve">WV0058</t>
  </si>
  <si>
    <t xml:space="preserve">Morgantown Public Library</t>
  </si>
  <si>
    <t xml:space="preserve">Monongalia</t>
  </si>
  <si>
    <t xml:space="preserve">(304) 291-7425</t>
  </si>
  <si>
    <t xml:space="preserve">WV0023</t>
  </si>
  <si>
    <t xml:space="preserve">Moundsville-Marshall County Public Library</t>
  </si>
  <si>
    <t xml:space="preserve">Moundsville</t>
  </si>
  <si>
    <t xml:space="preserve">(304) 845-6911</t>
  </si>
  <si>
    <t xml:space="preserve">WV0061</t>
  </si>
  <si>
    <t xml:space="preserve">(304) 232-0244</t>
  </si>
  <si>
    <t xml:space="preserve">WV0060</t>
  </si>
  <si>
    <t xml:space="preserve">Parkersburg/Wood Co. Public Library</t>
  </si>
  <si>
    <t xml:space="preserve">Parkersburg</t>
  </si>
  <si>
    <t xml:space="preserve">(304) 420-4587</t>
  </si>
  <si>
    <t xml:space="preserve">WV0020</t>
  </si>
  <si>
    <t xml:space="preserve">(304) 487-5045</t>
  </si>
  <si>
    <t xml:space="preserve">WV0003</t>
  </si>
  <si>
    <t xml:space="preserve">Hurricane</t>
  </si>
  <si>
    <t xml:space="preserve">(304) 757-7308</t>
  </si>
  <si>
    <t xml:space="preserve">WV0007</t>
  </si>
  <si>
    <t xml:space="preserve">Raleigh County Public Library</t>
  </si>
  <si>
    <t xml:space="preserve">Beckley</t>
  </si>
  <si>
    <t xml:space="preserve">(304) 255-0511</t>
  </si>
  <si>
    <t xml:space="preserve">WV0001</t>
  </si>
  <si>
    <t xml:space="preserve">Ritchie County Public Library</t>
  </si>
  <si>
    <t xml:space="preserve">Harrisville</t>
  </si>
  <si>
    <t xml:space="preserve">Ritchie</t>
  </si>
  <si>
    <t xml:space="preserve">(304) 643-2717</t>
  </si>
  <si>
    <t xml:space="preserve">WV0018</t>
  </si>
  <si>
    <t xml:space="preserve">Roane County Public Library</t>
  </si>
  <si>
    <t xml:space="preserve">(304) 927-1130</t>
  </si>
  <si>
    <t xml:space="preserve">WV0014</t>
  </si>
  <si>
    <t xml:space="preserve">Shepherdstown Public Library</t>
  </si>
  <si>
    <t xml:space="preserve">Shepherdstown</t>
  </si>
  <si>
    <t xml:space="preserve">(304) 876-2783</t>
  </si>
  <si>
    <t xml:space="preserve">WV0057</t>
  </si>
  <si>
    <t xml:space="preserve">South Charleston Public Library</t>
  </si>
  <si>
    <t xml:space="preserve">South Charleston</t>
  </si>
  <si>
    <t xml:space="preserve">(304) 744-6561</t>
  </si>
  <si>
    <t xml:space="preserve">WV0012</t>
  </si>
  <si>
    <t xml:space="preserve">South Jefferson Public Library</t>
  </si>
  <si>
    <t xml:space="preserve">Summit Point</t>
  </si>
  <si>
    <t xml:space="preserve">(304) 725-6227</t>
  </si>
  <si>
    <t xml:space="preserve">WV0055</t>
  </si>
  <si>
    <t xml:space="preserve">Summers County Public Library</t>
  </si>
  <si>
    <t xml:space="preserve">Hinton</t>
  </si>
  <si>
    <t xml:space="preserve">Summers</t>
  </si>
  <si>
    <t xml:space="preserve">(304) 466-4490</t>
  </si>
  <si>
    <t xml:space="preserve">WV0097</t>
  </si>
  <si>
    <t xml:space="preserve">(304) 265-6121</t>
  </si>
  <si>
    <t xml:space="preserve">WV0045</t>
  </si>
  <si>
    <t xml:space="preserve">Terra Alta Public Library</t>
  </si>
  <si>
    <t xml:space="preserve">Terra Alta</t>
  </si>
  <si>
    <t xml:space="preserve">(304) 789-2724</t>
  </si>
  <si>
    <t xml:space="preserve">WV0025</t>
  </si>
  <si>
    <t xml:space="preserve">Upshur County Public Library</t>
  </si>
  <si>
    <t xml:space="preserve">Buckhannon</t>
  </si>
  <si>
    <t xml:space="preserve">(304) 473-4219</t>
  </si>
  <si>
    <t xml:space="preserve">WV0026</t>
  </si>
  <si>
    <t xml:space="preserve">Vienna Public Library</t>
  </si>
  <si>
    <t xml:space="preserve">(304) 295-7771</t>
  </si>
  <si>
    <t xml:space="preserve">WV0022</t>
  </si>
  <si>
    <t xml:space="preserve">Kenova</t>
  </si>
  <si>
    <t xml:space="preserve">(304) 453-2462</t>
  </si>
  <si>
    <t xml:space="preserve">WV0008</t>
  </si>
  <si>
    <t xml:space="preserve">Wyoming County Public Library</t>
  </si>
  <si>
    <t xml:space="preserve">(304) 294-6687</t>
  </si>
  <si>
    <t xml:space="preserve">WV0079</t>
  </si>
  <si>
    <t xml:space="preserve">WY</t>
  </si>
  <si>
    <t xml:space="preserve">Albany County Public Library</t>
  </si>
  <si>
    <t xml:space="preserve">Laramie</t>
  </si>
  <si>
    <t xml:space="preserve">(307) 721-2580</t>
  </si>
  <si>
    <t xml:space="preserve">WY0001</t>
  </si>
  <si>
    <t xml:space="preserve">Big Horn County Library</t>
  </si>
  <si>
    <t xml:space="preserve">Basin</t>
  </si>
  <si>
    <t xml:space="preserve">(307) 568-2388</t>
  </si>
  <si>
    <t xml:space="preserve">WY0010</t>
  </si>
  <si>
    <t xml:space="preserve">Campbell County Public Library System</t>
  </si>
  <si>
    <t xml:space="preserve">Gillette</t>
  </si>
  <si>
    <t xml:space="preserve">(307) 687-0009</t>
  </si>
  <si>
    <t xml:space="preserve">WY0002</t>
  </si>
  <si>
    <t xml:space="preserve">Carbon County Library System</t>
  </si>
  <si>
    <t xml:space="preserve">Rawlins</t>
  </si>
  <si>
    <t xml:space="preserve">(307) 328-2618</t>
  </si>
  <si>
    <t xml:space="preserve">WY0011</t>
  </si>
  <si>
    <t xml:space="preserve">Converse County Library System</t>
  </si>
  <si>
    <t xml:space="preserve">(307) 358-3644</t>
  </si>
  <si>
    <t xml:space="preserve">WY0012</t>
  </si>
  <si>
    <t xml:space="preserve">Fremont County Library System</t>
  </si>
  <si>
    <t xml:space="preserve">Lander</t>
  </si>
  <si>
    <t xml:space="preserve">(307) 332-1600</t>
  </si>
  <si>
    <t xml:space="preserve">WY0003</t>
  </si>
  <si>
    <t xml:space="preserve">Goshen County Library</t>
  </si>
  <si>
    <t xml:space="preserve">(307) 532-3411</t>
  </si>
  <si>
    <t xml:space="preserve">WY0014</t>
  </si>
  <si>
    <t xml:space="preserve">Laramie County Library System</t>
  </si>
  <si>
    <t xml:space="preserve">Cheyenne</t>
  </si>
  <si>
    <t xml:space="preserve">(307) 634-3561</t>
  </si>
  <si>
    <t xml:space="preserve">WY0004</t>
  </si>
  <si>
    <t xml:space="preserve">Lincoln County Library System</t>
  </si>
  <si>
    <t xml:space="preserve">Kemmerer</t>
  </si>
  <si>
    <t xml:space="preserve">(307) 877-6961</t>
  </si>
  <si>
    <t xml:space="preserve">WY0017</t>
  </si>
  <si>
    <t xml:space="preserve">Natrona County Library System</t>
  </si>
  <si>
    <t xml:space="preserve">Casper</t>
  </si>
  <si>
    <t xml:space="preserve">Natrona</t>
  </si>
  <si>
    <t xml:space="preserve">(307) 237-4935</t>
  </si>
  <si>
    <t xml:space="preserve">WY0009</t>
  </si>
  <si>
    <t xml:space="preserve">Park County Library System</t>
  </si>
  <si>
    <t xml:space="preserve">Cody</t>
  </si>
  <si>
    <t xml:space="preserve">(307) 527-1880</t>
  </si>
  <si>
    <t xml:space="preserve">WY0005</t>
  </si>
  <si>
    <t xml:space="preserve">Sheridan County Library System</t>
  </si>
  <si>
    <t xml:space="preserve">Sheridan</t>
  </si>
  <si>
    <t xml:space="preserve">(307) 674-8585</t>
  </si>
  <si>
    <t xml:space="preserve">WY0007</t>
  </si>
  <si>
    <t xml:space="preserve">Sweetwater County Library System</t>
  </si>
  <si>
    <t xml:space="preserve">Green River</t>
  </si>
  <si>
    <t xml:space="preserve">(307) 872-3200</t>
  </si>
  <si>
    <t xml:space="preserve">WY0008</t>
  </si>
  <si>
    <t xml:space="preserve">Teton County Library</t>
  </si>
  <si>
    <t xml:space="preserve">(307) 733-2164</t>
  </si>
  <si>
    <t xml:space="preserve">WY0020</t>
  </si>
  <si>
    <t xml:space="preserve">Uinta County Library System</t>
  </si>
  <si>
    <t xml:space="preserve">Uinta</t>
  </si>
  <si>
    <t xml:space="preserve">(307) 783-0480</t>
  </si>
  <si>
    <t xml:space="preserve">WY0021</t>
  </si>
  <si>
    <t xml:space="preserve">Source: IMLS Public Libraries Survey FY2022 public-use data files (PLS_FY22_AE_pud22i.csv and pls_fy22_outlet_pud22i.csv), retrieved via GitHub mirrors of the IMLS release.</t>
  </si>
  <si>
    <t xml:space="preserve">Filter: library systems (administrative entities) with Population of Legal Service Area &gt;= 10,000, meeting the FSCS public library definition, 50 states + DC, excluding temporarily closed systems.</t>
  </si>
  <si>
    <t xml:space="preserve">Row count: 3880 library systems.</t>
  </si>
  <si>
    <t xml:space="preserve">Buildings = count of central + branch outlets in the outlet file (bookmobiles and books-by-mail excluded).</t>
  </si>
  <si>
    <t xml:space="preserve">The IMLS public-use file does not include a website field. The 'Find Website' column is a Google search link for each system.</t>
  </si>
  <si>
    <t xml:space="preserve">Libby / OverDrive URL: 294 systems matched by exact name (with state and country sanity checks) against a community-maintained list of OverDrive library IDs (github.com/redspacecat/library-list, 1,528 entries). Blank does NOT mean the library lacks Libby; that list is incomplete and ambiguous matches were left blank.</t>
  </si>
  <si>
    <t xml:space="preserve">Website column is intentionally blank: no offline data source for library websites was available, and guessed URLs were not written to avoid filling the sheet with wrong addresses. Use the 'Find Website' link per row, or run a lookup script to populate it.</t>
  </si>
</sst>
</file>

<file path=xl/styles.xml><?xml version="1.0" encoding="utf-8"?>
<styleSheet xmlns="http://schemas.openxmlformats.org/spreadsheetml/2006/main">
  <numFmts count="2">
    <numFmt numFmtId="164" formatCode="General"/>
    <numFmt numFmtId="165" formatCode="#,##0"/>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name val="Arial"/>
      <family val="0"/>
      <charset val="1"/>
    </font>
    <font>
      <u val="single"/>
      <sz val="11"/>
      <color rgb="FF0563C1"/>
      <name val="Arial"/>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8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2"/>
    <col collapsed="false" customWidth="true" hidden="false" outlineLevel="0" max="4" min="3" style="1" width="20"/>
    <col collapsed="false" customWidth="true" hidden="false" outlineLevel="0" max="5" min="5" style="1" width="16"/>
    <col collapsed="false" customWidth="true" hidden="false" outlineLevel="0" max="6" min="6" style="1" width="14"/>
    <col collapsed="false" customWidth="true" hidden="false" outlineLevel="0" max="7" min="7" style="1" width="16"/>
    <col collapsed="false" customWidth="true" hidden="false" outlineLevel="0" max="9" min="8" style="1" width="11"/>
    <col collapsed="false" customWidth="true" hidden="false" outlineLevel="0" max="10" min="10" style="1" width="10"/>
    <col collapsed="false" customWidth="true" hidden="false" outlineLevel="0" max="11" min="11" style="1" width="13"/>
    <col collapsed="false" customWidth="true" hidden="false" outlineLevel="0" max="12" min="12" style="0" width="34"/>
    <col collapsed="false" customWidth="true" hidden="false" outlineLevel="0" max="13" min="13" style="0" width="42"/>
  </cols>
  <sheetData>
    <row r="1" customFormat="false" ht="15" hidden="false" customHeight="true" outlineLevel="0" collapsed="false">
      <c r="A1" s="2" t="s">
        <v>0</v>
      </c>
      <c r="B1" s="2" t="s">
        <v>1</v>
      </c>
      <c r="C1" s="2" t="s">
        <v>2</v>
      </c>
      <c r="D1" s="2" t="s">
        <v>3</v>
      </c>
      <c r="E1" s="2" t="s">
        <v>4</v>
      </c>
      <c r="F1" s="2" t="s">
        <v>5</v>
      </c>
      <c r="G1" s="2" t="s">
        <v>6</v>
      </c>
      <c r="H1" s="2" t="s">
        <v>7</v>
      </c>
      <c r="I1" s="2" t="s">
        <v>8</v>
      </c>
      <c r="J1" s="2" t="s">
        <v>9</v>
      </c>
      <c r="K1" s="2" t="s">
        <v>10</v>
      </c>
      <c r="L1" s="3" t="s">
        <v>11</v>
      </c>
      <c r="M1" s="3" t="s">
        <v>12</v>
      </c>
    </row>
    <row r="2" customFormat="false" ht="15" hidden="false" customHeight="true" outlineLevel="0" collapsed="false">
      <c r="A2" s="4" t="s">
        <v>13</v>
      </c>
      <c r="B2" s="4" t="s">
        <v>14</v>
      </c>
      <c r="C2" s="4" t="s">
        <v>15</v>
      </c>
      <c r="D2" s="4" t="s">
        <v>15</v>
      </c>
      <c r="E2" s="5" t="n">
        <v>291247</v>
      </c>
      <c r="F2" s="4" t="n">
        <v>5</v>
      </c>
      <c r="G2" s="4" t="s">
        <v>16</v>
      </c>
      <c r="H2" s="4" t="n">
        <v>61.18707</v>
      </c>
      <c r="I2" s="4" t="n">
        <v>-149.87646</v>
      </c>
      <c r="J2" s="4" t="s">
        <v>17</v>
      </c>
      <c r="K2" s="6" t="str">
        <f aca="false">HYPERLINK("https://www.google.com/search?q=Anchorage+Public+Library+Anchorage+AK+library+website","Search")</f>
        <v>Search</v>
      </c>
      <c r="L2" s="7"/>
      <c r="M2" s="7"/>
    </row>
    <row r="3" customFormat="false" ht="15" hidden="false" customHeight="true" outlineLevel="0" collapsed="false">
      <c r="A3" s="4" t="s">
        <v>13</v>
      </c>
      <c r="B3" s="4" t="s">
        <v>18</v>
      </c>
      <c r="C3" s="4" t="s">
        <v>19</v>
      </c>
      <c r="D3" s="4" t="s">
        <v>20</v>
      </c>
      <c r="E3" s="5" t="n">
        <v>10066</v>
      </c>
      <c r="F3" s="4" t="n">
        <v>1</v>
      </c>
      <c r="G3" s="4" t="s">
        <v>21</v>
      </c>
      <c r="H3" s="4" t="n">
        <v>61.54772</v>
      </c>
      <c r="I3" s="4" t="n">
        <v>-149.81867</v>
      </c>
      <c r="J3" s="4" t="s">
        <v>22</v>
      </c>
      <c r="K3" s="6" t="str">
        <f aca="false">HYPERLINK("https://www.google.com/search?q=Big+Lake+Public+Library+Wasilla+AK+library+website","Search")</f>
        <v>Search</v>
      </c>
      <c r="L3" s="7"/>
      <c r="M3" s="7"/>
    </row>
    <row r="4" customFormat="false" ht="15" hidden="false" customHeight="true" outlineLevel="0" collapsed="false">
      <c r="A4" s="4" t="s">
        <v>13</v>
      </c>
      <c r="B4" s="4" t="s">
        <v>23</v>
      </c>
      <c r="C4" s="4" t="s">
        <v>24</v>
      </c>
      <c r="D4" s="4" t="s">
        <v>25</v>
      </c>
      <c r="E4" s="5" t="n">
        <v>95655</v>
      </c>
      <c r="F4" s="4" t="n">
        <v>2</v>
      </c>
      <c r="G4" s="4" t="s">
        <v>26</v>
      </c>
      <c r="H4" s="4" t="n">
        <v>64.83873</v>
      </c>
      <c r="I4" s="4" t="n">
        <v>-147.73841</v>
      </c>
      <c r="J4" s="4" t="s">
        <v>27</v>
      </c>
      <c r="K4" s="6" t="str">
        <f aca="false">HYPERLINK("https://www.google.com/search?q=Fairbanks+North+Star+Borough+Public+Libraries+Fairbanks+AK+library+website","Search")</f>
        <v>Search</v>
      </c>
      <c r="L4" s="7"/>
      <c r="M4" s="7"/>
    </row>
    <row r="5" customFormat="false" ht="15" hidden="false" customHeight="true" outlineLevel="0" collapsed="false">
      <c r="A5" s="4" t="s">
        <v>13</v>
      </c>
      <c r="B5" s="4" t="s">
        <v>28</v>
      </c>
      <c r="C5" s="4" t="s">
        <v>29</v>
      </c>
      <c r="D5" s="4" t="s">
        <v>30</v>
      </c>
      <c r="E5" s="5" t="n">
        <v>13948</v>
      </c>
      <c r="F5" s="4" t="n">
        <v>1</v>
      </c>
      <c r="G5" s="4" t="s">
        <v>31</v>
      </c>
      <c r="H5" s="4" t="n">
        <v>55.34923</v>
      </c>
      <c r="I5" s="4" t="n">
        <v>-131.65139</v>
      </c>
      <c r="J5" s="4" t="s">
        <v>32</v>
      </c>
      <c r="K5" s="6" t="str">
        <f aca="false">HYPERLINK("https://www.google.com/search?q=Ketchikan+Public+Library+Ketchikan+AK+library+website","Search")</f>
        <v>Search</v>
      </c>
      <c r="L5" s="7"/>
      <c r="M5" s="7"/>
    </row>
    <row r="6" customFormat="false" ht="15" hidden="false" customHeight="true" outlineLevel="0" collapsed="false">
      <c r="A6" s="4" t="s">
        <v>13</v>
      </c>
      <c r="B6" s="4" t="s">
        <v>33</v>
      </c>
      <c r="C6" s="4" t="s">
        <v>34</v>
      </c>
      <c r="D6" s="4" t="s">
        <v>35</v>
      </c>
      <c r="E6" s="5" t="n">
        <v>12761</v>
      </c>
      <c r="F6" s="4" t="n">
        <v>1</v>
      </c>
      <c r="G6" s="4" t="s">
        <v>36</v>
      </c>
      <c r="H6" s="4" t="n">
        <v>57.79262</v>
      </c>
      <c r="I6" s="4" t="n">
        <v>-152.39772</v>
      </c>
      <c r="J6" s="4" t="s">
        <v>37</v>
      </c>
      <c r="K6" s="6" t="str">
        <f aca="false">HYPERLINK("https://www.google.com/search?q=Kodiak+Public+Library+Kodiak+AK+library+website","Search")</f>
        <v>Search</v>
      </c>
      <c r="L6" s="7"/>
      <c r="M6" s="7"/>
    </row>
    <row r="7" customFormat="false" ht="15" hidden="false" customHeight="true" outlineLevel="0" collapsed="false">
      <c r="A7" s="4" t="s">
        <v>13</v>
      </c>
      <c r="B7" s="4" t="s">
        <v>38</v>
      </c>
      <c r="C7" s="4" t="s">
        <v>39</v>
      </c>
      <c r="D7" s="4" t="s">
        <v>20</v>
      </c>
      <c r="E7" s="5" t="n">
        <v>28295</v>
      </c>
      <c r="F7" s="4" t="n">
        <v>1</v>
      </c>
      <c r="G7" s="4" t="s">
        <v>40</v>
      </c>
      <c r="H7" s="4" t="n">
        <v>61.60001</v>
      </c>
      <c r="I7" s="4" t="n">
        <v>-149.11293</v>
      </c>
      <c r="J7" s="4" t="s">
        <v>41</v>
      </c>
      <c r="K7" s="6" t="str">
        <f aca="false">HYPERLINK("https://www.google.com/search?q=Palmer+Public+Library+Palmer+AK+library+website","Search")</f>
        <v>Search</v>
      </c>
      <c r="L7" s="7"/>
      <c r="M7" s="7"/>
    </row>
    <row r="8" customFormat="false" ht="15" hidden="false" customHeight="true" outlineLevel="0" collapsed="false">
      <c r="A8" s="4" t="s">
        <v>13</v>
      </c>
      <c r="B8" s="4" t="s">
        <v>42</v>
      </c>
      <c r="C8" s="4" t="s">
        <v>43</v>
      </c>
      <c r="D8" s="4" t="s">
        <v>44</v>
      </c>
      <c r="E8" s="5" t="n">
        <v>11031</v>
      </c>
      <c r="F8" s="4" t="n">
        <v>8</v>
      </c>
      <c r="G8" s="4" t="s">
        <v>45</v>
      </c>
      <c r="H8" s="4" t="n">
        <v>71.29886</v>
      </c>
      <c r="I8" s="4" t="n">
        <v>-156.75009</v>
      </c>
      <c r="J8" s="4" t="s">
        <v>46</v>
      </c>
      <c r="K8" s="6" t="str">
        <f aca="false">HYPERLINK("https://www.google.com/search?q=Tuzzy+Consortium+Library+Utqiagvik+AK+library+website","Search")</f>
        <v>Search</v>
      </c>
      <c r="L8" s="7"/>
      <c r="M8" s="7"/>
    </row>
    <row r="9" customFormat="false" ht="15" hidden="false" customHeight="true" outlineLevel="0" collapsed="false">
      <c r="A9" s="4" t="s">
        <v>13</v>
      </c>
      <c r="B9" s="4" t="s">
        <v>47</v>
      </c>
      <c r="C9" s="4" t="s">
        <v>19</v>
      </c>
      <c r="D9" s="4" t="s">
        <v>20</v>
      </c>
      <c r="E9" s="5" t="n">
        <v>48422</v>
      </c>
      <c r="F9" s="4" t="n">
        <v>1</v>
      </c>
      <c r="G9" s="4" t="s">
        <v>48</v>
      </c>
      <c r="H9" s="4" t="n">
        <v>61.58386</v>
      </c>
      <c r="I9" s="4" t="n">
        <v>-149.42969</v>
      </c>
      <c r="J9" s="4" t="s">
        <v>49</v>
      </c>
      <c r="K9" s="6" t="str">
        <f aca="false">HYPERLINK("https://www.google.com/search?q=Wasilla+Public+Library+Wasilla+AK+library+website","Search")</f>
        <v>Search</v>
      </c>
      <c r="L9" s="7"/>
      <c r="M9" s="7"/>
    </row>
    <row r="10" customFormat="false" ht="15" hidden="false" customHeight="true" outlineLevel="0" collapsed="false">
      <c r="A10" s="4" t="s">
        <v>50</v>
      </c>
      <c r="B10" s="4" t="s">
        <v>51</v>
      </c>
      <c r="C10" s="4" t="s">
        <v>52</v>
      </c>
      <c r="D10" s="4" t="s">
        <v>53</v>
      </c>
      <c r="E10" s="5" t="n">
        <v>33701</v>
      </c>
      <c r="F10" s="4" t="n">
        <v>1</v>
      </c>
      <c r="G10" s="4" t="s">
        <v>54</v>
      </c>
      <c r="H10" s="4" t="n">
        <v>33.24477</v>
      </c>
      <c r="I10" s="4" t="n">
        <v>-86.82667</v>
      </c>
      <c r="J10" s="4" t="s">
        <v>55</v>
      </c>
      <c r="K10" s="6" t="str">
        <f aca="false">HYPERLINK("https://www.google.com/search?q=Alabaster+-+Albert+L.+Scott+Library+Alabaster+AL+library+website","Search")</f>
        <v>Search</v>
      </c>
      <c r="L10" s="7"/>
      <c r="M10" s="7"/>
    </row>
    <row r="11" customFormat="false" ht="15" hidden="false" customHeight="true" outlineLevel="0" collapsed="false">
      <c r="A11" s="4" t="s">
        <v>50</v>
      </c>
      <c r="B11" s="4" t="s">
        <v>56</v>
      </c>
      <c r="C11" s="4" t="s">
        <v>57</v>
      </c>
      <c r="D11" s="4" t="s">
        <v>58</v>
      </c>
      <c r="E11" s="5" t="n">
        <v>21777</v>
      </c>
      <c r="F11" s="4" t="n">
        <v>1</v>
      </c>
      <c r="G11" s="4" t="s">
        <v>59</v>
      </c>
      <c r="H11" s="4" t="n">
        <v>34.26439</v>
      </c>
      <c r="I11" s="4" t="n">
        <v>-86.20296</v>
      </c>
      <c r="J11" s="4" t="s">
        <v>60</v>
      </c>
      <c r="K11" s="6" t="str">
        <f aca="false">HYPERLINK("https://www.google.com/search?q=Albertville+Public+Library+Albertville+AL+library+website","Search")</f>
        <v>Search</v>
      </c>
      <c r="L11" s="7"/>
      <c r="M11" s="7"/>
    </row>
    <row r="12" customFormat="false" ht="15" hidden="false" customHeight="true" outlineLevel="0" collapsed="false">
      <c r="A12" s="4" t="s">
        <v>50</v>
      </c>
      <c r="B12" s="4" t="s">
        <v>61</v>
      </c>
      <c r="C12" s="4" t="s">
        <v>62</v>
      </c>
      <c r="D12" s="4" t="s">
        <v>63</v>
      </c>
      <c r="E12" s="5" t="n">
        <v>14142</v>
      </c>
      <c r="F12" s="4" t="n">
        <v>2</v>
      </c>
      <c r="G12" s="4" t="s">
        <v>64</v>
      </c>
      <c r="H12" s="4" t="n">
        <v>32.94118</v>
      </c>
      <c r="I12" s="4" t="n">
        <v>-85.95387</v>
      </c>
      <c r="J12" s="4" t="s">
        <v>65</v>
      </c>
      <c r="K12" s="6" t="str">
        <f aca="false">HYPERLINK("https://www.google.com/search?q=Alexander+City+-+Adelia+Mcconnell+Russell+Library+Alexander+City+AL+library+website","Search")</f>
        <v>Search</v>
      </c>
      <c r="L12" s="7"/>
      <c r="M12" s="7"/>
    </row>
    <row r="13" customFormat="false" ht="15" hidden="false" customHeight="true" outlineLevel="0" collapsed="false">
      <c r="A13" s="4" t="s">
        <v>50</v>
      </c>
      <c r="B13" s="4" t="s">
        <v>66</v>
      </c>
      <c r="C13" s="4" t="s">
        <v>67</v>
      </c>
      <c r="D13" s="4" t="s">
        <v>68</v>
      </c>
      <c r="E13" s="5" t="n">
        <v>17867</v>
      </c>
      <c r="F13" s="4" t="n">
        <v>1</v>
      </c>
      <c r="G13" s="4" t="s">
        <v>69</v>
      </c>
      <c r="H13" s="4" t="n">
        <v>31.30659</v>
      </c>
      <c r="I13" s="4" t="n">
        <v>-86.48306</v>
      </c>
      <c r="J13" s="4" t="s">
        <v>70</v>
      </c>
      <c r="K13" s="6" t="str">
        <f aca="false">HYPERLINK("https://www.google.com/search?q=Andalusia+Public+Library+Andalusia+AL+library+website","Search")</f>
        <v>Search</v>
      </c>
      <c r="L13" s="7"/>
      <c r="M13" s="7"/>
    </row>
    <row r="14" customFormat="false" ht="15" hidden="false" customHeight="true" outlineLevel="0" collapsed="false">
      <c r="A14" s="4" t="s">
        <v>50</v>
      </c>
      <c r="B14" s="4" t="s">
        <v>71</v>
      </c>
      <c r="C14" s="4" t="s">
        <v>72</v>
      </c>
      <c r="D14" s="4" t="s">
        <v>73</v>
      </c>
      <c r="E14" s="5" t="n">
        <v>72914</v>
      </c>
      <c r="F14" s="4" t="n">
        <v>2</v>
      </c>
      <c r="G14" s="4" t="s">
        <v>74</v>
      </c>
      <c r="H14" s="4" t="n">
        <v>33.65704</v>
      </c>
      <c r="I14" s="4" t="n">
        <v>-85.82787</v>
      </c>
      <c r="J14" s="4" t="s">
        <v>75</v>
      </c>
      <c r="K14" s="6" t="str">
        <f aca="false">HYPERLINK("https://www.google.com/search?q=Anniston+-+Calhoun+County+Public+Library+Anniston+AL+library+website","Search")</f>
        <v>Search</v>
      </c>
      <c r="L14" s="7"/>
      <c r="M14" s="7"/>
    </row>
    <row r="15" customFormat="false" ht="15" hidden="false" customHeight="true" outlineLevel="0" collapsed="false">
      <c r="A15" s="4" t="s">
        <v>50</v>
      </c>
      <c r="B15" s="4" t="s">
        <v>76</v>
      </c>
      <c r="C15" s="4" t="s">
        <v>77</v>
      </c>
      <c r="D15" s="4" t="s">
        <v>78</v>
      </c>
      <c r="E15" s="5" t="n">
        <v>102228</v>
      </c>
      <c r="F15" s="4" t="n">
        <v>1</v>
      </c>
      <c r="G15" s="4" t="s">
        <v>79</v>
      </c>
      <c r="H15" s="4" t="n">
        <v>34.79589</v>
      </c>
      <c r="I15" s="4" t="n">
        <v>-86.97185</v>
      </c>
      <c r="J15" s="4" t="s">
        <v>80</v>
      </c>
      <c r="K15" s="6" t="str">
        <f aca="false">HYPERLINK("https://www.google.com/search?q=Athens+-+Limestone+Public+Library+Athens+AL+library+website","Search")</f>
        <v>Search</v>
      </c>
      <c r="L15" s="7"/>
      <c r="M15" s="7"/>
    </row>
    <row r="16" customFormat="false" ht="15" hidden="false" customHeight="true" outlineLevel="0" collapsed="false">
      <c r="A16" s="4" t="s">
        <v>50</v>
      </c>
      <c r="B16" s="4" t="s">
        <v>81</v>
      </c>
      <c r="C16" s="4" t="s">
        <v>82</v>
      </c>
      <c r="D16" s="4" t="s">
        <v>83</v>
      </c>
      <c r="E16" s="5" t="n">
        <v>68343</v>
      </c>
      <c r="F16" s="4" t="n">
        <v>1</v>
      </c>
      <c r="G16" s="4" t="s">
        <v>84</v>
      </c>
      <c r="H16" s="4" t="n">
        <v>32.60447</v>
      </c>
      <c r="I16" s="4" t="n">
        <v>-85.46557</v>
      </c>
      <c r="J16" s="4" t="s">
        <v>85</v>
      </c>
      <c r="K16" s="6" t="str">
        <f aca="false">HYPERLINK("https://www.google.com/search?q=Auburn+Public+Library+Auburn+AL+library+website","Search")</f>
        <v>Search</v>
      </c>
      <c r="L16" s="7"/>
      <c r="M16" s="7"/>
    </row>
    <row r="17" customFormat="false" ht="15" hidden="false" customHeight="true" outlineLevel="0" collapsed="false">
      <c r="A17" s="4" t="s">
        <v>50</v>
      </c>
      <c r="B17" s="4" t="s">
        <v>86</v>
      </c>
      <c r="C17" s="4" t="s">
        <v>87</v>
      </c>
      <c r="D17" s="4" t="s">
        <v>88</v>
      </c>
      <c r="E17" s="5" t="n">
        <v>56145</v>
      </c>
      <c r="F17" s="4" t="n">
        <v>4</v>
      </c>
      <c r="G17" s="4" t="s">
        <v>89</v>
      </c>
      <c r="H17" s="4" t="n">
        <v>32.4569</v>
      </c>
      <c r="I17" s="4" t="n">
        <v>-86.46889</v>
      </c>
      <c r="J17" s="4" t="s">
        <v>90</v>
      </c>
      <c r="K17" s="6" t="str">
        <f aca="false">HYPERLINK("https://www.google.com/search?q=Autauga+-+Prattville+Public+Library+Prattville+AL+library+website","Search")</f>
        <v>Search</v>
      </c>
      <c r="L17" s="7"/>
      <c r="M17" s="7"/>
    </row>
    <row r="18" customFormat="false" ht="15" hidden="false" customHeight="true" outlineLevel="0" collapsed="false">
      <c r="A18" s="4" t="s">
        <v>50</v>
      </c>
      <c r="B18" s="4" t="s">
        <v>91</v>
      </c>
      <c r="C18" s="4" t="s">
        <v>92</v>
      </c>
      <c r="D18" s="4" t="s">
        <v>93</v>
      </c>
      <c r="E18" s="5" t="n">
        <v>102040</v>
      </c>
      <c r="F18" s="4" t="n">
        <v>1</v>
      </c>
      <c r="G18" s="4" t="s">
        <v>94</v>
      </c>
      <c r="H18" s="4" t="n">
        <v>30.55071</v>
      </c>
      <c r="I18" s="4" t="n">
        <v>-87.71687</v>
      </c>
      <c r="J18" s="4" t="s">
        <v>95</v>
      </c>
      <c r="K18" s="6" t="str">
        <f aca="false">HYPERLINK("https://www.google.com/search?q=Baldwin+County+Library+Cooperative+Robertsdale+AL+library+website","Search")</f>
        <v>Search</v>
      </c>
      <c r="L18" s="7"/>
      <c r="M18" s="7"/>
    </row>
    <row r="19" customFormat="false" ht="15" hidden="false" customHeight="true" outlineLevel="0" collapsed="false">
      <c r="A19" s="4" t="s">
        <v>50</v>
      </c>
      <c r="B19" s="4" t="s">
        <v>96</v>
      </c>
      <c r="C19" s="4" t="s">
        <v>97</v>
      </c>
      <c r="D19" s="4" t="s">
        <v>98</v>
      </c>
      <c r="E19" s="5" t="n">
        <v>26043</v>
      </c>
      <c r="F19" s="4" t="n">
        <v>1</v>
      </c>
      <c r="G19" s="4" t="s">
        <v>99</v>
      </c>
      <c r="H19" s="4" t="n">
        <v>33.40335</v>
      </c>
      <c r="I19" s="4" t="n">
        <v>-86.95495</v>
      </c>
      <c r="J19" s="4" t="s">
        <v>100</v>
      </c>
      <c r="K19" s="6" t="str">
        <f aca="false">HYPERLINK("https://www.google.com/search?q=Bessemer+Public+Library+Bessemer+AL+library+website","Search")</f>
        <v>Search</v>
      </c>
      <c r="L19" s="7"/>
      <c r="M19" s="7"/>
    </row>
    <row r="20" customFormat="false" ht="15" hidden="false" customHeight="true" outlineLevel="0" collapsed="false">
      <c r="A20" s="4" t="s">
        <v>50</v>
      </c>
      <c r="B20" s="4" t="s">
        <v>101</v>
      </c>
      <c r="C20" s="4" t="s">
        <v>102</v>
      </c>
      <c r="D20" s="4" t="s">
        <v>98</v>
      </c>
      <c r="E20" s="5" t="n">
        <v>206950</v>
      </c>
      <c r="F20" s="4" t="n">
        <v>18</v>
      </c>
      <c r="G20" s="4" t="s">
        <v>103</v>
      </c>
      <c r="H20" s="4" t="n">
        <v>33.52072</v>
      </c>
      <c r="I20" s="4" t="n">
        <v>-86.80762</v>
      </c>
      <c r="J20" s="4" t="s">
        <v>104</v>
      </c>
      <c r="K20" s="6" t="str">
        <f aca="false">HYPERLINK("https://www.google.com/search?q=Birmingham+Public+Library+Birmingham+AL+library+website","Search")</f>
        <v>Search</v>
      </c>
      <c r="L20" s="7"/>
      <c r="M20" s="7"/>
    </row>
    <row r="21" customFormat="false" ht="15" hidden="false" customHeight="true" outlineLevel="0" collapsed="false">
      <c r="A21" s="4" t="s">
        <v>50</v>
      </c>
      <c r="B21" s="4" t="s">
        <v>105</v>
      </c>
      <c r="C21" s="4" t="s">
        <v>106</v>
      </c>
      <c r="D21" s="4" t="s">
        <v>107</v>
      </c>
      <c r="E21" s="5" t="n">
        <v>14062</v>
      </c>
      <c r="F21" s="4" t="n">
        <v>1</v>
      </c>
      <c r="G21" s="4" t="s">
        <v>108</v>
      </c>
      <c r="H21" s="4" t="n">
        <v>34.07896</v>
      </c>
      <c r="I21" s="4" t="n">
        <v>-86.58993</v>
      </c>
      <c r="J21" s="4" t="s">
        <v>109</v>
      </c>
      <c r="K21" s="6" t="str">
        <f aca="false">HYPERLINK("https://www.google.com/search?q=Blountsville+Public+Library+Blountsville+AL+library+website","Search")</f>
        <v>Search</v>
      </c>
      <c r="L21" s="7"/>
      <c r="M21" s="7"/>
    </row>
    <row r="22" customFormat="false" ht="15" hidden="false" customHeight="true" outlineLevel="0" collapsed="false">
      <c r="A22" s="4" t="s">
        <v>50</v>
      </c>
      <c r="B22" s="4" t="s">
        <v>110</v>
      </c>
      <c r="C22" s="4" t="s">
        <v>111</v>
      </c>
      <c r="D22" s="4" t="s">
        <v>112</v>
      </c>
      <c r="E22" s="5" t="n">
        <v>18280</v>
      </c>
      <c r="F22" s="4" t="n">
        <v>1</v>
      </c>
      <c r="G22" s="4" t="s">
        <v>113</v>
      </c>
      <c r="H22" s="4" t="n">
        <v>32.94791</v>
      </c>
      <c r="I22" s="4" t="n">
        <v>-87.15094</v>
      </c>
      <c r="J22" s="4" t="s">
        <v>114</v>
      </c>
      <c r="K22" s="6" t="str">
        <f aca="false">HYPERLINK("https://www.google.com/search?q=Brent+-+Centreville+Public+Library+Centreville+AL+library+website","Search")</f>
        <v>Search</v>
      </c>
      <c r="L22" s="7"/>
      <c r="M22" s="7"/>
    </row>
    <row r="23" customFormat="false" ht="15" hidden="false" customHeight="true" outlineLevel="0" collapsed="false">
      <c r="A23" s="4" t="s">
        <v>50</v>
      </c>
      <c r="B23" s="4" t="s">
        <v>115</v>
      </c>
      <c r="C23" s="4" t="s">
        <v>116</v>
      </c>
      <c r="D23" s="4" t="s">
        <v>53</v>
      </c>
      <c r="E23" s="5" t="n">
        <v>15248</v>
      </c>
      <c r="F23" s="4" t="n">
        <v>1</v>
      </c>
      <c r="G23" s="4" t="s">
        <v>117</v>
      </c>
      <c r="H23" s="4" t="n">
        <v>33.09728</v>
      </c>
      <c r="I23" s="4" t="n">
        <v>-86.76839</v>
      </c>
      <c r="J23" s="4" t="s">
        <v>118</v>
      </c>
      <c r="K23" s="6" t="str">
        <f aca="false">HYPERLINK("https://www.google.com/search?q=Calera+Public+Library+Calera+AL+library+website","Search")</f>
        <v>Search</v>
      </c>
      <c r="L23" s="7"/>
      <c r="M23" s="7"/>
    </row>
    <row r="24" customFormat="false" ht="15" hidden="false" customHeight="true" outlineLevel="0" collapsed="false">
      <c r="A24" s="4" t="s">
        <v>50</v>
      </c>
      <c r="B24" s="4" t="s">
        <v>119</v>
      </c>
      <c r="C24" s="4" t="s">
        <v>120</v>
      </c>
      <c r="D24" s="4" t="s">
        <v>98</v>
      </c>
      <c r="E24" s="5" t="n">
        <v>15815</v>
      </c>
      <c r="F24" s="4" t="n">
        <v>1</v>
      </c>
      <c r="G24" s="4" t="s">
        <v>121</v>
      </c>
      <c r="H24" s="4" t="n">
        <v>33.65251</v>
      </c>
      <c r="I24" s="4" t="n">
        <v>-86.69981</v>
      </c>
      <c r="J24" s="4" t="s">
        <v>122</v>
      </c>
      <c r="K24" s="6" t="str">
        <f aca="false">HYPERLINK("https://www.google.com/search?q=Center+Point+Public+Library+Center+Point+AL+library+website","Search")</f>
        <v>Search</v>
      </c>
      <c r="L24" s="7"/>
      <c r="M24" s="7"/>
    </row>
    <row r="25" customFormat="false" ht="15" hidden="false" customHeight="true" outlineLevel="0" collapsed="false">
      <c r="A25" s="4" t="s">
        <v>50</v>
      </c>
      <c r="B25" s="4" t="s">
        <v>123</v>
      </c>
      <c r="C25" s="4" t="s">
        <v>124</v>
      </c>
      <c r="D25" s="4" t="s">
        <v>125</v>
      </c>
      <c r="E25" s="5" t="n">
        <v>99877</v>
      </c>
      <c r="F25" s="4" t="n">
        <v>1</v>
      </c>
      <c r="G25" s="4" t="s">
        <v>126</v>
      </c>
      <c r="H25" s="4" t="n">
        <v>33.64383</v>
      </c>
      <c r="I25" s="4" t="n">
        <v>-85.58906</v>
      </c>
      <c r="J25" s="4" t="s">
        <v>127</v>
      </c>
      <c r="K25" s="6" t="str">
        <f aca="false">HYPERLINK("https://www.google.com/search?q=Cheaha+Regional+Library+Heflin+AL+library+website","Search")</f>
        <v>Search</v>
      </c>
      <c r="L25" s="7"/>
      <c r="M25" s="7"/>
    </row>
    <row r="26" customFormat="false" ht="15" hidden="false" customHeight="true" outlineLevel="0" collapsed="false">
      <c r="A26" s="4" t="s">
        <v>50</v>
      </c>
      <c r="B26" s="4" t="s">
        <v>128</v>
      </c>
      <c r="C26" s="4" t="s">
        <v>129</v>
      </c>
      <c r="D26" s="4" t="s">
        <v>53</v>
      </c>
      <c r="E26" s="5" t="n">
        <v>14608</v>
      </c>
      <c r="F26" s="4" t="n">
        <v>1</v>
      </c>
      <c r="G26" s="4" t="s">
        <v>130</v>
      </c>
      <c r="H26" s="4" t="n">
        <v>33.34773</v>
      </c>
      <c r="I26" s="4" t="n">
        <v>-86.62954</v>
      </c>
      <c r="J26" s="4" t="s">
        <v>131</v>
      </c>
      <c r="K26" s="6" t="str">
        <f aca="false">HYPERLINK("https://www.google.com/search?q=Chelsea+Public+Library+Chelsea+AL+library+website","Search")</f>
        <v>Search</v>
      </c>
      <c r="L26" s="7"/>
      <c r="M26" s="7"/>
    </row>
    <row r="27" customFormat="false" ht="15" hidden="false" customHeight="true" outlineLevel="0" collapsed="false">
      <c r="A27" s="4" t="s">
        <v>50</v>
      </c>
      <c r="B27" s="4" t="s">
        <v>132</v>
      </c>
      <c r="C27" s="4" t="s">
        <v>133</v>
      </c>
      <c r="D27" s="4" t="s">
        <v>134</v>
      </c>
      <c r="E27" s="5" t="n">
        <v>44397</v>
      </c>
      <c r="F27" s="4" t="n">
        <v>3</v>
      </c>
      <c r="G27" s="4" t="s">
        <v>135</v>
      </c>
      <c r="H27" s="4" t="n">
        <v>32.8408</v>
      </c>
      <c r="I27" s="4" t="n">
        <v>-86.62444</v>
      </c>
      <c r="J27" s="4" t="s">
        <v>136</v>
      </c>
      <c r="K27" s="6" t="str">
        <f aca="false">HYPERLINK("https://www.google.com/search?q=Chilton+-+Clanton+Public+Library+Clanton+AL+library+website","Search")</f>
        <v>Search</v>
      </c>
      <c r="L27" s="7"/>
      <c r="M27" s="7"/>
    </row>
    <row r="28" customFormat="false" ht="15" hidden="false" customHeight="true" outlineLevel="0" collapsed="false">
      <c r="A28" s="4" t="s">
        <v>50</v>
      </c>
      <c r="B28" s="4" t="s">
        <v>137</v>
      </c>
      <c r="C28" s="4" t="s">
        <v>138</v>
      </c>
      <c r="D28" s="4" t="s">
        <v>139</v>
      </c>
      <c r="E28" s="5" t="n">
        <v>12418</v>
      </c>
      <c r="F28" s="4" t="n">
        <v>2</v>
      </c>
      <c r="G28" s="4" t="s">
        <v>140</v>
      </c>
      <c r="H28" s="4" t="n">
        <v>32.09013</v>
      </c>
      <c r="I28" s="4" t="n">
        <v>-88.22007</v>
      </c>
      <c r="J28" s="4" t="s">
        <v>141</v>
      </c>
      <c r="K28" s="6" t="str">
        <f aca="false">HYPERLINK("https://www.google.com/search?q=Choctaw+County+Public+Library+Butler+AL+library+website","Search")</f>
        <v>Search</v>
      </c>
      <c r="L28" s="7"/>
      <c r="M28" s="7"/>
    </row>
    <row r="29" customFormat="false" ht="15" hidden="false" customHeight="true" outlineLevel="0" collapsed="false">
      <c r="A29" s="4" t="s">
        <v>50</v>
      </c>
      <c r="B29" s="4" t="s">
        <v>142</v>
      </c>
      <c r="C29" s="4" t="s">
        <v>143</v>
      </c>
      <c r="D29" s="4" t="s">
        <v>98</v>
      </c>
      <c r="E29" s="5" t="n">
        <v>10042</v>
      </c>
      <c r="F29" s="4" t="n">
        <v>1</v>
      </c>
      <c r="G29" s="4" t="s">
        <v>144</v>
      </c>
      <c r="H29" s="4" t="n">
        <v>33.70028</v>
      </c>
      <c r="I29" s="4" t="n">
        <v>-86.60285</v>
      </c>
      <c r="J29" s="4" t="s">
        <v>145</v>
      </c>
      <c r="K29" s="6" t="str">
        <f aca="false">HYPERLINK("https://www.google.com/search?q=Clay+Public+Library+Pinson+AL+library+website","Search")</f>
        <v>Search</v>
      </c>
      <c r="L29" s="7"/>
      <c r="M29" s="7"/>
    </row>
    <row r="30" customFormat="false" ht="15" hidden="false" customHeight="true" outlineLevel="0" collapsed="false">
      <c r="A30" s="4" t="s">
        <v>50</v>
      </c>
      <c r="B30" s="4" t="s">
        <v>146</v>
      </c>
      <c r="C30" s="4" t="s">
        <v>147</v>
      </c>
      <c r="D30" s="4" t="s">
        <v>147</v>
      </c>
      <c r="E30" s="5" t="n">
        <v>84515</v>
      </c>
      <c r="F30" s="4" t="n">
        <v>5</v>
      </c>
      <c r="G30" s="4" t="s">
        <v>148</v>
      </c>
      <c r="H30" s="4" t="n">
        <v>34.17907</v>
      </c>
      <c r="I30" s="4" t="n">
        <v>-86.8426</v>
      </c>
      <c r="J30" s="4" t="s">
        <v>149</v>
      </c>
      <c r="K30" s="6" t="str">
        <f aca="false">HYPERLINK("https://www.google.com/search?q=Cullman+County+Public+Library+Cullman+AL+library+website","Search")</f>
        <v>Search</v>
      </c>
      <c r="L30" s="7"/>
      <c r="M30" s="7"/>
    </row>
    <row r="31" customFormat="false" ht="15" hidden="false" customHeight="true" outlineLevel="0" collapsed="false">
      <c r="A31" s="4" t="s">
        <v>50</v>
      </c>
      <c r="B31" s="4" t="s">
        <v>150</v>
      </c>
      <c r="C31" s="4" t="s">
        <v>151</v>
      </c>
      <c r="D31" s="4" t="s">
        <v>93</v>
      </c>
      <c r="E31" s="5" t="n">
        <v>27719</v>
      </c>
      <c r="F31" s="4" t="n">
        <v>1</v>
      </c>
      <c r="G31" s="4" t="s">
        <v>152</v>
      </c>
      <c r="H31" s="4" t="n">
        <v>30.61729</v>
      </c>
      <c r="I31" s="4" t="n">
        <v>-87.90489</v>
      </c>
      <c r="J31" s="4" t="s">
        <v>153</v>
      </c>
      <c r="K31" s="6" t="str">
        <f aca="false">HYPERLINK("https://www.google.com/search?q=Daphne+Public+Library+Daphne+AL+library+website","Search")</f>
        <v>Search</v>
      </c>
      <c r="L31" s="7"/>
      <c r="M31" s="7"/>
    </row>
    <row r="32" customFormat="false" ht="15" hidden="false" customHeight="true" outlineLevel="0" collapsed="false">
      <c r="A32" s="4" t="s">
        <v>50</v>
      </c>
      <c r="B32" s="4" t="s">
        <v>154</v>
      </c>
      <c r="C32" s="4" t="s">
        <v>155</v>
      </c>
      <c r="D32" s="4" t="s">
        <v>156</v>
      </c>
      <c r="E32" s="5" t="n">
        <v>87765</v>
      </c>
      <c r="F32" s="4" t="n">
        <v>1</v>
      </c>
      <c r="G32" s="4" t="s">
        <v>157</v>
      </c>
      <c r="H32" s="4" t="n">
        <v>34.60597</v>
      </c>
      <c r="I32" s="4" t="n">
        <v>-86.98137</v>
      </c>
      <c r="J32" s="4" t="s">
        <v>158</v>
      </c>
      <c r="K32" s="6" t="str">
        <f aca="false">HYPERLINK("https://www.google.com/search?q=Decatur+Public+Library+Decatur+AL+library+website","Search")</f>
        <v>Search</v>
      </c>
      <c r="L32" s="7"/>
      <c r="M32" s="7"/>
    </row>
    <row r="33" customFormat="false" ht="15" hidden="false" customHeight="true" outlineLevel="0" collapsed="false">
      <c r="A33" s="4" t="s">
        <v>50</v>
      </c>
      <c r="B33" s="4" t="s">
        <v>159</v>
      </c>
      <c r="C33" s="4" t="s">
        <v>160</v>
      </c>
      <c r="D33" s="4" t="s">
        <v>161</v>
      </c>
      <c r="E33" s="5" t="n">
        <v>11710</v>
      </c>
      <c r="F33" s="4" t="n">
        <v>1</v>
      </c>
      <c r="G33" s="4" t="s">
        <v>162</v>
      </c>
      <c r="H33" s="4" t="n">
        <v>32.51734</v>
      </c>
      <c r="I33" s="4" t="n">
        <v>-87.83565</v>
      </c>
      <c r="J33" s="4" t="s">
        <v>163</v>
      </c>
      <c r="K33" s="6" t="str">
        <f aca="false">HYPERLINK("https://www.google.com/search?q=Demopolis+Public+Library+Demopolis+AL+library+website","Search")</f>
        <v>Search</v>
      </c>
      <c r="L33" s="7"/>
      <c r="M33" s="7"/>
    </row>
    <row r="34" customFormat="false" ht="15" hidden="false" customHeight="true" outlineLevel="0" collapsed="false">
      <c r="A34" s="4" t="s">
        <v>50</v>
      </c>
      <c r="B34" s="4" t="s">
        <v>164</v>
      </c>
      <c r="C34" s="4" t="s">
        <v>165</v>
      </c>
      <c r="D34" s="4" t="s">
        <v>166</v>
      </c>
      <c r="E34" s="5" t="n">
        <v>106580</v>
      </c>
      <c r="F34" s="4" t="n">
        <v>3</v>
      </c>
      <c r="G34" s="4" t="s">
        <v>167</v>
      </c>
      <c r="H34" s="4" t="n">
        <v>31.22878</v>
      </c>
      <c r="I34" s="4" t="n">
        <v>-85.39412</v>
      </c>
      <c r="J34" s="4" t="s">
        <v>168</v>
      </c>
      <c r="K34" s="6" t="str">
        <f aca="false">HYPERLINK("https://www.google.com/search?q=Dothan+Houston+County+Library+System+Dothan+AL+library+website","Search")</f>
        <v>Search</v>
      </c>
      <c r="L34" s="7"/>
      <c r="M34" s="7"/>
    </row>
    <row r="35" customFormat="false" ht="15" hidden="false" customHeight="true" outlineLevel="0" collapsed="false">
      <c r="A35" s="4" t="s">
        <v>50</v>
      </c>
      <c r="B35" s="4" t="s">
        <v>169</v>
      </c>
      <c r="C35" s="4" t="s">
        <v>170</v>
      </c>
      <c r="D35" s="4" t="s">
        <v>171</v>
      </c>
      <c r="E35" s="5" t="n">
        <v>10013</v>
      </c>
      <c r="F35" s="4" t="n">
        <v>1</v>
      </c>
      <c r="G35" s="4" t="s">
        <v>172</v>
      </c>
      <c r="H35" s="4" t="n">
        <v>31.4146</v>
      </c>
      <c r="I35" s="4" t="n">
        <v>-86.06634</v>
      </c>
      <c r="J35" s="4" t="s">
        <v>173</v>
      </c>
      <c r="K35" s="6" t="str">
        <f aca="false">HYPERLINK("https://www.google.com/search?q=Elba+Public+Library+Elba+AL+library+website","Search")</f>
        <v>Search</v>
      </c>
      <c r="L35" s="7"/>
      <c r="M35" s="7"/>
    </row>
    <row r="36" customFormat="false" ht="15" hidden="false" customHeight="true" outlineLevel="0" collapsed="false">
      <c r="A36" s="4" t="s">
        <v>50</v>
      </c>
      <c r="B36" s="4" t="s">
        <v>174</v>
      </c>
      <c r="C36" s="4" t="s">
        <v>175</v>
      </c>
      <c r="D36" s="4" t="s">
        <v>171</v>
      </c>
      <c r="E36" s="5" t="n">
        <v>43217</v>
      </c>
      <c r="F36" s="4" t="n">
        <v>1</v>
      </c>
      <c r="G36" s="4" t="s">
        <v>176</v>
      </c>
      <c r="H36" s="4" t="n">
        <v>31.31397</v>
      </c>
      <c r="I36" s="4" t="n">
        <v>-85.85282</v>
      </c>
      <c r="J36" s="4" t="s">
        <v>177</v>
      </c>
      <c r="K36" s="6" t="str">
        <f aca="false">HYPERLINK("https://www.google.com/search?q=Enterprise+Public+Library+Enterprise+AL+library+website","Search")</f>
        <v>Search</v>
      </c>
      <c r="L36" s="7"/>
      <c r="M36" s="7"/>
    </row>
    <row r="37" customFormat="false" ht="15" hidden="false" customHeight="true" outlineLevel="0" collapsed="false">
      <c r="A37" s="4" t="s">
        <v>50</v>
      </c>
      <c r="B37" s="4" t="s">
        <v>178</v>
      </c>
      <c r="C37" s="4" t="s">
        <v>179</v>
      </c>
      <c r="D37" s="4" t="s">
        <v>180</v>
      </c>
      <c r="E37" s="5" t="n">
        <v>13724</v>
      </c>
      <c r="F37" s="4" t="n">
        <v>1</v>
      </c>
      <c r="G37" s="4" t="s">
        <v>181</v>
      </c>
      <c r="H37" s="4" t="n">
        <v>31.894</v>
      </c>
      <c r="I37" s="4" t="n">
        <v>-85.14557</v>
      </c>
      <c r="J37" s="4" t="s">
        <v>182</v>
      </c>
      <c r="K37" s="6" t="str">
        <f aca="false">HYPERLINK("https://www.google.com/search?q=Eufaula+Carnegie+Library+Eufaula+AL+library+website","Search")</f>
        <v>Search</v>
      </c>
      <c r="L37" s="7"/>
      <c r="M37" s="7"/>
    </row>
    <row r="38" customFormat="false" ht="15" hidden="false" customHeight="true" outlineLevel="0" collapsed="false">
      <c r="A38" s="4" t="s">
        <v>50</v>
      </c>
      <c r="B38" s="4" t="s">
        <v>183</v>
      </c>
      <c r="C38" s="4" t="s">
        <v>184</v>
      </c>
      <c r="D38" s="4" t="s">
        <v>185</v>
      </c>
      <c r="E38" s="5" t="n">
        <v>11851</v>
      </c>
      <c r="F38" s="4" t="n">
        <v>1</v>
      </c>
      <c r="G38" s="4" t="s">
        <v>186</v>
      </c>
      <c r="H38" s="4" t="n">
        <v>31.43403</v>
      </c>
      <c r="I38" s="4" t="n">
        <v>-86.95378</v>
      </c>
      <c r="J38" s="4" t="s">
        <v>187</v>
      </c>
      <c r="K38" s="6" t="str">
        <f aca="false">HYPERLINK("https://www.google.com/search?q=Evergreen+Public+Library+Evergreen+AL+library+website","Search")</f>
        <v>Search</v>
      </c>
      <c r="L38" s="7"/>
      <c r="M38" s="7"/>
    </row>
    <row r="39" customFormat="false" ht="15" hidden="false" customHeight="true" outlineLevel="0" collapsed="false">
      <c r="A39" s="4" t="s">
        <v>50</v>
      </c>
      <c r="B39" s="4" t="s">
        <v>188</v>
      </c>
      <c r="C39" s="4" t="s">
        <v>189</v>
      </c>
      <c r="D39" s="4" t="s">
        <v>98</v>
      </c>
      <c r="E39" s="5" t="n">
        <v>10457</v>
      </c>
      <c r="F39" s="4" t="n">
        <v>1</v>
      </c>
      <c r="G39" s="4" t="s">
        <v>190</v>
      </c>
      <c r="H39" s="4" t="n">
        <v>33.4911</v>
      </c>
      <c r="I39" s="4" t="n">
        <v>-86.91537</v>
      </c>
      <c r="J39" s="4" t="s">
        <v>191</v>
      </c>
      <c r="K39" s="6" t="str">
        <f aca="false">HYPERLINK("https://www.google.com/search?q=Fairfield+-+Walter+J.+Hanna+Memorial+Library+Fairfield+AL+library+website","Search")</f>
        <v>Search</v>
      </c>
      <c r="L39" s="7"/>
      <c r="M39" s="7"/>
    </row>
    <row r="40" customFormat="false" ht="15" hidden="false" customHeight="true" outlineLevel="0" collapsed="false">
      <c r="A40" s="4" t="s">
        <v>50</v>
      </c>
      <c r="B40" s="4" t="s">
        <v>192</v>
      </c>
      <c r="C40" s="4" t="s">
        <v>193</v>
      </c>
      <c r="D40" s="4" t="s">
        <v>93</v>
      </c>
      <c r="E40" s="5" t="n">
        <v>23584</v>
      </c>
      <c r="F40" s="4" t="n">
        <v>1</v>
      </c>
      <c r="G40" s="4" t="s">
        <v>194</v>
      </c>
      <c r="H40" s="4" t="n">
        <v>30.5231</v>
      </c>
      <c r="I40" s="4" t="n">
        <v>-87.90099</v>
      </c>
      <c r="J40" s="4" t="s">
        <v>195</v>
      </c>
      <c r="K40" s="6" t="str">
        <f aca="false">HYPERLINK("https://www.google.com/search?q=Fairhope+Public+Library+Fairhope+AL+library+website","Search")</f>
        <v>Search</v>
      </c>
      <c r="L40" s="7"/>
      <c r="M40" s="7"/>
    </row>
    <row r="41" customFormat="false" ht="15" hidden="false" customHeight="true" outlineLevel="0" collapsed="false">
      <c r="A41" s="4" t="s">
        <v>50</v>
      </c>
      <c r="B41" s="4" t="s">
        <v>196</v>
      </c>
      <c r="C41" s="4" t="s">
        <v>197</v>
      </c>
      <c r="D41" s="4" t="s">
        <v>197</v>
      </c>
      <c r="E41" s="5" t="n">
        <v>16241</v>
      </c>
      <c r="F41" s="4" t="n">
        <v>1</v>
      </c>
      <c r="G41" s="4" t="s">
        <v>198</v>
      </c>
      <c r="H41" s="4" t="n">
        <v>33.68748</v>
      </c>
      <c r="I41" s="4" t="n">
        <v>-87.83073</v>
      </c>
      <c r="J41" s="4" t="s">
        <v>199</v>
      </c>
      <c r="K41" s="6" t="str">
        <f aca="false">HYPERLINK("https://www.google.com/search?q=Fayette+County+Memorial+Library+Fayette+AL+library+website","Search")</f>
        <v>Search</v>
      </c>
      <c r="L41" s="7"/>
      <c r="M41" s="7"/>
    </row>
    <row r="42" customFormat="false" ht="15" hidden="false" customHeight="true" outlineLevel="0" collapsed="false">
      <c r="A42" s="4" t="s">
        <v>50</v>
      </c>
      <c r="B42" s="4" t="s">
        <v>200</v>
      </c>
      <c r="C42" s="4" t="s">
        <v>201</v>
      </c>
      <c r="D42" s="4" t="s">
        <v>202</v>
      </c>
      <c r="E42" s="5" t="n">
        <v>90402</v>
      </c>
      <c r="F42" s="4" t="n">
        <v>1</v>
      </c>
      <c r="G42" s="4" t="s">
        <v>203</v>
      </c>
      <c r="H42" s="4" t="n">
        <v>34.80373</v>
      </c>
      <c r="I42" s="4" t="n">
        <v>-87.67472</v>
      </c>
      <c r="J42" s="4" t="s">
        <v>204</v>
      </c>
      <c r="K42" s="6" t="str">
        <f aca="false">HYPERLINK("https://www.google.com/search?q=Florence+-+Lauderdale+Public+Library+Florence+AL+library+website","Search")</f>
        <v>Search</v>
      </c>
      <c r="L42" s="7"/>
      <c r="M42" s="7"/>
    </row>
    <row r="43" customFormat="false" ht="15" hidden="false" customHeight="true" outlineLevel="0" collapsed="false">
      <c r="A43" s="4" t="s">
        <v>50</v>
      </c>
      <c r="B43" s="4" t="s">
        <v>205</v>
      </c>
      <c r="C43" s="4" t="s">
        <v>206</v>
      </c>
      <c r="D43" s="4" t="s">
        <v>93</v>
      </c>
      <c r="E43" s="5" t="n">
        <v>21446</v>
      </c>
      <c r="F43" s="4" t="n">
        <v>1</v>
      </c>
      <c r="G43" s="4" t="s">
        <v>207</v>
      </c>
      <c r="H43" s="4" t="n">
        <v>30.40644</v>
      </c>
      <c r="I43" s="4" t="n">
        <v>-87.67939</v>
      </c>
      <c r="J43" s="4" t="s">
        <v>208</v>
      </c>
      <c r="K43" s="6" t="str">
        <f aca="false">HYPERLINK("https://www.google.com/search?q=Foley+Public+Library+Foley+AL+library+website","Search")</f>
        <v>Search</v>
      </c>
      <c r="L43" s="7"/>
      <c r="M43" s="7"/>
    </row>
    <row r="44" customFormat="false" ht="15" hidden="false" customHeight="true" outlineLevel="0" collapsed="false">
      <c r="A44" s="4" t="s">
        <v>50</v>
      </c>
      <c r="B44" s="4" t="s">
        <v>209</v>
      </c>
      <c r="C44" s="4" t="s">
        <v>210</v>
      </c>
      <c r="D44" s="4" t="s">
        <v>211</v>
      </c>
      <c r="E44" s="5" t="n">
        <v>58724</v>
      </c>
      <c r="F44" s="4" t="n">
        <v>1</v>
      </c>
      <c r="G44" s="4" t="s">
        <v>212</v>
      </c>
      <c r="H44" s="4" t="n">
        <v>34.44493</v>
      </c>
      <c r="I44" s="4" t="n">
        <v>-85.72037</v>
      </c>
      <c r="J44" s="4" t="s">
        <v>213</v>
      </c>
      <c r="K44" s="6" t="str">
        <f aca="false">HYPERLINK("https://www.google.com/search?q=Fort+Payne+-+Dekalb+County+Public+Library+Fort+Payne+AL+library+website","Search")</f>
        <v>Search</v>
      </c>
      <c r="L44" s="7"/>
      <c r="M44" s="7"/>
    </row>
    <row r="45" customFormat="false" ht="15" hidden="false" customHeight="true" outlineLevel="0" collapsed="false">
      <c r="A45" s="4" t="s">
        <v>50</v>
      </c>
      <c r="B45" s="4" t="s">
        <v>214</v>
      </c>
      <c r="C45" s="4" t="s">
        <v>215</v>
      </c>
      <c r="D45" s="4" t="s">
        <v>216</v>
      </c>
      <c r="E45" s="5" t="n">
        <v>66102</v>
      </c>
      <c r="F45" s="4" t="n">
        <v>3</v>
      </c>
      <c r="G45" s="4" t="s">
        <v>217</v>
      </c>
      <c r="H45" s="4" t="n">
        <v>34.01269</v>
      </c>
      <c r="I45" s="4" t="n">
        <v>-86.00985</v>
      </c>
      <c r="J45" s="4" t="s">
        <v>218</v>
      </c>
      <c r="K45" s="6" t="str">
        <f aca="false">HYPERLINK("https://www.google.com/search?q=Gadsden+-+Etowah+County+Public+Library+Gadsden+AL+library+website","Search")</f>
        <v>Search</v>
      </c>
      <c r="L45" s="7"/>
      <c r="M45" s="7"/>
    </row>
    <row r="46" customFormat="false" ht="15" hidden="false" customHeight="true" outlineLevel="0" collapsed="false">
      <c r="A46" s="4" t="s">
        <v>50</v>
      </c>
      <c r="B46" s="4" t="s">
        <v>219</v>
      </c>
      <c r="C46" s="4" t="s">
        <v>220</v>
      </c>
      <c r="D46" s="4" t="s">
        <v>98</v>
      </c>
      <c r="E46" s="5" t="n">
        <v>14113</v>
      </c>
      <c r="F46" s="4" t="n">
        <v>1</v>
      </c>
      <c r="G46" s="4" t="s">
        <v>221</v>
      </c>
      <c r="H46" s="4" t="n">
        <v>33.65016</v>
      </c>
      <c r="I46" s="4" t="n">
        <v>-86.81849</v>
      </c>
      <c r="J46" s="4" t="s">
        <v>222</v>
      </c>
      <c r="K46" s="6" t="str">
        <f aca="false">HYPERLINK("https://www.google.com/search?q=Gardendale+-+Martha+Moore+Public+Library+Gardendale+AL+library+website","Search")</f>
        <v>Search</v>
      </c>
      <c r="L46" s="7"/>
      <c r="M46" s="7"/>
    </row>
    <row r="47" customFormat="false" ht="15" hidden="false" customHeight="true" outlineLevel="0" collapsed="false">
      <c r="A47" s="4" t="s">
        <v>50</v>
      </c>
      <c r="B47" s="4" t="s">
        <v>223</v>
      </c>
      <c r="C47" s="4" t="s">
        <v>224</v>
      </c>
      <c r="D47" s="4" t="s">
        <v>138</v>
      </c>
      <c r="E47" s="5" t="n">
        <v>19504</v>
      </c>
      <c r="F47" s="4" t="n">
        <v>1</v>
      </c>
      <c r="G47" s="4" t="s">
        <v>225</v>
      </c>
      <c r="H47" s="4" t="n">
        <v>31.8326</v>
      </c>
      <c r="I47" s="4" t="n">
        <v>-86.62731</v>
      </c>
      <c r="J47" s="4" t="s">
        <v>226</v>
      </c>
      <c r="K47" s="6" t="str">
        <f aca="false">HYPERLINK("https://www.google.com/search?q=Greenville+-+Butler+County+Public+Library+Greenville+AL+library+website","Search")</f>
        <v>Search</v>
      </c>
      <c r="L47" s="7"/>
      <c r="M47" s="7"/>
    </row>
    <row r="48" customFormat="false" ht="15" hidden="false" customHeight="true" outlineLevel="0" collapsed="false">
      <c r="A48" s="4" t="s">
        <v>50</v>
      </c>
      <c r="B48" s="4" t="s">
        <v>227</v>
      </c>
      <c r="C48" s="4" t="s">
        <v>228</v>
      </c>
      <c r="D48" s="4" t="s">
        <v>93</v>
      </c>
      <c r="E48" s="5" t="n">
        <v>13166</v>
      </c>
      <c r="F48" s="4" t="n">
        <v>1</v>
      </c>
      <c r="G48" s="4" t="s">
        <v>229</v>
      </c>
      <c r="H48" s="4" t="n">
        <v>30.27243</v>
      </c>
      <c r="I48" s="4" t="n">
        <v>-87.69019</v>
      </c>
      <c r="J48" s="4" t="s">
        <v>230</v>
      </c>
      <c r="K48" s="6" t="str">
        <f aca="false">HYPERLINK("https://www.google.com/search?q=Gulf+Shores+-+Thomas+B.+Norton+Public+Library+Gulf+Shores+AL+library+website","Search")</f>
        <v>Search</v>
      </c>
      <c r="L48" s="7"/>
      <c r="M48" s="7"/>
    </row>
    <row r="49" customFormat="false" ht="15" hidden="false" customHeight="true" outlineLevel="0" collapsed="false">
      <c r="A49" s="4" t="s">
        <v>50</v>
      </c>
      <c r="B49" s="4" t="s">
        <v>231</v>
      </c>
      <c r="C49" s="4" t="s">
        <v>232</v>
      </c>
      <c r="D49" s="4" t="s">
        <v>53</v>
      </c>
      <c r="E49" s="5" t="n">
        <v>46094</v>
      </c>
      <c r="F49" s="4" t="n">
        <v>3</v>
      </c>
      <c r="G49" s="4" t="s">
        <v>233</v>
      </c>
      <c r="H49" s="4" t="n">
        <v>33.17959</v>
      </c>
      <c r="I49" s="4" t="n">
        <v>-86.60878</v>
      </c>
      <c r="J49" s="4" t="s">
        <v>234</v>
      </c>
      <c r="K49" s="6" t="str">
        <f aca="false">HYPERLINK("https://www.google.com/search?q=Harrison+Regional+Library+System+Columbiana+AL+library+website","Search")</f>
        <v>Search</v>
      </c>
      <c r="L49" s="7"/>
      <c r="M49" s="7"/>
    </row>
    <row r="50" customFormat="false" ht="15" hidden="false" customHeight="true" outlineLevel="0" collapsed="false">
      <c r="A50" s="4" t="s">
        <v>50</v>
      </c>
      <c r="B50" s="4" t="s">
        <v>235</v>
      </c>
      <c r="C50" s="4" t="s">
        <v>236</v>
      </c>
      <c r="D50" s="4" t="s">
        <v>156</v>
      </c>
      <c r="E50" s="5" t="n">
        <v>22927</v>
      </c>
      <c r="F50" s="4" t="n">
        <v>1</v>
      </c>
      <c r="G50" s="4" t="s">
        <v>237</v>
      </c>
      <c r="H50" s="4" t="n">
        <v>34.44414</v>
      </c>
      <c r="I50" s="4" t="n">
        <v>-86.93497</v>
      </c>
      <c r="J50" s="4" t="s">
        <v>238</v>
      </c>
      <c r="K50" s="6" t="str">
        <f aca="false">HYPERLINK("https://www.google.com/search?q=Hartselle+-+William+Bradford+Huie+Library+Of+Hartselle+Hartselle+AL+library+website","Search")</f>
        <v>Search</v>
      </c>
      <c r="L50" s="7"/>
      <c r="M50" s="7"/>
    </row>
    <row r="51" customFormat="false" ht="15" hidden="false" customHeight="true" outlineLevel="0" collapsed="false">
      <c r="A51" s="4" t="s">
        <v>50</v>
      </c>
      <c r="B51" s="4" t="s">
        <v>239</v>
      </c>
      <c r="C51" s="4" t="s">
        <v>240</v>
      </c>
      <c r="D51" s="4" t="s">
        <v>53</v>
      </c>
      <c r="E51" s="5" t="n">
        <v>20374</v>
      </c>
      <c r="F51" s="4" t="n">
        <v>1</v>
      </c>
      <c r="G51" s="4" t="s">
        <v>241</v>
      </c>
      <c r="H51" s="4" t="n">
        <v>33.28904</v>
      </c>
      <c r="I51" s="4" t="n">
        <v>-86.84258</v>
      </c>
      <c r="J51" s="4" t="s">
        <v>242</v>
      </c>
      <c r="K51" s="6" t="str">
        <f aca="false">HYPERLINK("https://www.google.com/search?q=Helena+-+Jane+B.+Holmes+Public+Library+Helena+AL+library+website","Search")</f>
        <v>Search</v>
      </c>
      <c r="L51" s="7"/>
      <c r="M51" s="7"/>
    </row>
    <row r="52" customFormat="false" ht="15" hidden="false" customHeight="true" outlineLevel="0" collapsed="false">
      <c r="A52" s="4" t="s">
        <v>50</v>
      </c>
      <c r="B52" s="4" t="s">
        <v>243</v>
      </c>
      <c r="C52" s="4" t="s">
        <v>244</v>
      </c>
      <c r="D52" s="4" t="s">
        <v>98</v>
      </c>
      <c r="E52" s="5" t="n">
        <v>25174</v>
      </c>
      <c r="F52" s="4" t="n">
        <v>1</v>
      </c>
      <c r="G52" s="4" t="s">
        <v>245</v>
      </c>
      <c r="H52" s="4" t="n">
        <v>33.47544</v>
      </c>
      <c r="I52" s="4" t="n">
        <v>-86.79552</v>
      </c>
      <c r="J52" s="4" t="s">
        <v>246</v>
      </c>
      <c r="K52" s="6" t="str">
        <f aca="false">HYPERLINK("https://www.google.com/search?q=Homewood+Public+Library+Homewood+AL+library+website","Search")</f>
        <v>Search</v>
      </c>
      <c r="L52" s="7"/>
      <c r="M52" s="7"/>
    </row>
    <row r="53" customFormat="false" ht="15" hidden="false" customHeight="true" outlineLevel="0" collapsed="false">
      <c r="A53" s="4" t="s">
        <v>50</v>
      </c>
      <c r="B53" s="4" t="s">
        <v>247</v>
      </c>
      <c r="C53" s="4" t="s">
        <v>248</v>
      </c>
      <c r="D53" s="4" t="s">
        <v>98</v>
      </c>
      <c r="E53" s="5" t="n">
        <v>85959</v>
      </c>
      <c r="F53" s="4" t="n">
        <v>1</v>
      </c>
      <c r="G53" s="4" t="s">
        <v>249</v>
      </c>
      <c r="H53" s="4" t="n">
        <v>33.38729</v>
      </c>
      <c r="I53" s="4" t="n">
        <v>-86.80492</v>
      </c>
      <c r="J53" s="4" t="s">
        <v>250</v>
      </c>
      <c r="K53" s="6" t="str">
        <f aca="false">HYPERLINK("https://www.google.com/search?q=Hoover+Public+Library+Hoover+AL+library+website","Search")</f>
        <v>Search</v>
      </c>
      <c r="L53" s="7"/>
      <c r="M53" s="7"/>
    </row>
    <row r="54" customFormat="false" ht="15" hidden="false" customHeight="true" outlineLevel="0" collapsed="false">
      <c r="A54" s="4" t="s">
        <v>50</v>
      </c>
      <c r="B54" s="4" t="s">
        <v>251</v>
      </c>
      <c r="C54" s="4" t="s">
        <v>252</v>
      </c>
      <c r="D54" s="4" t="s">
        <v>63</v>
      </c>
      <c r="E54" s="5" t="n">
        <v>151407</v>
      </c>
      <c r="F54" s="4" t="n">
        <v>1</v>
      </c>
      <c r="G54" s="4" t="s">
        <v>253</v>
      </c>
      <c r="H54" s="4" t="n">
        <v>32.83156</v>
      </c>
      <c r="I54" s="4" t="n">
        <v>-85.76546</v>
      </c>
      <c r="J54" s="4" t="s">
        <v>254</v>
      </c>
      <c r="K54" s="6" t="str">
        <f aca="false">HYPERLINK("https://www.google.com/search?q=Horseshoe+Bend+Regional+Library+Dadeville+AL+library+website","Search")</f>
        <v>Search</v>
      </c>
      <c r="L54" s="7"/>
      <c r="M54" s="7"/>
    </row>
    <row r="55" customFormat="false" ht="15" hidden="false" customHeight="true" outlineLevel="0" collapsed="false">
      <c r="A55" s="4" t="s">
        <v>50</v>
      </c>
      <c r="B55" s="4" t="s">
        <v>255</v>
      </c>
      <c r="C55" s="4" t="s">
        <v>256</v>
      </c>
      <c r="D55" s="4" t="s">
        <v>98</v>
      </c>
      <c r="E55" s="5" t="n">
        <v>15202</v>
      </c>
      <c r="F55" s="4" t="n">
        <v>1</v>
      </c>
      <c r="G55" s="4" t="s">
        <v>257</v>
      </c>
      <c r="H55" s="4" t="n">
        <v>33.4481</v>
      </c>
      <c r="I55" s="4" t="n">
        <v>-86.997</v>
      </c>
      <c r="J55" s="4" t="s">
        <v>258</v>
      </c>
      <c r="K55" s="6" t="str">
        <f aca="false">HYPERLINK("https://www.google.com/search?q=Hueytown+Public+Library+Hueytown+AL+library+website","Search")</f>
        <v>Search</v>
      </c>
      <c r="L55" s="7"/>
      <c r="M55" s="7"/>
    </row>
    <row r="56" customFormat="false" ht="15" hidden="false" customHeight="true" outlineLevel="0" collapsed="false">
      <c r="A56" s="4" t="s">
        <v>50</v>
      </c>
      <c r="B56" s="4" t="s">
        <v>259</v>
      </c>
      <c r="C56" s="4" t="s">
        <v>260</v>
      </c>
      <c r="D56" s="4" t="s">
        <v>261</v>
      </c>
      <c r="E56" s="5" t="n">
        <v>379453</v>
      </c>
      <c r="F56" s="4" t="n">
        <v>10</v>
      </c>
      <c r="G56" s="4" t="s">
        <v>262</v>
      </c>
      <c r="H56" s="4" t="n">
        <v>34.72314</v>
      </c>
      <c r="I56" s="4" t="n">
        <v>-86.5904</v>
      </c>
      <c r="J56" s="4" t="s">
        <v>263</v>
      </c>
      <c r="K56" s="6" t="str">
        <f aca="false">HYPERLINK("https://www.google.com/search?q=Huntsville+-+Madison+County+Public+Library+Huntsville+AL+library+website","Search")</f>
        <v>Search</v>
      </c>
      <c r="L56" s="7"/>
      <c r="M56" s="7"/>
    </row>
    <row r="57" customFormat="false" ht="15" hidden="false" customHeight="true" outlineLevel="0" collapsed="false">
      <c r="A57" s="4" t="s">
        <v>50</v>
      </c>
      <c r="B57" s="4" t="s">
        <v>264</v>
      </c>
      <c r="C57" s="4" t="s">
        <v>265</v>
      </c>
      <c r="D57" s="4" t="s">
        <v>98</v>
      </c>
      <c r="E57" s="5" t="n">
        <v>13226</v>
      </c>
      <c r="F57" s="4" t="n">
        <v>1</v>
      </c>
      <c r="G57" s="4" t="s">
        <v>266</v>
      </c>
      <c r="H57" s="4" t="n">
        <v>33.53775</v>
      </c>
      <c r="I57" s="4" t="n">
        <v>-86.70653</v>
      </c>
      <c r="J57" s="4" t="s">
        <v>267</v>
      </c>
      <c r="K57" s="6" t="str">
        <f aca="false">HYPERLINK("https://www.google.com/search?q=Irondale+Public+Library+Irondale+AL+library+website","Search")</f>
        <v>Search</v>
      </c>
      <c r="L57" s="7"/>
      <c r="M57" s="7"/>
    </row>
    <row r="58" customFormat="false" ht="15" hidden="false" customHeight="true" outlineLevel="0" collapsed="false">
      <c r="A58" s="4" t="s">
        <v>50</v>
      </c>
      <c r="B58" s="4" t="s">
        <v>268</v>
      </c>
      <c r="C58" s="4" t="s">
        <v>269</v>
      </c>
      <c r="D58" s="4" t="s">
        <v>73</v>
      </c>
      <c r="E58" s="5" t="n">
        <v>12972</v>
      </c>
      <c r="F58" s="4" t="n">
        <v>1</v>
      </c>
      <c r="G58" s="4" t="s">
        <v>270</v>
      </c>
      <c r="H58" s="4" t="n">
        <v>33.81274</v>
      </c>
      <c r="I58" s="4" t="n">
        <v>-85.76128</v>
      </c>
      <c r="J58" s="4" t="s">
        <v>271</v>
      </c>
      <c r="K58" s="6" t="str">
        <f aca="false">HYPERLINK("https://www.google.com/search?q=Jacksonville+Public+Library+Jacksonville+AL+library+website","Search")</f>
        <v>Search</v>
      </c>
      <c r="L58" s="7"/>
      <c r="M58" s="7"/>
    </row>
    <row r="59" customFormat="false" ht="15" hidden="false" customHeight="true" outlineLevel="0" collapsed="false">
      <c r="A59" s="4" t="s">
        <v>50</v>
      </c>
      <c r="B59" s="4" t="s">
        <v>272</v>
      </c>
      <c r="C59" s="4" t="s">
        <v>273</v>
      </c>
      <c r="D59" s="4" t="s">
        <v>274</v>
      </c>
      <c r="E59" s="5" t="n">
        <v>13278</v>
      </c>
      <c r="F59" s="4" t="n">
        <v>1</v>
      </c>
      <c r="G59" s="4" t="s">
        <v>275</v>
      </c>
      <c r="H59" s="4" t="n">
        <v>33.83348</v>
      </c>
      <c r="I59" s="4" t="n">
        <v>-87.27475</v>
      </c>
      <c r="J59" s="4" t="s">
        <v>276</v>
      </c>
      <c r="K59" s="6" t="str">
        <f aca="false">HYPERLINK("https://www.google.com/search?q=Jasper+Public+Library+Jasper+AL+library+website","Search")</f>
        <v>Search</v>
      </c>
      <c r="L59" s="7"/>
      <c r="M59" s="7"/>
    </row>
    <row r="60" customFormat="false" ht="15" hidden="false" customHeight="true" outlineLevel="0" collapsed="false">
      <c r="A60" s="4" t="s">
        <v>50</v>
      </c>
      <c r="B60" s="4" t="s">
        <v>277</v>
      </c>
      <c r="C60" s="4" t="s">
        <v>278</v>
      </c>
      <c r="D60" s="4" t="s">
        <v>279</v>
      </c>
      <c r="E60" s="5" t="n">
        <v>30608</v>
      </c>
      <c r="F60" s="4" t="n">
        <v>1</v>
      </c>
      <c r="G60" s="4" t="s">
        <v>280</v>
      </c>
      <c r="H60" s="4" t="n">
        <v>34.47607</v>
      </c>
      <c r="I60" s="4" t="n">
        <v>-87.2948</v>
      </c>
      <c r="J60" s="4" t="s">
        <v>281</v>
      </c>
      <c r="K60" s="6" t="str">
        <f aca="false">HYPERLINK("https://www.google.com/search?q=Lawrence+County+Public+Library+Moulton+AL+library+website","Search")</f>
        <v>Search</v>
      </c>
      <c r="L60" s="7"/>
      <c r="M60" s="7"/>
    </row>
    <row r="61" customFormat="false" ht="15" hidden="false" customHeight="true" outlineLevel="0" collapsed="false">
      <c r="A61" s="4" t="s">
        <v>50</v>
      </c>
      <c r="B61" s="4" t="s">
        <v>282</v>
      </c>
      <c r="C61" s="4" t="s">
        <v>283</v>
      </c>
      <c r="D61" s="4" t="s">
        <v>98</v>
      </c>
      <c r="E61" s="5" t="n">
        <v>12026</v>
      </c>
      <c r="F61" s="4" t="n">
        <v>1</v>
      </c>
      <c r="G61" s="4" t="s">
        <v>284</v>
      </c>
      <c r="H61" s="4" t="n">
        <v>33.54348</v>
      </c>
      <c r="I61" s="4" t="n">
        <v>-86.54165</v>
      </c>
      <c r="J61" s="4" t="s">
        <v>285</v>
      </c>
      <c r="K61" s="6" t="str">
        <f aca="false">HYPERLINK("https://www.google.com/search?q=Leeds+-+Jane+Culbreth+Library+Leeds+AL+library+website","Search")</f>
        <v>Search</v>
      </c>
      <c r="L61" s="7"/>
      <c r="M61" s="7"/>
    </row>
    <row r="62" customFormat="false" ht="15" hidden="false" customHeight="true" outlineLevel="0" collapsed="false">
      <c r="A62" s="4" t="s">
        <v>50</v>
      </c>
      <c r="B62" s="4" t="s">
        <v>286</v>
      </c>
      <c r="C62" s="4" t="s">
        <v>287</v>
      </c>
      <c r="D62" s="4" t="s">
        <v>288</v>
      </c>
      <c r="E62" s="5" t="n">
        <v>10269</v>
      </c>
      <c r="F62" s="4" t="n">
        <v>1</v>
      </c>
      <c r="G62" s="4" t="s">
        <v>289</v>
      </c>
      <c r="H62" s="4" t="n">
        <v>31.71627</v>
      </c>
      <c r="I62" s="4" t="n">
        <v>-86.2613</v>
      </c>
      <c r="J62" s="4" t="s">
        <v>290</v>
      </c>
      <c r="K62" s="6" t="str">
        <f aca="false">HYPERLINK("https://www.google.com/search?q=Luverne+Public+Library+Luverne+AL+library+website","Search")</f>
        <v>Search</v>
      </c>
      <c r="L62" s="7"/>
      <c r="M62" s="7"/>
    </row>
    <row r="63" customFormat="false" ht="15" hidden="false" customHeight="true" outlineLevel="0" collapsed="false">
      <c r="A63" s="4" t="s">
        <v>50</v>
      </c>
      <c r="B63" s="4" t="s">
        <v>291</v>
      </c>
      <c r="C63" s="4" t="s">
        <v>292</v>
      </c>
      <c r="D63" s="4" t="s">
        <v>293</v>
      </c>
      <c r="E63" s="5" t="n">
        <v>17895</v>
      </c>
      <c r="F63" s="4" t="n">
        <v>1</v>
      </c>
      <c r="G63" s="4" t="s">
        <v>294</v>
      </c>
      <c r="H63" s="4" t="n">
        <v>32.42155</v>
      </c>
      <c r="I63" s="4" t="n">
        <v>-85.6888</v>
      </c>
      <c r="J63" s="4" t="s">
        <v>295</v>
      </c>
      <c r="K63" s="6" t="str">
        <f aca="false">HYPERLINK("https://www.google.com/search?q=Macon+County+-+Tuskegee+Public+Library+Tuskegee+AL+library+website","Search")</f>
        <v>Search</v>
      </c>
      <c r="L63" s="7"/>
      <c r="M63" s="7"/>
    </row>
    <row r="64" customFormat="false" ht="15" hidden="false" customHeight="true" outlineLevel="0" collapsed="false">
      <c r="A64" s="4" t="s">
        <v>50</v>
      </c>
      <c r="B64" s="4" t="s">
        <v>296</v>
      </c>
      <c r="C64" s="4" t="s">
        <v>297</v>
      </c>
      <c r="D64" s="4" t="s">
        <v>58</v>
      </c>
      <c r="E64" s="5" t="n">
        <v>47523</v>
      </c>
      <c r="F64" s="4" t="n">
        <v>0</v>
      </c>
      <c r="G64" s="4" t="s">
        <v>298</v>
      </c>
      <c r="H64" s="4" t="n">
        <v>34.38388</v>
      </c>
      <c r="I64" s="4" t="n">
        <v>-86.28418</v>
      </c>
      <c r="J64" s="4" t="s">
        <v>299</v>
      </c>
      <c r="K64" s="6" t="str">
        <f aca="false">HYPERLINK("https://www.google.com/search?q=Marshall+County+Cooperative+Library+Guntersville+AL+library+website","Search")</f>
        <v>Search</v>
      </c>
      <c r="L64" s="7"/>
      <c r="M64" s="7"/>
    </row>
    <row r="65" customFormat="false" ht="15" hidden="false" customHeight="true" outlineLevel="0" collapsed="false">
      <c r="A65" s="4" t="s">
        <v>50</v>
      </c>
      <c r="B65" s="4" t="s">
        <v>300</v>
      </c>
      <c r="C65" s="4" t="s">
        <v>301</v>
      </c>
      <c r="D65" s="4" t="s">
        <v>302</v>
      </c>
      <c r="E65" s="5" t="n">
        <v>16117</v>
      </c>
      <c r="F65" s="4" t="n">
        <v>1</v>
      </c>
      <c r="G65" s="4" t="s">
        <v>303</v>
      </c>
      <c r="H65" s="4" t="n">
        <v>32.47686</v>
      </c>
      <c r="I65" s="4" t="n">
        <v>-86.36258</v>
      </c>
      <c r="J65" s="4" t="s">
        <v>304</v>
      </c>
      <c r="K65" s="6" t="str">
        <f aca="false">HYPERLINK("https://www.google.com/search?q=Millbrook+Public+Library+Millbrook+AL+library+website","Search")</f>
        <v>Search</v>
      </c>
      <c r="L65" s="7"/>
      <c r="M65" s="7"/>
    </row>
    <row r="66" customFormat="false" ht="15" hidden="false" customHeight="true" outlineLevel="0" collapsed="false">
      <c r="A66" s="4" t="s">
        <v>50</v>
      </c>
      <c r="B66" s="4" t="s">
        <v>305</v>
      </c>
      <c r="C66" s="4" t="s">
        <v>306</v>
      </c>
      <c r="D66" s="4" t="s">
        <v>306</v>
      </c>
      <c r="E66" s="5" t="n">
        <v>371723</v>
      </c>
      <c r="F66" s="4" t="n">
        <v>9</v>
      </c>
      <c r="G66" s="4" t="s">
        <v>307</v>
      </c>
      <c r="H66" s="4" t="n">
        <v>30.68715</v>
      </c>
      <c r="I66" s="4" t="n">
        <v>-88.0507</v>
      </c>
      <c r="J66" s="4" t="s">
        <v>308</v>
      </c>
      <c r="K66" s="6" t="str">
        <f aca="false">HYPERLINK("https://www.google.com/search?q=Mobile+Public+Library+Mobile+AL+library+website","Search")</f>
        <v>Search</v>
      </c>
      <c r="L66" s="7"/>
      <c r="M66" s="7"/>
    </row>
    <row r="67" customFormat="false" ht="15" hidden="false" customHeight="true" outlineLevel="0" collapsed="false">
      <c r="A67" s="4" t="s">
        <v>50</v>
      </c>
      <c r="B67" s="4" t="s">
        <v>309</v>
      </c>
      <c r="C67" s="4" t="s">
        <v>310</v>
      </c>
      <c r="D67" s="4" t="s">
        <v>311</v>
      </c>
      <c r="E67" s="5" t="n">
        <v>20459</v>
      </c>
      <c r="F67" s="4" t="n">
        <v>1</v>
      </c>
      <c r="G67" s="4" t="s">
        <v>312</v>
      </c>
      <c r="H67" s="4" t="n">
        <v>31.52798</v>
      </c>
      <c r="I67" s="4" t="n">
        <v>-87.32492</v>
      </c>
      <c r="J67" s="4" t="s">
        <v>313</v>
      </c>
      <c r="K67" s="6" t="str">
        <f aca="false">HYPERLINK("https://www.google.com/search?q=Monroe+County+Public+Library+Monroeville+AL+library+website","Search")</f>
        <v>Search</v>
      </c>
      <c r="L67" s="7"/>
      <c r="M67" s="7"/>
    </row>
    <row r="68" customFormat="false" ht="15" hidden="false" customHeight="true" outlineLevel="0" collapsed="false">
      <c r="A68" s="4" t="s">
        <v>50</v>
      </c>
      <c r="B68" s="4" t="s">
        <v>314</v>
      </c>
      <c r="C68" s="4" t="s">
        <v>315</v>
      </c>
      <c r="D68" s="4" t="s">
        <v>315</v>
      </c>
      <c r="E68" s="5" t="n">
        <v>224639</v>
      </c>
      <c r="F68" s="4" t="n">
        <v>10</v>
      </c>
      <c r="G68" s="4" t="s">
        <v>316</v>
      </c>
      <c r="H68" s="4" t="n">
        <v>32.37192</v>
      </c>
      <c r="I68" s="4" t="n">
        <v>-86.30546</v>
      </c>
      <c r="J68" s="4" t="s">
        <v>317</v>
      </c>
      <c r="K68" s="6" t="str">
        <f aca="false">HYPERLINK("https://www.google.com/search?q=Montgomery+City-County+Public+Library+Montgomery+AL+library+website","Search")</f>
        <v>Search</v>
      </c>
      <c r="L68" s="7"/>
      <c r="M68" s="7"/>
    </row>
    <row r="69" customFormat="false" ht="15" hidden="false" customHeight="true" outlineLevel="0" collapsed="false">
      <c r="A69" s="4" t="s">
        <v>50</v>
      </c>
      <c r="B69" s="4" t="s">
        <v>318</v>
      </c>
      <c r="C69" s="4" t="s">
        <v>319</v>
      </c>
      <c r="D69" s="4" t="s">
        <v>320</v>
      </c>
      <c r="E69" s="5" t="n">
        <v>20049</v>
      </c>
      <c r="F69" s="4" t="n">
        <v>1</v>
      </c>
      <c r="G69" s="4" t="s">
        <v>321</v>
      </c>
      <c r="H69" s="4" t="n">
        <v>33.59392</v>
      </c>
      <c r="I69" s="4" t="n">
        <v>-86.49467</v>
      </c>
      <c r="J69" s="4" t="s">
        <v>322</v>
      </c>
      <c r="K69" s="6" t="str">
        <f aca="false">HYPERLINK("https://www.google.com/search?q=Moody+-+Doris+Stanley+Memorial+Library+Moody+AL+library+website","Search")</f>
        <v>Search</v>
      </c>
      <c r="L69" s="7"/>
      <c r="M69" s="7"/>
    </row>
    <row r="70" customFormat="false" ht="15" hidden="false" customHeight="true" outlineLevel="0" collapsed="false">
      <c r="A70" s="4" t="s">
        <v>50</v>
      </c>
      <c r="B70" s="4" t="s">
        <v>323</v>
      </c>
      <c r="C70" s="4" t="s">
        <v>324</v>
      </c>
      <c r="D70" s="4" t="s">
        <v>98</v>
      </c>
      <c r="E70" s="5" t="n">
        <v>20034</v>
      </c>
      <c r="F70" s="4" t="n">
        <v>1</v>
      </c>
      <c r="G70" s="4" t="s">
        <v>325</v>
      </c>
      <c r="H70" s="4" t="n">
        <v>33.50147</v>
      </c>
      <c r="I70" s="4" t="n">
        <v>-86.75644</v>
      </c>
      <c r="J70" s="4" t="s">
        <v>326</v>
      </c>
      <c r="K70" s="6" t="str">
        <f aca="false">HYPERLINK("https://www.google.com/search?q=Mountain+Brook+-+Emmet+O%60Neal+Library+Mountain+Brook+AL+library+website","Search")</f>
        <v>Search</v>
      </c>
      <c r="L70" s="7"/>
      <c r="M70" s="7"/>
    </row>
    <row r="71" customFormat="false" ht="15" hidden="false" customHeight="true" outlineLevel="0" collapsed="false">
      <c r="A71" s="4" t="s">
        <v>50</v>
      </c>
      <c r="B71" s="4" t="s">
        <v>327</v>
      </c>
      <c r="C71" s="4" t="s">
        <v>328</v>
      </c>
      <c r="D71" s="4" t="s">
        <v>329</v>
      </c>
      <c r="E71" s="5" t="n">
        <v>19173</v>
      </c>
      <c r="F71" s="4" t="n">
        <v>1</v>
      </c>
      <c r="G71" s="4" t="s">
        <v>330</v>
      </c>
      <c r="H71" s="4" t="n">
        <v>34.74443</v>
      </c>
      <c r="I71" s="4" t="n">
        <v>-87.64661</v>
      </c>
      <c r="J71" s="4" t="s">
        <v>331</v>
      </c>
      <c r="K71" s="6" t="str">
        <f aca="false">HYPERLINK("https://www.google.com/search?q=Muscle+Shoals+Public+Library+Muscle+Shoals+AL+library+website","Search")</f>
        <v>Search</v>
      </c>
      <c r="L71" s="7"/>
      <c r="M71" s="7"/>
    </row>
    <row r="72" customFormat="false" ht="15" hidden="false" customHeight="true" outlineLevel="0" collapsed="false">
      <c r="A72" s="4" t="s">
        <v>50</v>
      </c>
      <c r="B72" s="4" t="s">
        <v>332</v>
      </c>
      <c r="C72" s="4" t="s">
        <v>102</v>
      </c>
      <c r="D72" s="4" t="s">
        <v>53</v>
      </c>
      <c r="E72" s="5" t="n">
        <v>51100</v>
      </c>
      <c r="F72" s="4" t="n">
        <v>2</v>
      </c>
      <c r="G72" s="4" t="s">
        <v>333</v>
      </c>
      <c r="H72" s="4" t="n">
        <v>33.36516</v>
      </c>
      <c r="I72" s="4" t="n">
        <v>-86.71669</v>
      </c>
      <c r="J72" s="4" t="s">
        <v>334</v>
      </c>
      <c r="K72" s="6" t="str">
        <f aca="false">HYPERLINK("https://www.google.com/search?q=North+Shelby+Library+Birmingham+AL+library+website","Search")</f>
        <v>Search</v>
      </c>
      <c r="L72" s="7"/>
      <c r="M72" s="7"/>
    </row>
    <row r="73" customFormat="false" ht="15" hidden="false" customHeight="true" outlineLevel="0" collapsed="false">
      <c r="A73" s="4" t="s">
        <v>50</v>
      </c>
      <c r="B73" s="4" t="s">
        <v>335</v>
      </c>
      <c r="C73" s="4" t="s">
        <v>336</v>
      </c>
      <c r="D73" s="4" t="s">
        <v>320</v>
      </c>
      <c r="E73" s="5" t="n">
        <v>10642</v>
      </c>
      <c r="F73" s="4" t="n">
        <v>1</v>
      </c>
      <c r="G73" s="4" t="s">
        <v>337</v>
      </c>
      <c r="H73" s="4" t="n">
        <v>33.6814</v>
      </c>
      <c r="I73" s="4" t="n">
        <v>-86.39647</v>
      </c>
      <c r="J73" s="4" t="s">
        <v>338</v>
      </c>
      <c r="K73" s="6" t="str">
        <f aca="false">HYPERLINK("https://www.google.com/search?q=Odenville+Public+Library+Odenville+AL+library+website","Search")</f>
        <v>Search</v>
      </c>
      <c r="L73" s="7"/>
      <c r="M73" s="7"/>
    </row>
    <row r="74" customFormat="false" ht="15" hidden="false" customHeight="true" outlineLevel="0" collapsed="false">
      <c r="A74" s="4" t="s">
        <v>50</v>
      </c>
      <c r="B74" s="4" t="s">
        <v>339</v>
      </c>
      <c r="C74" s="4" t="s">
        <v>340</v>
      </c>
      <c r="D74" s="4" t="s">
        <v>107</v>
      </c>
      <c r="E74" s="5" t="n">
        <v>43817</v>
      </c>
      <c r="F74" s="4" t="n">
        <v>1</v>
      </c>
      <c r="G74" s="4" t="s">
        <v>341</v>
      </c>
      <c r="H74" s="4" t="n">
        <v>33.94416</v>
      </c>
      <c r="I74" s="4" t="n">
        <v>-86.47539</v>
      </c>
      <c r="J74" s="4" t="s">
        <v>342</v>
      </c>
      <c r="K74" s="6" t="str">
        <f aca="false">HYPERLINK("https://www.google.com/search?q=Oneonta+Public+Library+Oneonta+AL+library+website","Search")</f>
        <v>Search</v>
      </c>
      <c r="L74" s="7"/>
      <c r="M74" s="7"/>
    </row>
    <row r="75" customFormat="false" ht="15" hidden="false" customHeight="true" outlineLevel="0" collapsed="false">
      <c r="A75" s="4" t="s">
        <v>50</v>
      </c>
      <c r="B75" s="4" t="s">
        <v>343</v>
      </c>
      <c r="C75" s="4" t="s">
        <v>344</v>
      </c>
      <c r="D75" s="4" t="s">
        <v>83</v>
      </c>
      <c r="E75" s="5" t="n">
        <v>31135</v>
      </c>
      <c r="F75" s="4" t="n">
        <v>1</v>
      </c>
      <c r="G75" s="4" t="s">
        <v>345</v>
      </c>
      <c r="H75" s="4" t="n">
        <v>32.64917</v>
      </c>
      <c r="I75" s="4" t="n">
        <v>-85.37588</v>
      </c>
      <c r="J75" s="4" t="s">
        <v>346</v>
      </c>
      <c r="K75" s="6" t="str">
        <f aca="false">HYPERLINK("https://www.google.com/search?q=Opelika+Public+Library+Opelika+AL+library+website","Search")</f>
        <v>Search</v>
      </c>
      <c r="L75" s="7"/>
      <c r="M75" s="7"/>
    </row>
    <row r="76" customFormat="false" ht="15" hidden="false" customHeight="true" outlineLevel="0" collapsed="false">
      <c r="A76" s="4" t="s">
        <v>50</v>
      </c>
      <c r="B76" s="4" t="s">
        <v>347</v>
      </c>
      <c r="C76" s="4" t="s">
        <v>348</v>
      </c>
      <c r="D76" s="4" t="s">
        <v>68</v>
      </c>
      <c r="E76" s="5" t="n">
        <v>12765</v>
      </c>
      <c r="F76" s="4" t="n">
        <v>1</v>
      </c>
      <c r="G76" s="4" t="s">
        <v>349</v>
      </c>
      <c r="H76" s="4" t="n">
        <v>31.30539</v>
      </c>
      <c r="I76" s="4" t="n">
        <v>-86.25497</v>
      </c>
      <c r="J76" s="4" t="s">
        <v>350</v>
      </c>
      <c r="K76" s="6" t="str">
        <f aca="false">HYPERLINK("https://www.google.com/search?q=Opp+Public+Library+Opp+AL+library+website","Search")</f>
        <v>Search</v>
      </c>
      <c r="L76" s="7"/>
      <c r="M76" s="7"/>
    </row>
    <row r="77" customFormat="false" ht="15" hidden="false" customHeight="true" outlineLevel="0" collapsed="false">
      <c r="A77" s="4" t="s">
        <v>50</v>
      </c>
      <c r="B77" s="4" t="s">
        <v>351</v>
      </c>
      <c r="C77" s="4" t="s">
        <v>352</v>
      </c>
      <c r="D77" s="4" t="s">
        <v>73</v>
      </c>
      <c r="E77" s="5" t="n">
        <v>21216</v>
      </c>
      <c r="F77" s="4" t="n">
        <v>1</v>
      </c>
      <c r="G77" s="4" t="s">
        <v>353</v>
      </c>
      <c r="H77" s="4" t="n">
        <v>33.6097</v>
      </c>
      <c r="I77" s="4" t="n">
        <v>-85.83546</v>
      </c>
      <c r="J77" s="4" t="s">
        <v>354</v>
      </c>
      <c r="K77" s="6" t="str">
        <f aca="false">HYPERLINK("https://www.google.com/search?q=Oxford+Public+Library+Oxford+AL+library+website","Search")</f>
        <v>Search</v>
      </c>
      <c r="L77" s="7"/>
      <c r="M77" s="7"/>
    </row>
    <row r="78" customFormat="false" ht="15" hidden="false" customHeight="true" outlineLevel="0" collapsed="false">
      <c r="A78" s="4" t="s">
        <v>50</v>
      </c>
      <c r="B78" s="4" t="s">
        <v>355</v>
      </c>
      <c r="C78" s="4" t="s">
        <v>356</v>
      </c>
      <c r="D78" s="4" t="s">
        <v>357</v>
      </c>
      <c r="E78" s="5" t="n">
        <v>36876</v>
      </c>
      <c r="F78" s="4" t="n">
        <v>1</v>
      </c>
      <c r="G78" s="4" t="s">
        <v>358</v>
      </c>
      <c r="H78" s="4" t="n">
        <v>31.45209</v>
      </c>
      <c r="I78" s="4" t="n">
        <v>-85.63339</v>
      </c>
      <c r="J78" s="4" t="s">
        <v>359</v>
      </c>
      <c r="K78" s="6" t="str">
        <f aca="false">HYPERLINK("https://www.google.com/search?q=Ozark+-+Dale+County+Public+Library+Ozark+AL+library+website","Search")</f>
        <v>Search</v>
      </c>
      <c r="L78" s="7"/>
      <c r="M78" s="7"/>
    </row>
    <row r="79" customFormat="false" ht="15" hidden="false" customHeight="true" outlineLevel="0" collapsed="false">
      <c r="A79" s="4" t="s">
        <v>50</v>
      </c>
      <c r="B79" s="4" t="s">
        <v>360</v>
      </c>
      <c r="C79" s="4" t="s">
        <v>361</v>
      </c>
      <c r="D79" s="4" t="s">
        <v>53</v>
      </c>
      <c r="E79" s="5" t="n">
        <v>24231</v>
      </c>
      <c r="F79" s="4" t="n">
        <v>1</v>
      </c>
      <c r="G79" s="4" t="s">
        <v>362</v>
      </c>
      <c r="H79" s="4" t="n">
        <v>33.34454</v>
      </c>
      <c r="I79" s="4" t="n">
        <v>-86.79616</v>
      </c>
      <c r="J79" s="4" t="s">
        <v>363</v>
      </c>
      <c r="K79" s="6" t="str">
        <f aca="false">HYPERLINK("https://www.google.com/search?q=Pelham+Public+Library+Pelham+AL+library+website","Search")</f>
        <v>Search</v>
      </c>
      <c r="L79" s="7"/>
      <c r="M79" s="7"/>
    </row>
    <row r="80" customFormat="false" ht="15" hidden="false" customHeight="true" outlineLevel="0" collapsed="false">
      <c r="A80" s="4" t="s">
        <v>50</v>
      </c>
      <c r="B80" s="4" t="s">
        <v>364</v>
      </c>
      <c r="C80" s="4" t="s">
        <v>365</v>
      </c>
      <c r="D80" s="4" t="s">
        <v>320</v>
      </c>
      <c r="E80" s="5" t="n">
        <v>23428</v>
      </c>
      <c r="F80" s="4" t="n">
        <v>1</v>
      </c>
      <c r="G80" s="4" t="s">
        <v>366</v>
      </c>
      <c r="H80" s="4" t="n">
        <v>33.57662</v>
      </c>
      <c r="I80" s="4" t="n">
        <v>-86.27618</v>
      </c>
      <c r="J80" s="4" t="s">
        <v>367</v>
      </c>
      <c r="K80" s="6" t="str">
        <f aca="false">HYPERLINK("https://www.google.com/search?q=Pell+City+Public+Library+Pell+City+AL+library+website","Search")</f>
        <v>Search</v>
      </c>
      <c r="L80" s="7"/>
      <c r="M80" s="7"/>
    </row>
    <row r="81" customFormat="false" ht="15" hidden="false" customHeight="true" outlineLevel="0" collapsed="false">
      <c r="A81" s="4" t="s">
        <v>50</v>
      </c>
      <c r="B81" s="4" t="s">
        <v>368</v>
      </c>
      <c r="C81" s="4" t="s">
        <v>369</v>
      </c>
      <c r="D81" s="4" t="s">
        <v>370</v>
      </c>
      <c r="E81" s="5" t="n">
        <v>58237</v>
      </c>
      <c r="F81" s="4" t="n">
        <v>1</v>
      </c>
      <c r="G81" s="4" t="s">
        <v>371</v>
      </c>
      <c r="H81" s="4" t="n">
        <v>32.4757</v>
      </c>
      <c r="I81" s="4" t="n">
        <v>-85.01627</v>
      </c>
      <c r="J81" s="4" t="s">
        <v>372</v>
      </c>
      <c r="K81" s="6" t="str">
        <f aca="false">HYPERLINK("https://www.google.com/search?q=Phenix+City+-+Russell+County+Public+Library+Phenix+City+AL+library+website","Search")</f>
        <v>Search</v>
      </c>
      <c r="L81" s="7"/>
      <c r="M81" s="7"/>
    </row>
    <row r="82" customFormat="false" ht="15" hidden="false" customHeight="true" outlineLevel="0" collapsed="false">
      <c r="A82" s="4" t="s">
        <v>50</v>
      </c>
      <c r="B82" s="4" t="s">
        <v>373</v>
      </c>
      <c r="C82" s="4" t="s">
        <v>374</v>
      </c>
      <c r="D82" s="4" t="s">
        <v>375</v>
      </c>
      <c r="E82" s="5" t="n">
        <v>13487</v>
      </c>
      <c r="F82" s="4" t="n">
        <v>1</v>
      </c>
      <c r="G82" s="4" t="s">
        <v>376</v>
      </c>
      <c r="H82" s="4" t="n">
        <v>33.2638</v>
      </c>
      <c r="I82" s="4" t="n">
        <v>-88.09464</v>
      </c>
      <c r="J82" s="4" t="s">
        <v>377</v>
      </c>
      <c r="K82" s="6" t="str">
        <f aca="false">HYPERLINK("https://www.google.com/search?q=Pickens+County+Cooperative+Library+Carrollton+AL+library+website","Search")</f>
        <v>Search</v>
      </c>
      <c r="L82" s="7"/>
      <c r="M82" s="7"/>
    </row>
    <row r="83" customFormat="false" ht="15" hidden="false" customHeight="true" outlineLevel="0" collapsed="false">
      <c r="A83" s="4" t="s">
        <v>50</v>
      </c>
      <c r="B83" s="4" t="s">
        <v>378</v>
      </c>
      <c r="C83" s="4" t="s">
        <v>379</v>
      </c>
      <c r="D83" s="4" t="s">
        <v>306</v>
      </c>
      <c r="E83" s="5" t="n">
        <v>21294</v>
      </c>
      <c r="F83" s="4" t="n">
        <v>2</v>
      </c>
      <c r="G83" s="4" t="s">
        <v>380</v>
      </c>
      <c r="H83" s="4" t="n">
        <v>30.73169</v>
      </c>
      <c r="I83" s="4" t="n">
        <v>-88.08397</v>
      </c>
      <c r="J83" s="4" t="s">
        <v>381</v>
      </c>
      <c r="K83" s="6" t="str">
        <f aca="false">HYPERLINK("https://www.google.com/search?q=Prichard+Public+Library+Prichard+AL+library+website","Search")</f>
        <v>Search</v>
      </c>
      <c r="L83" s="7"/>
      <c r="M83" s="7"/>
    </row>
    <row r="84" customFormat="false" ht="15" hidden="false" customHeight="true" outlineLevel="0" collapsed="false">
      <c r="A84" s="4" t="s">
        <v>50</v>
      </c>
      <c r="B84" s="4" t="s">
        <v>382</v>
      </c>
      <c r="C84" s="4" t="s">
        <v>383</v>
      </c>
      <c r="D84" s="4" t="s">
        <v>384</v>
      </c>
      <c r="E84" s="5" t="n">
        <v>19078</v>
      </c>
      <c r="F84" s="4" t="n">
        <v>1</v>
      </c>
      <c r="G84" s="4" t="s">
        <v>385</v>
      </c>
      <c r="H84" s="4" t="n">
        <v>34.50402</v>
      </c>
      <c r="I84" s="4" t="n">
        <v>-87.72803</v>
      </c>
      <c r="J84" s="4" t="s">
        <v>386</v>
      </c>
      <c r="K84" s="6" t="str">
        <f aca="false">HYPERLINK("https://www.google.com/search?q=Russellville+Public+Library+Russellville+AL+library+website","Search")</f>
        <v>Search</v>
      </c>
      <c r="L84" s="7"/>
      <c r="M84" s="7"/>
    </row>
    <row r="85" customFormat="false" ht="15" hidden="false" customHeight="true" outlineLevel="0" collapsed="false">
      <c r="A85" s="4" t="s">
        <v>50</v>
      </c>
      <c r="B85" s="4" t="s">
        <v>387</v>
      </c>
      <c r="C85" s="4" t="s">
        <v>388</v>
      </c>
      <c r="D85" s="4" t="s">
        <v>389</v>
      </c>
      <c r="E85" s="5" t="n">
        <v>36784</v>
      </c>
      <c r="F85" s="4" t="n">
        <v>1</v>
      </c>
      <c r="G85" s="4" t="s">
        <v>390</v>
      </c>
      <c r="H85" s="4" t="n">
        <v>34.66072</v>
      </c>
      <c r="I85" s="4" t="n">
        <v>-86.03506</v>
      </c>
      <c r="J85" s="4" t="s">
        <v>391</v>
      </c>
      <c r="K85" s="6" t="str">
        <f aca="false">HYPERLINK("https://www.google.com/search?q=Scottsboro+Public+Library+Scottsboro+AL+library+website","Search")</f>
        <v>Search</v>
      </c>
      <c r="L85" s="7"/>
      <c r="M85" s="7"/>
    </row>
    <row r="86" customFormat="false" ht="15" hidden="false" customHeight="true" outlineLevel="0" collapsed="false">
      <c r="A86" s="4" t="s">
        <v>50</v>
      </c>
      <c r="B86" s="4" t="s">
        <v>392</v>
      </c>
      <c r="C86" s="4" t="s">
        <v>393</v>
      </c>
      <c r="D86" s="4" t="s">
        <v>394</v>
      </c>
      <c r="E86" s="5" t="n">
        <v>36098</v>
      </c>
      <c r="F86" s="4" t="n">
        <v>1</v>
      </c>
      <c r="G86" s="4" t="s">
        <v>395</v>
      </c>
      <c r="H86" s="4" t="n">
        <v>32.40903</v>
      </c>
      <c r="I86" s="4" t="n">
        <v>-87.02052</v>
      </c>
      <c r="J86" s="4" t="s">
        <v>396</v>
      </c>
      <c r="K86" s="6" t="str">
        <f aca="false">HYPERLINK("https://www.google.com/search?q=Selma+-+Dallas+County+Public+Library+Selma+AL+library+website","Search")</f>
        <v>Search</v>
      </c>
      <c r="L86" s="7"/>
      <c r="M86" s="7"/>
    </row>
    <row r="87" customFormat="false" ht="15" hidden="false" customHeight="true" outlineLevel="0" collapsed="false">
      <c r="A87" s="4" t="s">
        <v>50</v>
      </c>
      <c r="B87" s="4" t="s">
        <v>397</v>
      </c>
      <c r="C87" s="4" t="s">
        <v>398</v>
      </c>
      <c r="D87" s="4" t="s">
        <v>329</v>
      </c>
      <c r="E87" s="5" t="n">
        <v>13135</v>
      </c>
      <c r="F87" s="4" t="n">
        <v>1</v>
      </c>
      <c r="G87" s="4" t="s">
        <v>399</v>
      </c>
      <c r="H87" s="4" t="n">
        <v>34.76106</v>
      </c>
      <c r="I87" s="4" t="n">
        <v>-87.69857</v>
      </c>
      <c r="J87" s="4" t="s">
        <v>400</v>
      </c>
      <c r="K87" s="6" t="str">
        <f aca="false">HYPERLINK("https://www.google.com/search?q=Sheffield+Public+Library+Sheffield+AL+library+website","Search")</f>
        <v>Search</v>
      </c>
      <c r="L87" s="7"/>
      <c r="M87" s="7"/>
    </row>
    <row r="88" customFormat="false" ht="15" hidden="false" customHeight="true" outlineLevel="0" collapsed="false">
      <c r="A88" s="4" t="s">
        <v>50</v>
      </c>
      <c r="B88" s="4" t="s">
        <v>401</v>
      </c>
      <c r="C88" s="4" t="s">
        <v>402</v>
      </c>
      <c r="D88" s="4" t="s">
        <v>320</v>
      </c>
      <c r="E88" s="5" t="n">
        <v>11142</v>
      </c>
      <c r="F88" s="4" t="n">
        <v>1</v>
      </c>
      <c r="G88" s="4" t="s">
        <v>403</v>
      </c>
      <c r="H88" s="4" t="n">
        <v>33.7741</v>
      </c>
      <c r="I88" s="4" t="n">
        <v>-86.47325</v>
      </c>
      <c r="J88" s="4" t="s">
        <v>404</v>
      </c>
      <c r="K88" s="6" t="str">
        <f aca="false">HYPERLINK("https://www.google.com/search?q=Springville+Public+Library+Springville+AL+library+website","Search")</f>
        <v>Search</v>
      </c>
      <c r="L88" s="7"/>
      <c r="M88" s="7"/>
    </row>
    <row r="89" customFormat="false" ht="15" hidden="false" customHeight="true" outlineLevel="0" collapsed="false">
      <c r="A89" s="4" t="s">
        <v>50</v>
      </c>
      <c r="B89" s="4" t="s">
        <v>405</v>
      </c>
      <c r="C89" s="4" t="s">
        <v>406</v>
      </c>
      <c r="D89" s="4" t="s">
        <v>407</v>
      </c>
      <c r="E89" s="5" t="n">
        <v>11939</v>
      </c>
      <c r="F89" s="4" t="n">
        <v>1</v>
      </c>
      <c r="G89" s="4" t="s">
        <v>408</v>
      </c>
      <c r="H89" s="4" t="n">
        <v>33.17179</v>
      </c>
      <c r="I89" s="4" t="n">
        <v>-86.25069</v>
      </c>
      <c r="J89" s="4" t="s">
        <v>409</v>
      </c>
      <c r="K89" s="6" t="str">
        <f aca="false">HYPERLINK("https://www.google.com/search?q=Sylacauga+-+B.+B.+Comer+Memorial+Library+Sylacauga+AL+library+website","Search")</f>
        <v>Search</v>
      </c>
      <c r="L89" s="7"/>
      <c r="M89" s="7"/>
    </row>
    <row r="90" customFormat="false" ht="15" hidden="false" customHeight="true" outlineLevel="0" collapsed="false">
      <c r="A90" s="4" t="s">
        <v>50</v>
      </c>
      <c r="B90" s="4" t="s">
        <v>410</v>
      </c>
      <c r="C90" s="4" t="s">
        <v>407</v>
      </c>
      <c r="D90" s="4" t="s">
        <v>407</v>
      </c>
      <c r="E90" s="5" t="n">
        <v>15300</v>
      </c>
      <c r="F90" s="4" t="n">
        <v>1</v>
      </c>
      <c r="G90" s="4" t="s">
        <v>411</v>
      </c>
      <c r="H90" s="4" t="n">
        <v>33.43319</v>
      </c>
      <c r="I90" s="4" t="n">
        <v>-86.09958</v>
      </c>
      <c r="J90" s="4" t="s">
        <v>412</v>
      </c>
      <c r="K90" s="6" t="str">
        <f aca="false">HYPERLINK("https://www.google.com/search?q=Talladega+-+Armstrong-Osborne+Public+Library+Talladega+AL+library+website","Search")</f>
        <v>Search</v>
      </c>
      <c r="L90" s="7"/>
      <c r="M90" s="7"/>
    </row>
    <row r="91" customFormat="false" ht="15" hidden="false" customHeight="true" outlineLevel="0" collapsed="false">
      <c r="A91" s="4" t="s">
        <v>50</v>
      </c>
      <c r="B91" s="4" t="s">
        <v>413</v>
      </c>
      <c r="C91" s="4" t="s">
        <v>414</v>
      </c>
      <c r="D91" s="4" t="s">
        <v>415</v>
      </c>
      <c r="E91" s="5" t="n">
        <v>26983</v>
      </c>
      <c r="F91" s="4" t="n">
        <v>1</v>
      </c>
      <c r="G91" s="4" t="s">
        <v>416</v>
      </c>
      <c r="H91" s="4" t="n">
        <v>31.80839</v>
      </c>
      <c r="I91" s="4" t="n">
        <v>-85.9666</v>
      </c>
      <c r="J91" s="4" t="s">
        <v>417</v>
      </c>
      <c r="K91" s="6" t="str">
        <f aca="false">HYPERLINK("https://www.google.com/search?q=Troy+Public+Library+Troy+AL+library+website","Search")</f>
        <v>Search</v>
      </c>
      <c r="L91" s="7"/>
      <c r="M91" s="7"/>
    </row>
    <row r="92" customFormat="false" ht="15" hidden="false" customHeight="true" outlineLevel="0" collapsed="false">
      <c r="A92" s="4" t="s">
        <v>50</v>
      </c>
      <c r="B92" s="4" t="s">
        <v>418</v>
      </c>
      <c r="C92" s="4" t="s">
        <v>419</v>
      </c>
      <c r="D92" s="4" t="s">
        <v>98</v>
      </c>
      <c r="E92" s="5" t="n">
        <v>23048</v>
      </c>
      <c r="F92" s="4" t="n">
        <v>1</v>
      </c>
      <c r="G92" s="4" t="s">
        <v>420</v>
      </c>
      <c r="H92" s="4" t="n">
        <v>33.62666</v>
      </c>
      <c r="I92" s="4" t="n">
        <v>-86.60474</v>
      </c>
      <c r="J92" s="4" t="s">
        <v>421</v>
      </c>
      <c r="K92" s="6" t="str">
        <f aca="false">HYPERLINK("https://www.google.com/search?q=Trussville+Public+Library+Trussville+AL+library+website","Search")</f>
        <v>Search</v>
      </c>
      <c r="L92" s="7"/>
      <c r="M92" s="7"/>
    </row>
    <row r="93" customFormat="false" ht="15" hidden="false" customHeight="true" outlineLevel="0" collapsed="false">
      <c r="A93" s="4" t="s">
        <v>50</v>
      </c>
      <c r="B93" s="4" t="s">
        <v>422</v>
      </c>
      <c r="C93" s="4" t="s">
        <v>423</v>
      </c>
      <c r="D93" s="4" t="s">
        <v>423</v>
      </c>
      <c r="E93" s="5" t="n">
        <v>210758</v>
      </c>
      <c r="F93" s="4" t="n">
        <v>3</v>
      </c>
      <c r="G93" s="4" t="s">
        <v>424</v>
      </c>
      <c r="H93" s="4" t="n">
        <v>33.21632</v>
      </c>
      <c r="I93" s="4" t="n">
        <v>-87.56208</v>
      </c>
      <c r="J93" s="4" t="s">
        <v>425</v>
      </c>
      <c r="K93" s="6" t="str">
        <f aca="false">HYPERLINK("https://www.google.com/search?q=Tuscaloosa+Public+Library+Tuscaloosa+AL+library+website","Search")</f>
        <v>Search</v>
      </c>
      <c r="L93" s="7"/>
      <c r="M93" s="8" t="str">
        <f aca="false">HYPERLINK("https://tuscaloosa.overdrive.com","https://tuscaloosa.overdrive.com")</f>
        <v>https://tuscaloosa.overdrive.com</v>
      </c>
    </row>
    <row r="94" customFormat="false" ht="15" hidden="false" customHeight="true" outlineLevel="0" collapsed="false">
      <c r="A94" s="4" t="s">
        <v>50</v>
      </c>
      <c r="B94" s="4" t="s">
        <v>426</v>
      </c>
      <c r="C94" s="4" t="s">
        <v>427</v>
      </c>
      <c r="D94" s="4" t="s">
        <v>329</v>
      </c>
      <c r="E94" s="5" t="n">
        <v>12758</v>
      </c>
      <c r="F94" s="4" t="n">
        <v>1</v>
      </c>
      <c r="G94" s="4" t="s">
        <v>428</v>
      </c>
      <c r="H94" s="4" t="n">
        <v>34.7366</v>
      </c>
      <c r="I94" s="4" t="n">
        <v>-87.70356</v>
      </c>
      <c r="J94" s="4" t="s">
        <v>429</v>
      </c>
      <c r="K94" s="6" t="str">
        <f aca="false">HYPERLINK("https://www.google.com/search?q=Tuscumbia+-+Helen+Keller+Public+Library+Tuscumbia+AL+library+website","Search")</f>
        <v>Search</v>
      </c>
      <c r="L94" s="7"/>
      <c r="M94" s="7"/>
    </row>
    <row r="95" customFormat="false" ht="15" hidden="false" customHeight="true" outlineLevel="0" collapsed="false">
      <c r="A95" s="4" t="s">
        <v>50</v>
      </c>
      <c r="B95" s="4" t="s">
        <v>430</v>
      </c>
      <c r="C95" s="4" t="s">
        <v>431</v>
      </c>
      <c r="D95" s="4" t="s">
        <v>432</v>
      </c>
      <c r="E95" s="5" t="n">
        <v>32865</v>
      </c>
      <c r="F95" s="4" t="n">
        <v>2</v>
      </c>
      <c r="G95" s="4" t="s">
        <v>433</v>
      </c>
      <c r="H95" s="4" t="n">
        <v>32.83811</v>
      </c>
      <c r="I95" s="4" t="n">
        <v>-85.17754</v>
      </c>
      <c r="J95" s="4" t="s">
        <v>434</v>
      </c>
      <c r="K95" s="6" t="str">
        <f aca="false">HYPERLINK("https://www.google.com/search?q=Valley+-+H.+Grady+Bradshaw+%2F+Chambers+County+Library+Valley+AL+library+website","Search")</f>
        <v>Search</v>
      </c>
      <c r="L95" s="7"/>
      <c r="M95" s="7"/>
    </row>
    <row r="96" customFormat="false" ht="15" hidden="false" customHeight="true" outlineLevel="0" collapsed="false">
      <c r="A96" s="4" t="s">
        <v>50</v>
      </c>
      <c r="B96" s="4" t="s">
        <v>435</v>
      </c>
      <c r="C96" s="4" t="s">
        <v>436</v>
      </c>
      <c r="D96" s="4" t="s">
        <v>98</v>
      </c>
      <c r="E96" s="5" t="n">
        <v>34317</v>
      </c>
      <c r="F96" s="4" t="n">
        <v>1</v>
      </c>
      <c r="G96" s="4" t="s">
        <v>437</v>
      </c>
      <c r="H96" s="4" t="n">
        <v>33.43139</v>
      </c>
      <c r="I96" s="4" t="n">
        <v>-86.78849</v>
      </c>
      <c r="J96" s="4" t="s">
        <v>438</v>
      </c>
      <c r="K96" s="6" t="str">
        <f aca="false">HYPERLINK("https://www.google.com/search?q=Vestavia+Hills+Library+In+The+Forest+Vestavia+Hills+AL+library+website","Search")</f>
        <v>Search</v>
      </c>
      <c r="L96" s="7"/>
      <c r="M96" s="7"/>
    </row>
    <row r="97" customFormat="false" ht="15" hidden="false" customHeight="true" outlineLevel="0" collapsed="false">
      <c r="A97" s="4" t="s">
        <v>50</v>
      </c>
      <c r="B97" s="4" t="s">
        <v>439</v>
      </c>
      <c r="C97" s="4" t="s">
        <v>440</v>
      </c>
      <c r="D97" s="4" t="s">
        <v>441</v>
      </c>
      <c r="E97" s="5" t="n">
        <v>15976</v>
      </c>
      <c r="F97" s="4" t="n">
        <v>2</v>
      </c>
      <c r="G97" s="4" t="s">
        <v>442</v>
      </c>
      <c r="H97" s="4" t="n">
        <v>31.46113</v>
      </c>
      <c r="I97" s="4" t="n">
        <v>-88.24377</v>
      </c>
      <c r="J97" s="4" t="s">
        <v>443</v>
      </c>
      <c r="K97" s="6" t="str">
        <f aca="false">HYPERLINK("https://www.google.com/search?q=Washington+County+Public+Library+Chatom+AL+library+website","Search")</f>
        <v>Search</v>
      </c>
      <c r="L97" s="7"/>
      <c r="M97" s="7"/>
    </row>
    <row r="98" customFormat="false" ht="15" hidden="false" customHeight="true" outlineLevel="0" collapsed="false">
      <c r="A98" s="4" t="s">
        <v>50</v>
      </c>
      <c r="B98" s="4" t="s">
        <v>444</v>
      </c>
      <c r="C98" s="4" t="s">
        <v>445</v>
      </c>
      <c r="D98" s="4" t="s">
        <v>446</v>
      </c>
      <c r="E98" s="5" t="n">
        <v>10206</v>
      </c>
      <c r="F98" s="4" t="n">
        <v>3</v>
      </c>
      <c r="G98" s="4" t="s">
        <v>447</v>
      </c>
      <c r="H98" s="4" t="n">
        <v>31.99186</v>
      </c>
      <c r="I98" s="4" t="n">
        <v>-87.28978</v>
      </c>
      <c r="J98" s="4" t="s">
        <v>448</v>
      </c>
      <c r="K98" s="6" t="str">
        <f aca="false">HYPERLINK("https://www.google.com/search?q=Wilcox+County+Library+Camden+AL+library+website","Search")</f>
        <v>Search</v>
      </c>
      <c r="L98" s="7"/>
      <c r="M98" s="7"/>
    </row>
    <row r="99" customFormat="false" ht="15" hidden="false" customHeight="true" outlineLevel="0" collapsed="false">
      <c r="A99" s="4" t="s">
        <v>449</v>
      </c>
      <c r="B99" s="4" t="s">
        <v>450</v>
      </c>
      <c r="C99" s="4" t="s">
        <v>451</v>
      </c>
      <c r="D99" s="4" t="s">
        <v>452</v>
      </c>
      <c r="E99" s="5" t="n">
        <v>17486</v>
      </c>
      <c r="F99" s="4" t="n">
        <v>3</v>
      </c>
      <c r="G99" s="4" t="s">
        <v>453</v>
      </c>
      <c r="H99" s="4" t="n">
        <v>34.48277</v>
      </c>
      <c r="I99" s="4" t="n">
        <v>-91.55885</v>
      </c>
      <c r="J99" s="4" t="s">
        <v>454</v>
      </c>
      <c r="K99" s="6" t="str">
        <f aca="false">HYPERLINK("https://www.google.com/search?q=Arkansas+County+Library+Stuttgart+AR+library+website","Search")</f>
        <v>Search</v>
      </c>
      <c r="L99" s="7"/>
      <c r="M99" s="7"/>
    </row>
    <row r="100" customFormat="false" ht="15" hidden="false" customHeight="true" outlineLevel="0" collapsed="false">
      <c r="A100" s="4" t="s">
        <v>449</v>
      </c>
      <c r="B100" s="4" t="s">
        <v>455</v>
      </c>
      <c r="C100" s="4" t="s">
        <v>456</v>
      </c>
      <c r="D100" s="4" t="s">
        <v>457</v>
      </c>
      <c r="E100" s="5" t="n">
        <v>87100</v>
      </c>
      <c r="F100" s="4" t="n">
        <v>7</v>
      </c>
      <c r="G100" s="4" t="s">
        <v>458</v>
      </c>
      <c r="H100" s="4" t="n">
        <v>35.22397</v>
      </c>
      <c r="I100" s="4" t="n">
        <v>-93.15521</v>
      </c>
      <c r="J100" s="4" t="s">
        <v>459</v>
      </c>
      <c r="K100" s="6" t="str">
        <f aca="false">HYPERLINK("https://www.google.com/search?q=Arkansas+River+Valley+Regional+Library+Dardanelle+AR+library+website","Search")</f>
        <v>Search</v>
      </c>
      <c r="L100" s="7"/>
      <c r="M100" s="7"/>
    </row>
    <row r="101" customFormat="false" ht="15" hidden="false" customHeight="true" outlineLevel="0" collapsed="false">
      <c r="A101" s="4" t="s">
        <v>449</v>
      </c>
      <c r="B101" s="4" t="s">
        <v>460</v>
      </c>
      <c r="C101" s="4" t="s">
        <v>461</v>
      </c>
      <c r="D101" s="4" t="s">
        <v>462</v>
      </c>
      <c r="E101" s="5" t="n">
        <v>20492</v>
      </c>
      <c r="F101" s="4" t="n">
        <v>2</v>
      </c>
      <c r="G101" s="4" t="s">
        <v>463</v>
      </c>
      <c r="H101" s="4" t="n">
        <v>33.22586</v>
      </c>
      <c r="I101" s="4" t="n">
        <v>-91.79607</v>
      </c>
      <c r="J101" s="4" t="s">
        <v>464</v>
      </c>
      <c r="K101" s="6" t="str">
        <f aca="false">HYPERLINK("https://www.google.com/search?q=Ashley+County+Library+Hamburg+AR+library+website","Search")</f>
        <v>Search</v>
      </c>
      <c r="L101" s="7"/>
      <c r="M101" s="7"/>
    </row>
    <row r="102" customFormat="false" ht="15" hidden="false" customHeight="true" outlineLevel="0" collapsed="false">
      <c r="A102" s="4" t="s">
        <v>449</v>
      </c>
      <c r="B102" s="4" t="s">
        <v>465</v>
      </c>
      <c r="C102" s="4" t="s">
        <v>466</v>
      </c>
      <c r="D102" s="4" t="s">
        <v>467</v>
      </c>
      <c r="E102" s="5" t="n">
        <v>38682</v>
      </c>
      <c r="F102" s="4" t="n">
        <v>6</v>
      </c>
      <c r="G102" s="4" t="s">
        <v>468</v>
      </c>
      <c r="H102" s="4" t="n">
        <v>33.22202</v>
      </c>
      <c r="I102" s="4" t="n">
        <v>-92.66218</v>
      </c>
      <c r="J102" s="4" t="s">
        <v>469</v>
      </c>
      <c r="K102" s="6" t="str">
        <f aca="false">HYPERLINK("https://www.google.com/search?q=Barton+Library+El+Dorado+AR+library+website","Search")</f>
        <v>Search</v>
      </c>
      <c r="L102" s="7"/>
      <c r="M102" s="7"/>
    </row>
    <row r="103" customFormat="false" ht="15" hidden="false" customHeight="true" outlineLevel="0" collapsed="false">
      <c r="A103" s="4" t="s">
        <v>449</v>
      </c>
      <c r="B103" s="4" t="s">
        <v>470</v>
      </c>
      <c r="C103" s="4" t="s">
        <v>471</v>
      </c>
      <c r="D103" s="4" t="s">
        <v>472</v>
      </c>
      <c r="E103" s="5" t="n">
        <v>41932</v>
      </c>
      <c r="F103" s="4" t="n">
        <v>1</v>
      </c>
      <c r="G103" s="4" t="s">
        <v>473</v>
      </c>
      <c r="H103" s="4" t="n">
        <v>36.31502</v>
      </c>
      <c r="I103" s="4" t="n">
        <v>-92.38786</v>
      </c>
      <c r="J103" s="4" t="s">
        <v>474</v>
      </c>
      <c r="K103" s="6" t="str">
        <f aca="false">HYPERLINK("https://www.google.com/search?q=Baxter+County+Library+Mountain+Home+AR+library+website","Search")</f>
        <v>Search</v>
      </c>
      <c r="L103" s="7"/>
      <c r="M103" s="7"/>
    </row>
    <row r="104" customFormat="false" ht="15" hidden="false" customHeight="true" outlineLevel="0" collapsed="false">
      <c r="A104" s="4" t="s">
        <v>449</v>
      </c>
      <c r="B104" s="4" t="s">
        <v>475</v>
      </c>
      <c r="C104" s="4" t="s">
        <v>476</v>
      </c>
      <c r="D104" s="4" t="s">
        <v>477</v>
      </c>
      <c r="E104" s="5" t="n">
        <v>28872</v>
      </c>
      <c r="F104" s="4" t="n">
        <v>1</v>
      </c>
      <c r="G104" s="4" t="s">
        <v>478</v>
      </c>
      <c r="H104" s="4" t="n">
        <v>36.47349</v>
      </c>
      <c r="I104" s="4" t="n">
        <v>-94.24289</v>
      </c>
      <c r="J104" s="4" t="s">
        <v>479</v>
      </c>
      <c r="K104" s="6" t="str">
        <f aca="false">HYPERLINK("https://www.google.com/search?q=Bella+Vista+Public+Library+Bella+Vista+AR+library+website","Search")</f>
        <v>Search</v>
      </c>
      <c r="L104" s="7"/>
      <c r="M104" s="7"/>
    </row>
    <row r="105" customFormat="false" ht="15" hidden="false" customHeight="true" outlineLevel="0" collapsed="false">
      <c r="A105" s="4" t="s">
        <v>449</v>
      </c>
      <c r="B105" s="4" t="s">
        <v>480</v>
      </c>
      <c r="C105" s="4" t="s">
        <v>481</v>
      </c>
      <c r="D105" s="4" t="s">
        <v>477</v>
      </c>
      <c r="E105" s="5" t="n">
        <v>54909</v>
      </c>
      <c r="F105" s="4" t="n">
        <v>1</v>
      </c>
      <c r="G105" s="4" t="s">
        <v>482</v>
      </c>
      <c r="H105" s="4" t="n">
        <v>36.36771</v>
      </c>
      <c r="I105" s="4" t="n">
        <v>-94.20851</v>
      </c>
      <c r="J105" s="4" t="s">
        <v>483</v>
      </c>
      <c r="K105" s="6" t="str">
        <f aca="false">HYPERLINK("https://www.google.com/search?q=Bentonville+Public+Library+Bentonville+AR+library+website","Search")</f>
        <v>Search</v>
      </c>
      <c r="L105" s="7"/>
      <c r="M105" s="7"/>
    </row>
    <row r="106" customFormat="false" ht="15" hidden="false" customHeight="true" outlineLevel="0" collapsed="false">
      <c r="A106" s="4" t="s">
        <v>449</v>
      </c>
      <c r="B106" s="4" t="s">
        <v>484</v>
      </c>
      <c r="C106" s="4" t="s">
        <v>485</v>
      </c>
      <c r="D106" s="4" t="s">
        <v>486</v>
      </c>
      <c r="E106" s="5" t="n">
        <v>37432</v>
      </c>
      <c r="F106" s="4" t="n">
        <v>1</v>
      </c>
      <c r="G106" s="4" t="s">
        <v>487</v>
      </c>
      <c r="H106" s="4" t="n">
        <v>36.23001</v>
      </c>
      <c r="I106" s="4" t="n">
        <v>-93.1096</v>
      </c>
      <c r="J106" s="4" t="s">
        <v>488</v>
      </c>
      <c r="K106" s="6" t="str">
        <f aca="false">HYPERLINK("https://www.google.com/search?q=Boone+County+Library+Harrison+AR+library+website","Search")</f>
        <v>Search</v>
      </c>
      <c r="L106" s="7"/>
      <c r="M106" s="7"/>
    </row>
    <row r="107" customFormat="false" ht="15" hidden="false" customHeight="true" outlineLevel="0" collapsed="false">
      <c r="A107" s="4" t="s">
        <v>449</v>
      </c>
      <c r="B107" s="4" t="s">
        <v>489</v>
      </c>
      <c r="C107" s="4" t="s">
        <v>490</v>
      </c>
      <c r="D107" s="4" t="s">
        <v>491</v>
      </c>
      <c r="E107" s="5" t="n">
        <v>43718</v>
      </c>
      <c r="F107" s="4" t="n">
        <v>7</v>
      </c>
      <c r="G107" s="4" t="s">
        <v>492</v>
      </c>
      <c r="H107" s="4" t="n">
        <v>36.36356</v>
      </c>
      <c r="I107" s="4" t="n">
        <v>-93.56825</v>
      </c>
      <c r="J107" s="4" t="s">
        <v>493</v>
      </c>
      <c r="K107" s="6" t="str">
        <f aca="false">HYPERLINK("https://www.google.com/search?q=Carroll+And+Madison+Library+System+Berryville+AR+library+website","Search")</f>
        <v>Search</v>
      </c>
      <c r="L107" s="7"/>
      <c r="M107" s="7"/>
    </row>
    <row r="108" customFormat="false" ht="15" hidden="false" customHeight="true" outlineLevel="0" collapsed="false">
      <c r="A108" s="4" t="s">
        <v>449</v>
      </c>
      <c r="B108" s="4" t="s">
        <v>494</v>
      </c>
      <c r="C108" s="4" t="s">
        <v>495</v>
      </c>
      <c r="D108" s="4" t="s">
        <v>496</v>
      </c>
      <c r="E108" s="5" t="n">
        <v>336463</v>
      </c>
      <c r="F108" s="4" t="n">
        <v>14</v>
      </c>
      <c r="G108" s="4" t="s">
        <v>497</v>
      </c>
      <c r="H108" s="4" t="n">
        <v>34.74698</v>
      </c>
      <c r="I108" s="4" t="n">
        <v>-92.26735</v>
      </c>
      <c r="J108" s="4" t="s">
        <v>498</v>
      </c>
      <c r="K108" s="6" t="str">
        <f aca="false">HYPERLINK("https://www.google.com/search?q=Central+Arkansas+Library+System+Little+Rock+AR+library+website","Search")</f>
        <v>Search</v>
      </c>
      <c r="L108" s="7"/>
      <c r="M108" s="8" t="str">
        <f aca="false">HYPERLINK("https://cals.overdrive.com","https://cals.overdrive.com")</f>
        <v>https://cals.overdrive.com</v>
      </c>
    </row>
    <row r="109" customFormat="false" ht="15" hidden="false" customHeight="true" outlineLevel="0" collapsed="false">
      <c r="A109" s="4" t="s">
        <v>449</v>
      </c>
      <c r="B109" s="4" t="s">
        <v>499</v>
      </c>
      <c r="C109" s="4" t="s">
        <v>500</v>
      </c>
      <c r="D109" s="4" t="s">
        <v>501</v>
      </c>
      <c r="E109" s="5" t="n">
        <v>22320</v>
      </c>
      <c r="F109" s="4" t="n">
        <v>2</v>
      </c>
      <c r="G109" s="4" t="s">
        <v>502</v>
      </c>
      <c r="H109" s="4" t="n">
        <v>34.12078</v>
      </c>
      <c r="I109" s="4" t="n">
        <v>-93.05405</v>
      </c>
      <c r="J109" s="4" t="s">
        <v>503</v>
      </c>
      <c r="K109" s="6" t="str">
        <f aca="false">HYPERLINK("https://www.google.com/search?q=Clark+County+Library+Arkadelphia+AR+library+website","Search")</f>
        <v>Search</v>
      </c>
      <c r="L109" s="7"/>
      <c r="M109" s="7"/>
    </row>
    <row r="110" customFormat="false" ht="15" hidden="false" customHeight="true" outlineLevel="0" collapsed="false">
      <c r="A110" s="4" t="s">
        <v>449</v>
      </c>
      <c r="B110" s="4" t="s">
        <v>504</v>
      </c>
      <c r="C110" s="4" t="s">
        <v>505</v>
      </c>
      <c r="D110" s="4" t="s">
        <v>506</v>
      </c>
      <c r="E110" s="5" t="n">
        <v>23457</v>
      </c>
      <c r="F110" s="4" t="n">
        <v>2</v>
      </c>
      <c r="G110" s="4" t="s">
        <v>507</v>
      </c>
      <c r="H110" s="4" t="n">
        <v>33.28573</v>
      </c>
      <c r="I110" s="4" t="n">
        <v>-93.23517</v>
      </c>
      <c r="J110" s="4" t="s">
        <v>508</v>
      </c>
      <c r="K110" s="6" t="str">
        <f aca="false">HYPERLINK("https://www.google.com/search?q=Columbia+County+Library+Magnolia+AR+library+website","Search")</f>
        <v>Search</v>
      </c>
      <c r="L110" s="7"/>
      <c r="M110" s="7"/>
    </row>
    <row r="111" customFormat="false" ht="15" hidden="false" customHeight="true" outlineLevel="0" collapsed="false">
      <c r="A111" s="4" t="s">
        <v>449</v>
      </c>
      <c r="B111" s="4" t="s">
        <v>509</v>
      </c>
      <c r="C111" s="4" t="s">
        <v>510</v>
      </c>
      <c r="D111" s="4" t="s">
        <v>511</v>
      </c>
      <c r="E111" s="5" t="n">
        <v>20846</v>
      </c>
      <c r="F111" s="4" t="n">
        <v>1</v>
      </c>
      <c r="G111" s="4" t="s">
        <v>512</v>
      </c>
      <c r="H111" s="4" t="n">
        <v>35.15129</v>
      </c>
      <c r="I111" s="4" t="n">
        <v>-92.74546</v>
      </c>
      <c r="J111" s="4" t="s">
        <v>513</v>
      </c>
      <c r="K111" s="6" t="str">
        <f aca="false">HYPERLINK("https://www.google.com/search?q=Conway+County+Library+Morrilton+AR+library+website","Search")</f>
        <v>Search</v>
      </c>
      <c r="L111" s="7"/>
      <c r="M111" s="7"/>
    </row>
    <row r="112" customFormat="false" ht="15" hidden="false" customHeight="true" outlineLevel="0" collapsed="false">
      <c r="A112" s="4" t="s">
        <v>449</v>
      </c>
      <c r="B112" s="4" t="s">
        <v>514</v>
      </c>
      <c r="C112" s="4" t="s">
        <v>515</v>
      </c>
      <c r="D112" s="4" t="s">
        <v>516</v>
      </c>
      <c r="E112" s="5" t="n">
        <v>63257</v>
      </c>
      <c r="F112" s="4" t="n">
        <v>6</v>
      </c>
      <c r="G112" s="4" t="s">
        <v>517</v>
      </c>
      <c r="H112" s="4" t="n">
        <v>35.43667</v>
      </c>
      <c r="I112" s="4" t="n">
        <v>-94.34443</v>
      </c>
      <c r="J112" s="4" t="s">
        <v>518</v>
      </c>
      <c r="K112" s="6" t="str">
        <f aca="false">HYPERLINK("https://www.google.com/search?q=Crawford+County+Library+System+Van+Buren+AR+library+website","Search")</f>
        <v>Search</v>
      </c>
      <c r="L112" s="7"/>
      <c r="M112" s="7"/>
    </row>
    <row r="113" customFormat="false" ht="15" hidden="false" customHeight="true" outlineLevel="0" collapsed="false">
      <c r="A113" s="4" t="s">
        <v>449</v>
      </c>
      <c r="B113" s="4" t="s">
        <v>519</v>
      </c>
      <c r="C113" s="4" t="s">
        <v>520</v>
      </c>
      <c r="D113" s="4" t="s">
        <v>521</v>
      </c>
      <c r="E113" s="5" t="n">
        <v>133860</v>
      </c>
      <c r="F113" s="4" t="n">
        <v>8</v>
      </c>
      <c r="G113" s="4" t="s">
        <v>522</v>
      </c>
      <c r="H113" s="4" t="n">
        <v>35.83348</v>
      </c>
      <c r="I113" s="4" t="n">
        <v>-90.70749</v>
      </c>
      <c r="J113" s="4" t="s">
        <v>523</v>
      </c>
      <c r="K113" s="6" t="str">
        <f aca="false">HYPERLINK("https://www.google.com/search?q=Crowley+Ridge+Regional+Library+Jonesboro+AR+library+website","Search")</f>
        <v>Search</v>
      </c>
      <c r="L113" s="7"/>
      <c r="M113" s="7"/>
    </row>
    <row r="114" customFormat="false" ht="15" hidden="false" customHeight="true" outlineLevel="0" collapsed="false">
      <c r="A114" s="4" t="s">
        <v>449</v>
      </c>
      <c r="B114" s="4" t="s">
        <v>524</v>
      </c>
      <c r="C114" s="4" t="s">
        <v>525</v>
      </c>
      <c r="D114" s="4" t="s">
        <v>526</v>
      </c>
      <c r="E114" s="5" t="n">
        <v>22739</v>
      </c>
      <c r="F114" s="4" t="n">
        <v>5</v>
      </c>
      <c r="G114" s="4" t="s">
        <v>527</v>
      </c>
      <c r="H114" s="4" t="n">
        <v>35.22412</v>
      </c>
      <c r="I114" s="4" t="n">
        <v>-90.78882</v>
      </c>
      <c r="J114" s="4" t="s">
        <v>528</v>
      </c>
      <c r="K114" s="6" t="str">
        <f aca="false">HYPERLINK("https://www.google.com/search?q=East+Central+Arkansas+Regional+Library+System+Wynne+AR+library+website","Search")</f>
        <v>Search</v>
      </c>
      <c r="L114" s="7"/>
      <c r="M114" s="7"/>
    </row>
    <row r="115" customFormat="false" ht="15" hidden="false" customHeight="true" outlineLevel="0" collapsed="false">
      <c r="A115" s="4" t="s">
        <v>449</v>
      </c>
      <c r="B115" s="4" t="s">
        <v>529</v>
      </c>
      <c r="C115" s="4" t="s">
        <v>511</v>
      </c>
      <c r="D115" s="4" t="s">
        <v>530</v>
      </c>
      <c r="E115" s="5" t="n">
        <v>142552</v>
      </c>
      <c r="F115" s="4" t="n">
        <v>8</v>
      </c>
      <c r="G115" s="4" t="s">
        <v>531</v>
      </c>
      <c r="H115" s="4" t="n">
        <v>35.10361</v>
      </c>
      <c r="I115" s="4" t="n">
        <v>-92.45019</v>
      </c>
      <c r="J115" s="4" t="s">
        <v>532</v>
      </c>
      <c r="K115" s="6" t="str">
        <f aca="false">HYPERLINK("https://www.google.com/search?q=Faulkner-Van+Buren+Regional+Library+System+Conway+AR+library+website","Search")</f>
        <v>Search</v>
      </c>
      <c r="L115" s="7"/>
      <c r="M115" s="7"/>
    </row>
    <row r="116" customFormat="false" ht="15" hidden="false" customHeight="true" outlineLevel="0" collapsed="false">
      <c r="A116" s="4" t="s">
        <v>449</v>
      </c>
      <c r="B116" s="4" t="s">
        <v>533</v>
      </c>
      <c r="C116" s="4" t="s">
        <v>534</v>
      </c>
      <c r="D116" s="4" t="s">
        <v>441</v>
      </c>
      <c r="E116" s="5" t="n">
        <v>87590</v>
      </c>
      <c r="F116" s="4" t="n">
        <v>1</v>
      </c>
      <c r="G116" s="4" t="s">
        <v>535</v>
      </c>
      <c r="H116" s="4" t="n">
        <v>36.06154</v>
      </c>
      <c r="I116" s="4" t="n">
        <v>-94.165</v>
      </c>
      <c r="J116" s="4" t="s">
        <v>536</v>
      </c>
      <c r="K116" s="6" t="str">
        <f aca="false">HYPERLINK("https://www.google.com/search?q=Fayetteville+Public+Library+Fayetteville+AR+library+website","Search")</f>
        <v>Search</v>
      </c>
      <c r="L116" s="7"/>
      <c r="M116" s="7"/>
    </row>
    <row r="117" customFormat="false" ht="15" hidden="false" customHeight="true" outlineLevel="0" collapsed="false">
      <c r="A117" s="4" t="s">
        <v>449</v>
      </c>
      <c r="B117" s="4" t="s">
        <v>537</v>
      </c>
      <c r="C117" s="4" t="s">
        <v>538</v>
      </c>
      <c r="D117" s="4" t="s">
        <v>539</v>
      </c>
      <c r="E117" s="5" t="n">
        <v>13820</v>
      </c>
      <c r="F117" s="4" t="n">
        <v>1</v>
      </c>
      <c r="G117" s="4" t="s">
        <v>540</v>
      </c>
      <c r="H117" s="4" t="n">
        <v>35.00634</v>
      </c>
      <c r="I117" s="4" t="n">
        <v>-90.7836</v>
      </c>
      <c r="J117" s="4" t="s">
        <v>541</v>
      </c>
      <c r="K117" s="6" t="str">
        <f aca="false">HYPERLINK("https://www.google.com/search?q=Forrest+City+Public+Library+Forrest+City+AR+library+website","Search")</f>
        <v>Search</v>
      </c>
      <c r="L117" s="7"/>
      <c r="M117" s="7"/>
    </row>
    <row r="118" customFormat="false" ht="15" hidden="false" customHeight="true" outlineLevel="0" collapsed="false">
      <c r="A118" s="4" t="s">
        <v>449</v>
      </c>
      <c r="B118" s="4" t="s">
        <v>542</v>
      </c>
      <c r="C118" s="4" t="s">
        <v>543</v>
      </c>
      <c r="D118" s="4" t="s">
        <v>544</v>
      </c>
      <c r="E118" s="5" t="n">
        <v>87891</v>
      </c>
      <c r="F118" s="4" t="n">
        <v>4</v>
      </c>
      <c r="G118" s="4" t="s">
        <v>545</v>
      </c>
      <c r="H118" s="4" t="n">
        <v>35.37418</v>
      </c>
      <c r="I118" s="4" t="n">
        <v>-94.39651</v>
      </c>
      <c r="J118" s="4" t="s">
        <v>546</v>
      </c>
      <c r="K118" s="6" t="str">
        <f aca="false">HYPERLINK("https://www.google.com/search?q=Fort+Smith+Public+Library+Fort+Smith+AR+library+website","Search")</f>
        <v>Search</v>
      </c>
      <c r="L118" s="7"/>
      <c r="M118" s="7"/>
    </row>
    <row r="119" customFormat="false" ht="15" hidden="false" customHeight="true" outlineLevel="0" collapsed="false">
      <c r="A119" s="4" t="s">
        <v>449</v>
      </c>
      <c r="B119" s="4" t="s">
        <v>547</v>
      </c>
      <c r="C119" s="4" t="s">
        <v>548</v>
      </c>
      <c r="D119" s="4" t="s">
        <v>549</v>
      </c>
      <c r="E119" s="5" t="n">
        <v>99386</v>
      </c>
      <c r="F119" s="4" t="n">
        <v>1</v>
      </c>
      <c r="G119" s="4" t="s">
        <v>550</v>
      </c>
      <c r="H119" s="4" t="n">
        <v>34.49836</v>
      </c>
      <c r="I119" s="4" t="n">
        <v>-93.0382</v>
      </c>
      <c r="J119" s="4" t="s">
        <v>551</v>
      </c>
      <c r="K119" s="6" t="str">
        <f aca="false">HYPERLINK("https://www.google.com/search?q=Garland+County+Library+Hot+Springs+AR+library+website","Search")</f>
        <v>Search</v>
      </c>
      <c r="L119" s="7"/>
      <c r="M119" s="7"/>
    </row>
    <row r="120" customFormat="false" ht="15" hidden="false" customHeight="true" outlineLevel="0" collapsed="false">
      <c r="A120" s="4" t="s">
        <v>449</v>
      </c>
      <c r="B120" s="4" t="s">
        <v>552</v>
      </c>
      <c r="C120" s="4" t="s">
        <v>553</v>
      </c>
      <c r="D120" s="4" t="s">
        <v>554</v>
      </c>
      <c r="E120" s="5" t="n">
        <v>21532</v>
      </c>
      <c r="F120" s="4" t="n">
        <v>1</v>
      </c>
      <c r="G120" s="4" t="s">
        <v>555</v>
      </c>
      <c r="H120" s="4" t="n">
        <v>33.66449</v>
      </c>
      <c r="I120" s="4" t="n">
        <v>-93.59223</v>
      </c>
      <c r="J120" s="4" t="s">
        <v>556</v>
      </c>
      <c r="K120" s="6" t="str">
        <f aca="false">HYPERLINK("https://www.google.com/search?q=Hempstead+County+Library+Hope+AR+library+website","Search")</f>
        <v>Search</v>
      </c>
      <c r="L120" s="7"/>
      <c r="M120" s="8" t="str">
        <f aca="false">HYPERLINK("https://hempcolib.overdrive.com","https://hempcolib.overdrive.com")</f>
        <v>https://hempcolib.overdrive.com</v>
      </c>
    </row>
    <row r="121" customFormat="false" ht="15" hidden="false" customHeight="true" outlineLevel="0" collapsed="false">
      <c r="A121" s="4" t="s">
        <v>449</v>
      </c>
      <c r="B121" s="4" t="s">
        <v>557</v>
      </c>
      <c r="C121" s="4" t="s">
        <v>558</v>
      </c>
      <c r="D121" s="4" t="s">
        <v>559</v>
      </c>
      <c r="E121" s="5" t="n">
        <v>37825</v>
      </c>
      <c r="F121" s="4" t="n">
        <v>1</v>
      </c>
      <c r="G121" s="4" t="s">
        <v>560</v>
      </c>
      <c r="H121" s="4" t="n">
        <v>35.77153</v>
      </c>
      <c r="I121" s="4" t="n">
        <v>-91.65149</v>
      </c>
      <c r="J121" s="4" t="s">
        <v>561</v>
      </c>
      <c r="K121" s="6" t="str">
        <f aca="false">HYPERLINK("https://www.google.com/search?q=Independence+County+Library+Batesville+AR+library+website","Search")</f>
        <v>Search</v>
      </c>
      <c r="L121" s="7"/>
      <c r="M121" s="7"/>
    </row>
    <row r="122" customFormat="false" ht="15" hidden="false" customHeight="true" outlineLevel="0" collapsed="false">
      <c r="A122" s="4" t="s">
        <v>449</v>
      </c>
      <c r="B122" s="4" t="s">
        <v>562</v>
      </c>
      <c r="C122" s="4" t="s">
        <v>563</v>
      </c>
      <c r="D122" s="4" t="s">
        <v>279</v>
      </c>
      <c r="E122" s="5" t="n">
        <v>16406</v>
      </c>
      <c r="F122" s="4" t="n">
        <v>3</v>
      </c>
      <c r="G122" s="4" t="s">
        <v>564</v>
      </c>
      <c r="H122" s="4" t="n">
        <v>36.06889</v>
      </c>
      <c r="I122" s="4" t="n">
        <v>-90.95543</v>
      </c>
      <c r="J122" s="4" t="s">
        <v>565</v>
      </c>
      <c r="K122" s="6" t="str">
        <f aca="false">HYPERLINK("https://www.google.com/search?q=Lawrence+County+Library+Walnut+Ridge+AR+library+website","Search")</f>
        <v>Search</v>
      </c>
      <c r="L122" s="7"/>
      <c r="M122" s="7"/>
    </row>
    <row r="123" customFormat="false" ht="15" hidden="false" customHeight="true" outlineLevel="0" collapsed="false">
      <c r="A123" s="4" t="s">
        <v>449</v>
      </c>
      <c r="B123" s="4" t="s">
        <v>566</v>
      </c>
      <c r="C123" s="4" t="s">
        <v>567</v>
      </c>
      <c r="D123" s="4" t="s">
        <v>567</v>
      </c>
      <c r="E123" s="5" t="n">
        <v>73309</v>
      </c>
      <c r="F123" s="4" t="n">
        <v>5</v>
      </c>
      <c r="G123" s="4" t="s">
        <v>568</v>
      </c>
      <c r="H123" s="4" t="n">
        <v>34.78528</v>
      </c>
      <c r="I123" s="4" t="n">
        <v>-91.89888</v>
      </c>
      <c r="J123" s="4" t="s">
        <v>569</v>
      </c>
      <c r="K123" s="6" t="str">
        <f aca="false">HYPERLINK("https://www.google.com/search?q=Lonoke+County+Library+System+Lonoke+AR+library+website","Search")</f>
        <v>Search</v>
      </c>
      <c r="L123" s="7"/>
      <c r="M123" s="7"/>
    </row>
    <row r="124" customFormat="false" ht="15" hidden="false" customHeight="true" outlineLevel="0" collapsed="false">
      <c r="A124" s="4" t="s">
        <v>449</v>
      </c>
      <c r="B124" s="4" t="s">
        <v>570</v>
      </c>
      <c r="C124" s="4" t="s">
        <v>571</v>
      </c>
      <c r="D124" s="4" t="s">
        <v>572</v>
      </c>
      <c r="E124" s="5" t="n">
        <v>16694</v>
      </c>
      <c r="F124" s="4" t="n">
        <v>1</v>
      </c>
      <c r="G124" s="4" t="s">
        <v>573</v>
      </c>
      <c r="H124" s="4" t="n">
        <v>36.22562</v>
      </c>
      <c r="I124" s="4" t="n">
        <v>-92.68722</v>
      </c>
      <c r="J124" s="4" t="s">
        <v>574</v>
      </c>
      <c r="K124" s="6" t="str">
        <f aca="false">HYPERLINK("https://www.google.com/search?q=Marion+County+Library+Yellville+AR+library+website","Search")</f>
        <v>Search</v>
      </c>
      <c r="L124" s="7"/>
      <c r="M124" s="7"/>
    </row>
    <row r="125" customFormat="false" ht="15" hidden="false" customHeight="true" outlineLevel="0" collapsed="false">
      <c r="A125" s="4" t="s">
        <v>449</v>
      </c>
      <c r="B125" s="4" t="s">
        <v>575</v>
      </c>
      <c r="C125" s="4" t="s">
        <v>576</v>
      </c>
      <c r="D125" s="4" t="s">
        <v>577</v>
      </c>
      <c r="E125" s="5" t="n">
        <v>189438</v>
      </c>
      <c r="F125" s="4" t="n">
        <v>7</v>
      </c>
      <c r="G125" s="4" t="s">
        <v>578</v>
      </c>
      <c r="H125" s="4" t="n">
        <v>34.36408</v>
      </c>
      <c r="I125" s="4" t="n">
        <v>-92.81195</v>
      </c>
      <c r="J125" s="4" t="s">
        <v>579</v>
      </c>
      <c r="K125" s="6" t="str">
        <f aca="false">HYPERLINK("https://www.google.com/search?q=Mid+Arkansas+Regional+Library+System+Malvern+AR+library+website","Search")</f>
        <v>Search</v>
      </c>
      <c r="L125" s="7"/>
      <c r="M125" s="7"/>
    </row>
    <row r="126" customFormat="false" ht="15" hidden="false" customHeight="true" outlineLevel="0" collapsed="false">
      <c r="A126" s="4" t="s">
        <v>449</v>
      </c>
      <c r="B126" s="4" t="s">
        <v>580</v>
      </c>
      <c r="C126" s="4" t="s">
        <v>581</v>
      </c>
      <c r="D126" s="4" t="s">
        <v>582</v>
      </c>
      <c r="E126" s="5" t="n">
        <v>64204</v>
      </c>
      <c r="F126" s="4" t="n">
        <v>13</v>
      </c>
      <c r="G126" s="4" t="s">
        <v>583</v>
      </c>
      <c r="H126" s="4" t="n">
        <v>35.929</v>
      </c>
      <c r="I126" s="4" t="n">
        <v>-89.9087</v>
      </c>
      <c r="J126" s="4" t="s">
        <v>584</v>
      </c>
      <c r="K126" s="6" t="str">
        <f aca="false">HYPERLINK("https://www.google.com/search?q=Mississippi%2FCrittenden+Regional+Library+Blytheville+AR+library+website","Search")</f>
        <v>Search</v>
      </c>
      <c r="L126" s="7"/>
      <c r="M126" s="7"/>
    </row>
    <row r="127" customFormat="false" ht="15" hidden="false" customHeight="true" outlineLevel="0" collapsed="false">
      <c r="A127" s="4" t="s">
        <v>449</v>
      </c>
      <c r="B127" s="4" t="s">
        <v>585</v>
      </c>
      <c r="C127" s="4" t="s">
        <v>586</v>
      </c>
      <c r="D127" s="4" t="s">
        <v>496</v>
      </c>
      <c r="E127" s="5" t="n">
        <v>65903</v>
      </c>
      <c r="F127" s="4" t="n">
        <v>2</v>
      </c>
      <c r="G127" s="4" t="s">
        <v>587</v>
      </c>
      <c r="H127" s="4" t="n">
        <v>34.78048</v>
      </c>
      <c r="I127" s="4" t="n">
        <v>-92.27002</v>
      </c>
      <c r="J127" s="4" t="s">
        <v>588</v>
      </c>
      <c r="K127" s="6" t="str">
        <f aca="false">HYPERLINK("https://www.google.com/search?q=North+Little+Rock+Public+Library+System+North+Little+Rock+AR+library+website","Search")</f>
        <v>Search</v>
      </c>
      <c r="L127" s="7"/>
      <c r="M127" s="7"/>
    </row>
    <row r="128" customFormat="false" ht="15" hidden="false" customHeight="true" outlineLevel="0" collapsed="false">
      <c r="A128" s="4" t="s">
        <v>449</v>
      </c>
      <c r="B128" s="4" t="s">
        <v>589</v>
      </c>
      <c r="C128" s="4" t="s">
        <v>590</v>
      </c>
      <c r="D128" s="4" t="s">
        <v>591</v>
      </c>
      <c r="E128" s="5" t="n">
        <v>75834</v>
      </c>
      <c r="F128" s="4" t="n">
        <v>5</v>
      </c>
      <c r="G128" s="4" t="s">
        <v>592</v>
      </c>
      <c r="H128" s="4" t="n">
        <v>36.05729</v>
      </c>
      <c r="I128" s="4" t="n">
        <v>-90.50103</v>
      </c>
      <c r="J128" s="4" t="s">
        <v>593</v>
      </c>
      <c r="K128" s="6" t="str">
        <f aca="false">HYPERLINK("https://www.google.com/search?q=Northeast+Arkansas+Regional+Library+Paragould+AR+library+website","Search")</f>
        <v>Search</v>
      </c>
      <c r="L128" s="7"/>
      <c r="M128" s="7"/>
    </row>
    <row r="129" customFormat="false" ht="15" hidden="false" customHeight="true" outlineLevel="0" collapsed="false">
      <c r="A129" s="4" t="s">
        <v>449</v>
      </c>
      <c r="B129" s="4" t="s">
        <v>594</v>
      </c>
      <c r="C129" s="4" t="s">
        <v>595</v>
      </c>
      <c r="D129" s="4" t="s">
        <v>315</v>
      </c>
      <c r="E129" s="5" t="n">
        <v>29052</v>
      </c>
      <c r="F129" s="4" t="n">
        <v>3</v>
      </c>
      <c r="G129" s="4" t="s">
        <v>596</v>
      </c>
      <c r="H129" s="4" t="n">
        <v>34.55626</v>
      </c>
      <c r="I129" s="4" t="n">
        <v>-93.63311</v>
      </c>
      <c r="J129" s="4" t="s">
        <v>597</v>
      </c>
      <c r="K129" s="6" t="str">
        <f aca="false">HYPERLINK("https://www.google.com/search?q=Ouachita+Mountains+Regional+Library+Mt.+Ida+AR+library+website","Search")</f>
        <v>Search</v>
      </c>
      <c r="L129" s="7"/>
      <c r="M129" s="7"/>
    </row>
    <row r="130" customFormat="false" ht="15" hidden="false" customHeight="true" outlineLevel="0" collapsed="false">
      <c r="A130" s="4" t="s">
        <v>449</v>
      </c>
      <c r="B130" s="4" t="s">
        <v>598</v>
      </c>
      <c r="C130" s="4" t="s">
        <v>240</v>
      </c>
      <c r="D130" s="4" t="s">
        <v>599</v>
      </c>
      <c r="E130" s="5" t="n">
        <v>33340</v>
      </c>
      <c r="F130" s="4" t="n">
        <v>6</v>
      </c>
      <c r="G130" s="4" t="s">
        <v>600</v>
      </c>
      <c r="H130" s="4" t="n">
        <v>34.52866</v>
      </c>
      <c r="I130" s="4" t="n">
        <v>-90.59152</v>
      </c>
      <c r="J130" s="4" t="s">
        <v>601</v>
      </c>
      <c r="K130" s="6" t="str">
        <f aca="false">HYPERLINK("https://www.google.com/search?q=Phillips+Lee+Monroe+Regional+Library+System+Helena+AR+library+website","Search")</f>
        <v>Search</v>
      </c>
      <c r="L130" s="7"/>
      <c r="M130" s="7"/>
    </row>
    <row r="131" customFormat="false" ht="15" hidden="false" customHeight="true" outlineLevel="0" collapsed="false">
      <c r="A131" s="4" t="s">
        <v>449</v>
      </c>
      <c r="B131" s="4" t="s">
        <v>602</v>
      </c>
      <c r="C131" s="4" t="s">
        <v>603</v>
      </c>
      <c r="D131" s="4" t="s">
        <v>98</v>
      </c>
      <c r="E131" s="5" t="n">
        <v>66824</v>
      </c>
      <c r="F131" s="4" t="n">
        <v>5</v>
      </c>
      <c r="G131" s="4" t="s">
        <v>604</v>
      </c>
      <c r="H131" s="4" t="n">
        <v>34.22163</v>
      </c>
      <c r="I131" s="4" t="n">
        <v>-92.00113</v>
      </c>
      <c r="J131" s="4" t="s">
        <v>605</v>
      </c>
      <c r="K131" s="6" t="str">
        <f aca="false">HYPERLINK("https://www.google.com/search?q=Pine+Bluff%2FJefferson+County+Library+System+Pine+Bluff+AR+library+website","Search")</f>
        <v>Search</v>
      </c>
      <c r="L131" s="7"/>
      <c r="M131" s="7"/>
    </row>
    <row r="132" customFormat="false" ht="15" hidden="false" customHeight="true" outlineLevel="0" collapsed="false">
      <c r="A132" s="4" t="s">
        <v>449</v>
      </c>
      <c r="B132" s="4" t="s">
        <v>606</v>
      </c>
      <c r="C132" s="4" t="s">
        <v>383</v>
      </c>
      <c r="D132" s="4" t="s">
        <v>607</v>
      </c>
      <c r="E132" s="5" t="n">
        <v>64072</v>
      </c>
      <c r="F132" s="4" t="n">
        <v>4</v>
      </c>
      <c r="G132" s="4" t="s">
        <v>608</v>
      </c>
      <c r="H132" s="4" t="n">
        <v>35.27576</v>
      </c>
      <c r="I132" s="4" t="n">
        <v>-93.13275</v>
      </c>
      <c r="J132" s="4" t="s">
        <v>609</v>
      </c>
      <c r="K132" s="6" t="str">
        <f aca="false">HYPERLINK("https://www.google.com/search?q=Pope+County+Library+System+Russellville+AR+library+website","Search")</f>
        <v>Search</v>
      </c>
      <c r="L132" s="7"/>
      <c r="M132" s="7"/>
    </row>
    <row r="133" customFormat="false" ht="15" hidden="false" customHeight="true" outlineLevel="0" collapsed="false">
      <c r="A133" s="4" t="s">
        <v>449</v>
      </c>
      <c r="B133" s="4" t="s">
        <v>610</v>
      </c>
      <c r="C133" s="4" t="s">
        <v>445</v>
      </c>
      <c r="D133" s="4" t="s">
        <v>611</v>
      </c>
      <c r="E133" s="5" t="n">
        <v>24098</v>
      </c>
      <c r="F133" s="4" t="n">
        <v>2</v>
      </c>
      <c r="G133" s="4" t="s">
        <v>612</v>
      </c>
      <c r="H133" s="4" t="n">
        <v>33.58038</v>
      </c>
      <c r="I133" s="4" t="n">
        <v>-92.8508</v>
      </c>
      <c r="J133" s="4" t="s">
        <v>613</v>
      </c>
      <c r="K133" s="6" t="str">
        <f aca="false">HYPERLINK("https://www.google.com/search?q=Public+Library+Of+Camden+%26+Ouachita+County+Camden+AR+library+website","Search")</f>
        <v>Search</v>
      </c>
      <c r="L133" s="7"/>
      <c r="M133" s="7"/>
    </row>
    <row r="134" customFormat="false" ht="15" hidden="false" customHeight="true" outlineLevel="0" collapsed="false">
      <c r="A134" s="4" t="s">
        <v>449</v>
      </c>
      <c r="B134" s="4" t="s">
        <v>614</v>
      </c>
      <c r="C134" s="4" t="s">
        <v>615</v>
      </c>
      <c r="D134" s="4" t="s">
        <v>477</v>
      </c>
      <c r="E134" s="5" t="n">
        <v>68669</v>
      </c>
      <c r="F134" s="4" t="n">
        <v>1</v>
      </c>
      <c r="G134" s="4" t="s">
        <v>616</v>
      </c>
      <c r="H134" s="4" t="n">
        <v>36.3281</v>
      </c>
      <c r="I134" s="4" t="n">
        <v>-94.14307</v>
      </c>
      <c r="J134" s="4" t="s">
        <v>617</v>
      </c>
      <c r="K134" s="6" t="str">
        <f aca="false">HYPERLINK("https://www.google.com/search?q=Rogers+Public+Library+Rogers+AR+library+website","Search")</f>
        <v>Search</v>
      </c>
      <c r="L134" s="7"/>
      <c r="M134" s="7"/>
    </row>
    <row r="135" customFormat="false" ht="15" hidden="false" customHeight="true" outlineLevel="0" collapsed="false">
      <c r="A135" s="4" t="s">
        <v>449</v>
      </c>
      <c r="B135" s="4" t="s">
        <v>618</v>
      </c>
      <c r="C135" s="4" t="s">
        <v>619</v>
      </c>
      <c r="D135" s="4" t="s">
        <v>544</v>
      </c>
      <c r="E135" s="5" t="n">
        <v>50217</v>
      </c>
      <c r="F135" s="4" t="n">
        <v>5</v>
      </c>
      <c r="G135" s="4" t="s">
        <v>620</v>
      </c>
      <c r="H135" s="4" t="n">
        <v>35.21312</v>
      </c>
      <c r="I135" s="4" t="n">
        <v>-94.25678</v>
      </c>
      <c r="J135" s="4" t="s">
        <v>621</v>
      </c>
      <c r="K135" s="6" t="str">
        <f aca="false">HYPERLINK("https://www.google.com/search?q=Scott+Sebastian+Regional+Library+Greenwood+AR+library+website","Search")</f>
        <v>Search</v>
      </c>
      <c r="L135" s="7"/>
      <c r="M135" s="7"/>
    </row>
    <row r="136" customFormat="false" ht="15" hidden="false" customHeight="true" outlineLevel="0" collapsed="false">
      <c r="A136" s="4" t="s">
        <v>449</v>
      </c>
      <c r="B136" s="4" t="s">
        <v>622</v>
      </c>
      <c r="C136" s="4" t="s">
        <v>623</v>
      </c>
      <c r="D136" s="4" t="s">
        <v>477</v>
      </c>
      <c r="E136" s="5" t="n">
        <v>17101</v>
      </c>
      <c r="F136" s="4" t="n">
        <v>1</v>
      </c>
      <c r="G136" s="4" t="s">
        <v>624</v>
      </c>
      <c r="H136" s="4" t="n">
        <v>36.18173</v>
      </c>
      <c r="I136" s="4" t="n">
        <v>-94.54038</v>
      </c>
      <c r="J136" s="4" t="s">
        <v>625</v>
      </c>
      <c r="K136" s="6" t="str">
        <f aca="false">HYPERLINK("https://www.google.com/search?q=Siloam+Springs+Public+Library+Siloam+Springs+AR+library+website","Search")</f>
        <v>Search</v>
      </c>
      <c r="L136" s="7"/>
      <c r="M136" s="7"/>
    </row>
    <row r="137" customFormat="false" ht="15" hidden="false" customHeight="true" outlineLevel="0" collapsed="false">
      <c r="A137" s="4" t="s">
        <v>449</v>
      </c>
      <c r="B137" s="4" t="s">
        <v>626</v>
      </c>
      <c r="C137" s="4" t="s">
        <v>627</v>
      </c>
      <c r="D137" s="4" t="s">
        <v>628</v>
      </c>
      <c r="E137" s="5" t="n">
        <v>63485</v>
      </c>
      <c r="F137" s="4" t="n">
        <v>10</v>
      </c>
      <c r="G137" s="4" t="s">
        <v>629</v>
      </c>
      <c r="H137" s="4" t="n">
        <v>33.63727</v>
      </c>
      <c r="I137" s="4" t="n">
        <v>-91.79026</v>
      </c>
      <c r="J137" s="4" t="s">
        <v>630</v>
      </c>
      <c r="K137" s="6" t="str">
        <f aca="false">HYPERLINK("https://www.google.com/search?q=Southeast+Arkansas+Regional+Library+Monticello+AR+library+website","Search")</f>
        <v>Search</v>
      </c>
      <c r="L137" s="7"/>
      <c r="M137" s="7"/>
    </row>
    <row r="138" customFormat="false" ht="15" hidden="false" customHeight="true" outlineLevel="0" collapsed="false">
      <c r="A138" s="4" t="s">
        <v>449</v>
      </c>
      <c r="B138" s="4" t="s">
        <v>631</v>
      </c>
      <c r="C138" s="4" t="s">
        <v>632</v>
      </c>
      <c r="D138" s="4" t="s">
        <v>633</v>
      </c>
      <c r="E138" s="5" t="n">
        <v>18970</v>
      </c>
      <c r="F138" s="4" t="n">
        <v>5</v>
      </c>
      <c r="G138" s="4" t="s">
        <v>634</v>
      </c>
      <c r="H138" s="4" t="n">
        <v>33.80268</v>
      </c>
      <c r="I138" s="4" t="n">
        <v>-93.38128</v>
      </c>
      <c r="J138" s="4" t="s">
        <v>635</v>
      </c>
      <c r="K138" s="6" t="str">
        <f aca="false">HYPERLINK("https://www.google.com/search?q=Southwest+Arkansas+Regional+Library+Prescott+AR+library+website","Search")</f>
        <v>Search</v>
      </c>
      <c r="L138" s="7"/>
      <c r="M138" s="7"/>
    </row>
    <row r="139" customFormat="false" ht="15" hidden="false" customHeight="true" outlineLevel="0" collapsed="false">
      <c r="A139" s="4" t="s">
        <v>449</v>
      </c>
      <c r="B139" s="4" t="s">
        <v>636</v>
      </c>
      <c r="C139" s="4" t="s">
        <v>637</v>
      </c>
      <c r="D139" s="4" t="s">
        <v>638</v>
      </c>
      <c r="E139" s="5" t="n">
        <v>68716</v>
      </c>
      <c r="F139" s="4" t="n">
        <v>1</v>
      </c>
      <c r="G139" s="4" t="s">
        <v>639</v>
      </c>
      <c r="H139" s="4" t="n">
        <v>33.42019</v>
      </c>
      <c r="I139" s="4" t="n">
        <v>-94.04871</v>
      </c>
      <c r="J139" s="4" t="s">
        <v>640</v>
      </c>
      <c r="K139" s="6" t="str">
        <f aca="false">HYPERLINK("https://www.google.com/search?q=Texarkana+Public+Library+Texarkana+AR+library+website","Search")</f>
        <v>Search</v>
      </c>
      <c r="L139" s="7"/>
      <c r="M139" s="7"/>
    </row>
    <row r="140" customFormat="false" ht="15" hidden="false" customHeight="true" outlineLevel="0" collapsed="false">
      <c r="A140" s="4" t="s">
        <v>449</v>
      </c>
      <c r="B140" s="4" t="s">
        <v>641</v>
      </c>
      <c r="C140" s="4" t="s">
        <v>642</v>
      </c>
      <c r="D140" s="4" t="s">
        <v>643</v>
      </c>
      <c r="E140" s="5" t="n">
        <v>42468</v>
      </c>
      <c r="F140" s="4" t="n">
        <v>12</v>
      </c>
      <c r="G140" s="4" t="s">
        <v>644</v>
      </c>
      <c r="H140" s="4" t="n">
        <v>34.03697</v>
      </c>
      <c r="I140" s="4" t="n">
        <v>-94.33939</v>
      </c>
      <c r="J140" s="4" t="s">
        <v>645</v>
      </c>
      <c r="K140" s="6" t="str">
        <f aca="false">HYPERLINK("https://www.google.com/search?q=Tri-County+Regional+Library+System+De+Queen+AR+library+website","Search")</f>
        <v>Search</v>
      </c>
      <c r="L140" s="7"/>
      <c r="M140" s="7"/>
    </row>
    <row r="141" customFormat="false" ht="15" hidden="false" customHeight="true" outlineLevel="0" collapsed="false">
      <c r="A141" s="4" t="s">
        <v>449</v>
      </c>
      <c r="B141" s="4" t="s">
        <v>646</v>
      </c>
      <c r="C141" s="4" t="s">
        <v>647</v>
      </c>
      <c r="D141" s="4" t="s">
        <v>389</v>
      </c>
      <c r="E141" s="5" t="n">
        <v>16719</v>
      </c>
      <c r="F141" s="4" t="n">
        <v>2</v>
      </c>
      <c r="G141" s="4" t="s">
        <v>648</v>
      </c>
      <c r="H141" s="4" t="n">
        <v>35.60476</v>
      </c>
      <c r="I141" s="4" t="n">
        <v>-91.28236</v>
      </c>
      <c r="J141" s="4" t="s">
        <v>649</v>
      </c>
      <c r="K141" s="6" t="str">
        <f aca="false">HYPERLINK("https://www.google.com/search?q=W.A.+Billingsley%2FJackson+County+Library+Newport+AR+library+website","Search")</f>
        <v>Search</v>
      </c>
      <c r="L141" s="7"/>
      <c r="M141" s="7"/>
    </row>
    <row r="142" customFormat="false" ht="15" hidden="false" customHeight="true" outlineLevel="0" collapsed="false">
      <c r="A142" s="4" t="s">
        <v>449</v>
      </c>
      <c r="B142" s="4" t="s">
        <v>650</v>
      </c>
      <c r="C142" s="4" t="s">
        <v>534</v>
      </c>
      <c r="D142" s="4" t="s">
        <v>441</v>
      </c>
      <c r="E142" s="5" t="n">
        <v>151597</v>
      </c>
      <c r="F142" s="4" t="n">
        <v>9</v>
      </c>
      <c r="G142" s="4" t="s">
        <v>651</v>
      </c>
      <c r="H142" s="4" t="n">
        <v>36.0346</v>
      </c>
      <c r="I142" s="4" t="n">
        <v>-94.17586</v>
      </c>
      <c r="J142" s="4" t="s">
        <v>652</v>
      </c>
      <c r="K142" s="6" t="str">
        <f aca="false">HYPERLINK("https://www.google.com/search?q=Washington+County+Library+System+Fayetteville+AR+library+website","Search")</f>
        <v>Search</v>
      </c>
      <c r="L142" s="7"/>
      <c r="M142" s="7"/>
    </row>
    <row r="143" customFormat="false" ht="15" hidden="false" customHeight="true" outlineLevel="0" collapsed="false">
      <c r="A143" s="4" t="s">
        <v>449</v>
      </c>
      <c r="B143" s="4" t="s">
        <v>653</v>
      </c>
      <c r="C143" s="4" t="s">
        <v>654</v>
      </c>
      <c r="D143" s="4" t="s">
        <v>655</v>
      </c>
      <c r="E143" s="5" t="n">
        <v>24402</v>
      </c>
      <c r="F143" s="4" t="n">
        <v>1</v>
      </c>
      <c r="G143" s="4" t="s">
        <v>656</v>
      </c>
      <c r="H143" s="4" t="n">
        <v>35.14816</v>
      </c>
      <c r="I143" s="4" t="n">
        <v>-90.19353</v>
      </c>
      <c r="J143" s="4" t="s">
        <v>657</v>
      </c>
      <c r="K143" s="6" t="str">
        <f aca="false">HYPERLINK("https://www.google.com/search?q=West+Memphis+Public+Library+West+Memphis+AR+library+website","Search")</f>
        <v>Search</v>
      </c>
      <c r="L143" s="7"/>
      <c r="M143" s="7"/>
    </row>
    <row r="144" customFormat="false" ht="15" hidden="false" customHeight="true" outlineLevel="0" collapsed="false">
      <c r="A144" s="4" t="s">
        <v>449</v>
      </c>
      <c r="B144" s="4" t="s">
        <v>658</v>
      </c>
      <c r="C144" s="4" t="s">
        <v>659</v>
      </c>
      <c r="D144" s="4" t="s">
        <v>660</v>
      </c>
      <c r="E144" s="5" t="n">
        <v>78753</v>
      </c>
      <c r="F144" s="4" t="n">
        <v>9</v>
      </c>
      <c r="G144" s="4" t="s">
        <v>661</v>
      </c>
      <c r="H144" s="4" t="n">
        <v>35.24737</v>
      </c>
      <c r="I144" s="4" t="n">
        <v>-91.73707</v>
      </c>
      <c r="J144" s="4" t="s">
        <v>662</v>
      </c>
      <c r="K144" s="6" t="str">
        <f aca="false">HYPERLINK("https://www.google.com/search?q=White+County+Regional+Library+System+Searcy+AR+library+website","Search")</f>
        <v>Search</v>
      </c>
      <c r="L144" s="7"/>
      <c r="M144" s="7"/>
    </row>
    <row r="145" customFormat="false" ht="15" hidden="false" customHeight="true" outlineLevel="0" collapsed="false">
      <c r="A145" s="4" t="s">
        <v>449</v>
      </c>
      <c r="B145" s="4" t="s">
        <v>663</v>
      </c>
      <c r="C145" s="4" t="s">
        <v>664</v>
      </c>
      <c r="D145" s="4" t="s">
        <v>665</v>
      </c>
      <c r="E145" s="5" t="n">
        <v>80973</v>
      </c>
      <c r="F145" s="4" t="n">
        <v>15</v>
      </c>
      <c r="G145" s="4" t="s">
        <v>666</v>
      </c>
      <c r="H145" s="4" t="n">
        <v>35.86793</v>
      </c>
      <c r="I145" s="4" t="n">
        <v>-92.12305</v>
      </c>
      <c r="J145" s="4" t="s">
        <v>667</v>
      </c>
      <c r="K145" s="6" t="str">
        <f aca="false">HYPERLINK("https://www.google.com/search?q=White+River+Regional+Library+Mountain+View+AR+library+website","Search")</f>
        <v>Search</v>
      </c>
      <c r="L145" s="7"/>
      <c r="M145" s="7"/>
    </row>
    <row r="146" customFormat="false" ht="15" hidden="false" customHeight="true" outlineLevel="0" collapsed="false">
      <c r="A146" s="4" t="s">
        <v>668</v>
      </c>
      <c r="B146" s="4" t="s">
        <v>669</v>
      </c>
      <c r="C146" s="4" t="s">
        <v>670</v>
      </c>
      <c r="D146" s="4" t="s">
        <v>671</v>
      </c>
      <c r="E146" s="5" t="n">
        <v>66848</v>
      </c>
      <c r="F146" s="4" t="n">
        <v>7</v>
      </c>
      <c r="G146" s="4" t="s">
        <v>672</v>
      </c>
      <c r="H146" s="4" t="n">
        <v>34.50632</v>
      </c>
      <c r="I146" s="4" t="n">
        <v>-109.36791</v>
      </c>
      <c r="J146" s="4" t="s">
        <v>673</v>
      </c>
      <c r="K146" s="6" t="str">
        <f aca="false">HYPERLINK("https://www.google.com/search?q=Apache+County+Library+District+Office+St.+Johns+AZ+library+website","Search")</f>
        <v>Search</v>
      </c>
      <c r="L146" s="7"/>
      <c r="M146" s="7"/>
    </row>
    <row r="147" customFormat="false" ht="15" hidden="false" customHeight="true" outlineLevel="0" collapsed="false">
      <c r="A147" s="4" t="s">
        <v>668</v>
      </c>
      <c r="B147" s="4" t="s">
        <v>674</v>
      </c>
      <c r="C147" s="4" t="s">
        <v>675</v>
      </c>
      <c r="D147" s="4" t="s">
        <v>676</v>
      </c>
      <c r="E147" s="5" t="n">
        <v>39251</v>
      </c>
      <c r="F147" s="4" t="n">
        <v>1</v>
      </c>
      <c r="G147" s="4" t="s">
        <v>677</v>
      </c>
      <c r="H147" s="4" t="n">
        <v>33.42563</v>
      </c>
      <c r="I147" s="4" t="n">
        <v>-111.54606</v>
      </c>
      <c r="J147" s="4" t="s">
        <v>678</v>
      </c>
      <c r="K147" s="6" t="str">
        <f aca="false">HYPERLINK("https://www.google.com/search?q=Apache+Junction+Public+Library+Apache+Junction+AZ+library+website","Search")</f>
        <v>Search</v>
      </c>
      <c r="L147" s="7"/>
      <c r="M147" s="7"/>
    </row>
    <row r="148" customFormat="false" ht="15" hidden="false" customHeight="true" outlineLevel="0" collapsed="false">
      <c r="A148" s="4" t="s">
        <v>668</v>
      </c>
      <c r="B148" s="4" t="s">
        <v>679</v>
      </c>
      <c r="C148" s="4" t="s">
        <v>680</v>
      </c>
      <c r="D148" s="4" t="s">
        <v>681</v>
      </c>
      <c r="E148" s="5" t="n">
        <v>92324</v>
      </c>
      <c r="F148" s="4" t="n">
        <v>2</v>
      </c>
      <c r="G148" s="4" t="s">
        <v>682</v>
      </c>
      <c r="H148" s="4" t="n">
        <v>33.44559</v>
      </c>
      <c r="I148" s="4" t="n">
        <v>-112.30217</v>
      </c>
      <c r="J148" s="4" t="s">
        <v>683</v>
      </c>
      <c r="K148" s="6" t="str">
        <f aca="false">HYPERLINK("https://www.google.com/search?q=Avondale+Public+Library+Avondale+AZ+library+website","Search")</f>
        <v>Search</v>
      </c>
      <c r="L148" s="7"/>
      <c r="M148" s="7"/>
    </row>
    <row r="149" customFormat="false" ht="15" hidden="false" customHeight="true" outlineLevel="0" collapsed="false">
      <c r="A149" s="4" t="s">
        <v>668</v>
      </c>
      <c r="B149" s="4" t="s">
        <v>684</v>
      </c>
      <c r="C149" s="4" t="s">
        <v>685</v>
      </c>
      <c r="D149" s="4" t="s">
        <v>681</v>
      </c>
      <c r="E149" s="5" t="n">
        <v>106316</v>
      </c>
      <c r="F149" s="4" t="n">
        <v>2</v>
      </c>
      <c r="G149" s="4" t="s">
        <v>686</v>
      </c>
      <c r="H149" s="4" t="n">
        <v>33.43436</v>
      </c>
      <c r="I149" s="4" t="n">
        <v>-112.51741</v>
      </c>
      <c r="J149" s="4" t="s">
        <v>687</v>
      </c>
      <c r="K149" s="6" t="str">
        <f aca="false">HYPERLINK("https://www.google.com/search?q=Buckeye+Public+Library+Buckeye+AZ+library+website","Search")</f>
        <v>Search</v>
      </c>
      <c r="L149" s="7"/>
      <c r="M149" s="7"/>
    </row>
    <row r="150" customFormat="false" ht="15" hidden="false" customHeight="true" outlineLevel="0" collapsed="false">
      <c r="A150" s="4" t="s">
        <v>668</v>
      </c>
      <c r="B150" s="4" t="s">
        <v>688</v>
      </c>
      <c r="C150" s="4" t="s">
        <v>689</v>
      </c>
      <c r="D150" s="4" t="s">
        <v>690</v>
      </c>
      <c r="E150" s="5" t="n">
        <v>12430</v>
      </c>
      <c r="F150" s="4" t="n">
        <v>1</v>
      </c>
      <c r="G150" s="4" t="s">
        <v>691</v>
      </c>
      <c r="H150" s="4" t="n">
        <v>34.57136</v>
      </c>
      <c r="I150" s="4" t="n">
        <v>-111.85455</v>
      </c>
      <c r="J150" s="4" t="s">
        <v>692</v>
      </c>
      <c r="K150" s="6" t="str">
        <f aca="false">HYPERLINK("https://www.google.com/search?q=Camp+Verde+Community+Library+Camp+Verde+AZ+library+website","Search")</f>
        <v>Search</v>
      </c>
      <c r="L150" s="7"/>
      <c r="M150" s="7"/>
    </row>
    <row r="151" customFormat="false" ht="15" hidden="false" customHeight="true" outlineLevel="0" collapsed="false">
      <c r="A151" s="4" t="s">
        <v>668</v>
      </c>
      <c r="B151" s="4" t="s">
        <v>693</v>
      </c>
      <c r="C151" s="4" t="s">
        <v>694</v>
      </c>
      <c r="D151" s="4" t="s">
        <v>676</v>
      </c>
      <c r="E151" s="5" t="n">
        <v>58648</v>
      </c>
      <c r="F151" s="4" t="n">
        <v>2</v>
      </c>
      <c r="G151" s="4" t="s">
        <v>695</v>
      </c>
      <c r="H151" s="4" t="n">
        <v>32.8775</v>
      </c>
      <c r="I151" s="4" t="n">
        <v>-111.74961</v>
      </c>
      <c r="J151" s="4" t="s">
        <v>696</v>
      </c>
      <c r="K151" s="6" t="str">
        <f aca="false">HYPERLINK("https://www.google.com/search?q=Casa+Grande+Public+Library+Casa+Grande+AZ+library+website","Search")</f>
        <v>Search</v>
      </c>
      <c r="L151" s="7"/>
      <c r="M151" s="7"/>
    </row>
    <row r="152" customFormat="false" ht="15" hidden="false" customHeight="true" outlineLevel="0" collapsed="false">
      <c r="A152" s="4" t="s">
        <v>668</v>
      </c>
      <c r="B152" s="4" t="s">
        <v>697</v>
      </c>
      <c r="C152" s="4" t="s">
        <v>698</v>
      </c>
      <c r="D152" s="4" t="s">
        <v>681</v>
      </c>
      <c r="E152" s="5" t="n">
        <v>282891</v>
      </c>
      <c r="F152" s="4" t="n">
        <v>4</v>
      </c>
      <c r="G152" s="4" t="s">
        <v>699</v>
      </c>
      <c r="H152" s="4" t="n">
        <v>33.30264</v>
      </c>
      <c r="I152" s="4" t="n">
        <v>-111.83752</v>
      </c>
      <c r="J152" s="4" t="s">
        <v>700</v>
      </c>
      <c r="K152" s="6" t="str">
        <f aca="false">HYPERLINK("https://www.google.com/search?q=Chandler+Public+Library+Chandler+AZ+library+website","Search")</f>
        <v>Search</v>
      </c>
      <c r="L152" s="7"/>
      <c r="M152" s="7"/>
    </row>
    <row r="153" customFormat="false" ht="15" hidden="false" customHeight="true" outlineLevel="0" collapsed="false">
      <c r="A153" s="4" t="s">
        <v>668</v>
      </c>
      <c r="B153" s="4" t="s">
        <v>701</v>
      </c>
      <c r="C153" s="4" t="s">
        <v>702</v>
      </c>
      <c r="D153" s="4" t="s">
        <v>690</v>
      </c>
      <c r="E153" s="5" t="n">
        <v>13662</v>
      </c>
      <c r="F153" s="4" t="n">
        <v>1</v>
      </c>
      <c r="G153" s="4" t="s">
        <v>703</v>
      </c>
      <c r="H153" s="4" t="n">
        <v>34.77341</v>
      </c>
      <c r="I153" s="4" t="n">
        <v>-112.46624</v>
      </c>
      <c r="J153" s="4" t="s">
        <v>704</v>
      </c>
      <c r="K153" s="6" t="str">
        <f aca="false">HYPERLINK("https://www.google.com/search?q=Chino+Valley+Public+Library+Chino+Valley+AZ+library+website","Search")</f>
        <v>Search</v>
      </c>
      <c r="L153" s="7"/>
      <c r="M153" s="7"/>
    </row>
    <row r="154" customFormat="false" ht="15" hidden="false" customHeight="true" outlineLevel="0" collapsed="false">
      <c r="A154" s="4" t="s">
        <v>668</v>
      </c>
      <c r="B154" s="4" t="s">
        <v>705</v>
      </c>
      <c r="C154" s="4" t="s">
        <v>706</v>
      </c>
      <c r="D154" s="4" t="s">
        <v>707</v>
      </c>
      <c r="E154" s="5" t="n">
        <v>126648</v>
      </c>
      <c r="F154" s="4" t="n">
        <v>6</v>
      </c>
      <c r="G154" s="4" t="s">
        <v>708</v>
      </c>
      <c r="H154" s="4" t="n">
        <v>31.44325</v>
      </c>
      <c r="I154" s="4" t="n">
        <v>-109.91662</v>
      </c>
      <c r="J154" s="4" t="s">
        <v>709</v>
      </c>
      <c r="K154" s="6" t="str">
        <f aca="false">HYPERLINK("https://www.google.com/search?q=Cochise+County+Library+District+Bisbee+AZ+library+website","Search")</f>
        <v>Search</v>
      </c>
      <c r="L154" s="7"/>
      <c r="M154" s="8" t="str">
        <f aca="false">HYPERLINK("https://ccld.overdrive.com","https://ccld.overdrive.com")</f>
        <v>https://ccld.overdrive.com</v>
      </c>
    </row>
    <row r="155" customFormat="false" ht="15" hidden="false" customHeight="true" outlineLevel="0" collapsed="false">
      <c r="A155" s="4" t="s">
        <v>668</v>
      </c>
      <c r="B155" s="4" t="s">
        <v>710</v>
      </c>
      <c r="C155" s="4" t="s">
        <v>711</v>
      </c>
      <c r="D155" s="4" t="s">
        <v>676</v>
      </c>
      <c r="E155" s="5" t="n">
        <v>15984</v>
      </c>
      <c r="F155" s="4" t="n">
        <v>1</v>
      </c>
      <c r="G155" s="4" t="s">
        <v>712</v>
      </c>
      <c r="H155" s="4" t="n">
        <v>32.97765</v>
      </c>
      <c r="I155" s="4" t="n">
        <v>-111.51729</v>
      </c>
      <c r="J155" s="4" t="s">
        <v>713</v>
      </c>
      <c r="K155" s="6" t="str">
        <f aca="false">HYPERLINK("https://www.google.com/search?q=Coolidge+Public+Library+Coolidge+AZ+library+website","Search")</f>
        <v>Search</v>
      </c>
      <c r="L155" s="7"/>
      <c r="M155" s="7"/>
    </row>
    <row r="156" customFormat="false" ht="15" hidden="false" customHeight="true" outlineLevel="0" collapsed="false">
      <c r="A156" s="4" t="s">
        <v>668</v>
      </c>
      <c r="B156" s="4" t="s">
        <v>714</v>
      </c>
      <c r="C156" s="4" t="s">
        <v>715</v>
      </c>
      <c r="D156" s="4" t="s">
        <v>690</v>
      </c>
      <c r="E156" s="5" t="n">
        <v>12296</v>
      </c>
      <c r="F156" s="4" t="n">
        <v>1</v>
      </c>
      <c r="G156" s="4" t="s">
        <v>716</v>
      </c>
      <c r="H156" s="4" t="n">
        <v>34.73754</v>
      </c>
      <c r="I156" s="4" t="n">
        <v>-112.02278</v>
      </c>
      <c r="J156" s="4" t="s">
        <v>717</v>
      </c>
      <c r="K156" s="6" t="str">
        <f aca="false">HYPERLINK("https://www.google.com/search?q=Cottonwood+Public+Library+Cottonwood+AZ+library+website","Search")</f>
        <v>Search</v>
      </c>
      <c r="L156" s="7"/>
      <c r="M156" s="7"/>
    </row>
    <row r="157" customFormat="false" ht="15" hidden="false" customHeight="true" outlineLevel="0" collapsed="false">
      <c r="A157" s="4" t="s">
        <v>668</v>
      </c>
      <c r="B157" s="4" t="s">
        <v>718</v>
      </c>
      <c r="C157" s="4" t="s">
        <v>719</v>
      </c>
      <c r="D157" s="4" t="s">
        <v>707</v>
      </c>
      <c r="E157" s="5" t="n">
        <v>15713</v>
      </c>
      <c r="F157" s="4" t="n">
        <v>1</v>
      </c>
      <c r="G157" s="4" t="s">
        <v>720</v>
      </c>
      <c r="H157" s="4" t="n">
        <v>31.3445</v>
      </c>
      <c r="I157" s="4" t="n">
        <v>-109.55332</v>
      </c>
      <c r="J157" s="4" t="s">
        <v>721</v>
      </c>
      <c r="K157" s="6" t="str">
        <f aca="false">HYPERLINK("https://www.google.com/search?q=Douglas+Public+Library+Douglas+AZ+library+website","Search")</f>
        <v>Search</v>
      </c>
      <c r="L157" s="7"/>
      <c r="M157" s="7"/>
    </row>
    <row r="158" customFormat="false" ht="15" hidden="false" customHeight="true" outlineLevel="0" collapsed="false">
      <c r="A158" s="4" t="s">
        <v>668</v>
      </c>
      <c r="B158" s="4" t="s">
        <v>722</v>
      </c>
      <c r="C158" s="4" t="s">
        <v>723</v>
      </c>
      <c r="D158" s="4" t="s">
        <v>724</v>
      </c>
      <c r="E158" s="5" t="n">
        <v>21237</v>
      </c>
      <c r="F158" s="4" t="n">
        <v>1</v>
      </c>
      <c r="G158" s="4" t="s">
        <v>725</v>
      </c>
      <c r="H158" s="4" t="n">
        <v>32.11535</v>
      </c>
      <c r="I158" s="4" t="n">
        <v>-111.0748</v>
      </c>
      <c r="J158" s="4" t="s">
        <v>726</v>
      </c>
      <c r="K158" s="6" t="str">
        <f aca="false">HYPERLINK("https://www.google.com/search?q=Dr.+Fernando+Escalante+Tribal+Library+Tucson+AZ+library+website","Search")</f>
        <v>Search</v>
      </c>
      <c r="L158" s="7"/>
      <c r="M158" s="7"/>
    </row>
    <row r="159" customFormat="false" ht="15" hidden="false" customHeight="true" outlineLevel="0" collapsed="false">
      <c r="A159" s="4" t="s">
        <v>668</v>
      </c>
      <c r="B159" s="4" t="s">
        <v>727</v>
      </c>
      <c r="C159" s="4" t="s">
        <v>728</v>
      </c>
      <c r="D159" s="4" t="s">
        <v>676</v>
      </c>
      <c r="E159" s="5" t="n">
        <v>16748</v>
      </c>
      <c r="F159" s="4" t="n">
        <v>1</v>
      </c>
      <c r="G159" s="4" t="s">
        <v>729</v>
      </c>
      <c r="H159" s="4" t="n">
        <v>32.75996</v>
      </c>
      <c r="I159" s="4" t="n">
        <v>-111.55523</v>
      </c>
      <c r="J159" s="4" t="s">
        <v>730</v>
      </c>
      <c r="K159" s="6" t="str">
        <f aca="false">HYPERLINK("https://www.google.com/search?q=Eloy+Santa+Cruz+Library+Eloy+AZ+library+website","Search")</f>
        <v>Search</v>
      </c>
      <c r="L159" s="7"/>
      <c r="M159" s="7"/>
    </row>
    <row r="160" customFormat="false" ht="15" hidden="false" customHeight="true" outlineLevel="0" collapsed="false">
      <c r="A160" s="4" t="s">
        <v>668</v>
      </c>
      <c r="B160" s="4" t="s">
        <v>731</v>
      </c>
      <c r="C160" s="4" t="s">
        <v>732</v>
      </c>
      <c r="D160" s="4" t="s">
        <v>733</v>
      </c>
      <c r="E160" s="5" t="n">
        <v>149647</v>
      </c>
      <c r="F160" s="4" t="n">
        <v>5</v>
      </c>
      <c r="G160" s="4" t="s">
        <v>734</v>
      </c>
      <c r="H160" s="4" t="n">
        <v>35.19973</v>
      </c>
      <c r="I160" s="4" t="n">
        <v>-111.65258</v>
      </c>
      <c r="J160" s="4" t="s">
        <v>735</v>
      </c>
      <c r="K160" s="6" t="str">
        <f aca="false">HYPERLINK("https://www.google.com/search?q=Flagstaff+City-Coconino+County+Public+Library+Flagstaff+AZ+library+website","Search")</f>
        <v>Search</v>
      </c>
      <c r="L160" s="7"/>
      <c r="M160" s="8" t="str">
        <f aca="false">HYPERLINK("https://cocolib.overdrive.com","https://cocolib.overdrive.com")</f>
        <v>https://cocolib.overdrive.com</v>
      </c>
    </row>
    <row r="161" customFormat="false" ht="15" hidden="false" customHeight="true" outlineLevel="0" collapsed="false">
      <c r="A161" s="4" t="s">
        <v>668</v>
      </c>
      <c r="B161" s="4" t="s">
        <v>736</v>
      </c>
      <c r="C161" s="4" t="s">
        <v>201</v>
      </c>
      <c r="D161" s="4" t="s">
        <v>676</v>
      </c>
      <c r="E161" s="5" t="n">
        <v>25207</v>
      </c>
      <c r="F161" s="4" t="n">
        <v>1</v>
      </c>
      <c r="G161" s="4" t="s">
        <v>737</v>
      </c>
      <c r="H161" s="4" t="n">
        <v>33.03926</v>
      </c>
      <c r="I161" s="4" t="n">
        <v>-111.38764</v>
      </c>
      <c r="J161" s="4" t="s">
        <v>738</v>
      </c>
      <c r="K161" s="6" t="str">
        <f aca="false">HYPERLINK("https://www.google.com/search?q=Florence+Community+Library+Florence+AZ+library+website","Search")</f>
        <v>Search</v>
      </c>
      <c r="L161" s="7"/>
      <c r="M161" s="7"/>
    </row>
    <row r="162" customFormat="false" ht="15" hidden="false" customHeight="true" outlineLevel="0" collapsed="false">
      <c r="A162" s="4" t="s">
        <v>668</v>
      </c>
      <c r="B162" s="4" t="s">
        <v>739</v>
      </c>
      <c r="C162" s="4" t="s">
        <v>740</v>
      </c>
      <c r="D162" s="4" t="s">
        <v>741</v>
      </c>
      <c r="E162" s="5" t="n">
        <v>53838</v>
      </c>
      <c r="F162" s="4" t="n">
        <v>1</v>
      </c>
      <c r="G162" s="4" t="s">
        <v>742</v>
      </c>
      <c r="H162" s="4" t="n">
        <v>33.39593</v>
      </c>
      <c r="I162" s="4" t="n">
        <v>-110.77139</v>
      </c>
      <c r="J162" s="4" t="s">
        <v>743</v>
      </c>
      <c r="K162" s="6" t="str">
        <f aca="false">HYPERLINK("https://www.google.com/search?q=Gila+County+Library+District+Globe+AZ+library+website","Search")</f>
        <v>Search</v>
      </c>
      <c r="L162" s="7"/>
      <c r="M162" s="8" t="str">
        <f aca="false">HYPERLINK("https://gcldaz.overdrive.com","https://gcldaz.overdrive.com")</f>
        <v>https://gcldaz.overdrive.com</v>
      </c>
    </row>
    <row r="163" customFormat="false" ht="15" hidden="false" customHeight="true" outlineLevel="0" collapsed="false">
      <c r="A163" s="4" t="s">
        <v>668</v>
      </c>
      <c r="B163" s="4" t="s">
        <v>744</v>
      </c>
      <c r="C163" s="4" t="s">
        <v>745</v>
      </c>
      <c r="D163" s="4" t="s">
        <v>681</v>
      </c>
      <c r="E163" s="5" t="n">
        <v>254005</v>
      </c>
      <c r="F163" s="4" t="n">
        <v>4</v>
      </c>
      <c r="G163" s="4" t="s">
        <v>746</v>
      </c>
      <c r="H163" s="4" t="n">
        <v>33.57828</v>
      </c>
      <c r="I163" s="4" t="n">
        <v>-112.18718</v>
      </c>
      <c r="J163" s="4" t="s">
        <v>747</v>
      </c>
      <c r="K163" s="6" t="str">
        <f aca="false">HYPERLINK("https://www.google.com/search?q=Glendale+Public+Library+Glendale+AZ+library+website","Search")</f>
        <v>Search</v>
      </c>
      <c r="L163" s="7"/>
      <c r="M163" s="7"/>
    </row>
    <row r="164" customFormat="false" ht="15" hidden="false" customHeight="true" outlineLevel="0" collapsed="false">
      <c r="A164" s="4" t="s">
        <v>668</v>
      </c>
      <c r="B164" s="4" t="s">
        <v>748</v>
      </c>
      <c r="C164" s="4" t="s">
        <v>749</v>
      </c>
      <c r="D164" s="4" t="s">
        <v>750</v>
      </c>
      <c r="E164" s="5" t="n">
        <v>14537</v>
      </c>
      <c r="F164" s="4" t="n">
        <v>0</v>
      </c>
      <c r="G164" s="4" t="s">
        <v>751</v>
      </c>
      <c r="H164" s="4" t="n">
        <v>35.86879</v>
      </c>
      <c r="I164" s="4" t="n">
        <v>-110.62356</v>
      </c>
      <c r="J164" s="4" t="s">
        <v>752</v>
      </c>
      <c r="K164" s="6" t="str">
        <f aca="false">HYPERLINK("https://www.google.com/search?q=Hopi+Public+Library+Kykotsmovi+AZ+library+website","Search")</f>
        <v>Search</v>
      </c>
      <c r="L164" s="7"/>
      <c r="M164" s="7"/>
    </row>
    <row r="165" customFormat="false" ht="15" hidden="false" customHeight="true" outlineLevel="0" collapsed="false">
      <c r="A165" s="4" t="s">
        <v>668</v>
      </c>
      <c r="B165" s="4" t="s">
        <v>753</v>
      </c>
      <c r="C165" s="4" t="s">
        <v>754</v>
      </c>
      <c r="D165" s="4" t="s">
        <v>676</v>
      </c>
      <c r="E165" s="5" t="n">
        <v>12083</v>
      </c>
      <c r="F165" s="4" t="n">
        <v>1</v>
      </c>
      <c r="G165" s="4" t="s">
        <v>755</v>
      </c>
      <c r="H165" s="4" t="n">
        <v>33.0776</v>
      </c>
      <c r="I165" s="4" t="n">
        <v>-111.74285</v>
      </c>
      <c r="J165" s="4" t="s">
        <v>756</v>
      </c>
      <c r="K165" s="6" t="str">
        <f aca="false">HYPERLINK("https://www.google.com/search?q=Ira+H.+Hayes+Memorial+Library+Sacaton+AZ+library+website","Search")</f>
        <v>Search</v>
      </c>
      <c r="L165" s="7"/>
      <c r="M165" s="7"/>
    </row>
    <row r="166" customFormat="false" ht="15" hidden="false" customHeight="true" outlineLevel="0" collapsed="false">
      <c r="A166" s="4" t="s">
        <v>668</v>
      </c>
      <c r="B166" s="4" t="s">
        <v>757</v>
      </c>
      <c r="C166" s="4" t="s">
        <v>758</v>
      </c>
      <c r="D166" s="4" t="s">
        <v>759</v>
      </c>
      <c r="E166" s="5" t="n">
        <v>16860</v>
      </c>
      <c r="F166" s="4" t="n">
        <v>2</v>
      </c>
      <c r="G166" s="4" t="s">
        <v>760</v>
      </c>
      <c r="H166" s="4" t="n">
        <v>33.78823</v>
      </c>
      <c r="I166" s="4" t="n">
        <v>-113.56538</v>
      </c>
      <c r="J166" s="4" t="s">
        <v>761</v>
      </c>
      <c r="K166" s="6" t="str">
        <f aca="false">HYPERLINK("https://www.google.com/search?q=La+Paz+County+Services+Salome+AZ+library+website","Search")</f>
        <v>Search</v>
      </c>
      <c r="L166" s="7"/>
      <c r="M166" s="7"/>
    </row>
    <row r="167" customFormat="false" ht="15" hidden="false" customHeight="true" outlineLevel="0" collapsed="false">
      <c r="A167" s="4" t="s">
        <v>668</v>
      </c>
      <c r="B167" s="4" t="s">
        <v>762</v>
      </c>
      <c r="C167" s="4" t="s">
        <v>763</v>
      </c>
      <c r="D167" s="4" t="s">
        <v>681</v>
      </c>
      <c r="E167" s="5" t="n">
        <v>4586431</v>
      </c>
      <c r="F167" s="4" t="n">
        <v>18</v>
      </c>
      <c r="G167" s="4" t="s">
        <v>764</v>
      </c>
      <c r="H167" s="4" t="n">
        <v>33.21804</v>
      </c>
      <c r="I167" s="4" t="n">
        <v>-111.88164</v>
      </c>
      <c r="J167" s="4" t="s">
        <v>765</v>
      </c>
      <c r="K167" s="6" t="str">
        <f aca="false">HYPERLINK("https://www.google.com/search?q=Maricopa+County+Library+District+Office+Sun+Lakes+AZ+library+website","Search")</f>
        <v>Search</v>
      </c>
      <c r="L167" s="7"/>
      <c r="M167" s="7"/>
    </row>
    <row r="168" customFormat="false" ht="15" hidden="false" customHeight="true" outlineLevel="0" collapsed="false">
      <c r="A168" s="4" t="s">
        <v>668</v>
      </c>
      <c r="B168" s="4" t="s">
        <v>766</v>
      </c>
      <c r="C168" s="4" t="s">
        <v>681</v>
      </c>
      <c r="D168" s="4" t="s">
        <v>676</v>
      </c>
      <c r="E168" s="5" t="n">
        <v>64742</v>
      </c>
      <c r="F168" s="4" t="n">
        <v>1</v>
      </c>
      <c r="G168" s="4" t="s">
        <v>767</v>
      </c>
      <c r="H168" s="4" t="n">
        <v>33.04484</v>
      </c>
      <c r="I168" s="4" t="n">
        <v>-111.99474</v>
      </c>
      <c r="J168" s="4" t="s">
        <v>768</v>
      </c>
      <c r="K168" s="6" t="str">
        <f aca="false">HYPERLINK("https://www.google.com/search?q=Maricopa+Library+%26+Cultural+Center+Maricopa+AZ+library+website","Search")</f>
        <v>Search</v>
      </c>
      <c r="L168" s="7"/>
      <c r="M168" s="7"/>
    </row>
    <row r="169" customFormat="false" ht="15" hidden="false" customHeight="true" outlineLevel="0" collapsed="false">
      <c r="A169" s="4" t="s">
        <v>668</v>
      </c>
      <c r="B169" s="4" t="s">
        <v>769</v>
      </c>
      <c r="C169" s="4" t="s">
        <v>770</v>
      </c>
      <c r="D169" s="4" t="s">
        <v>681</v>
      </c>
      <c r="E169" s="5" t="n">
        <v>516429</v>
      </c>
      <c r="F169" s="4" t="n">
        <v>3</v>
      </c>
      <c r="G169" s="4" t="s">
        <v>771</v>
      </c>
      <c r="H169" s="4" t="n">
        <v>33.41727</v>
      </c>
      <c r="I169" s="4" t="n">
        <v>-111.82945</v>
      </c>
      <c r="J169" s="4" t="s">
        <v>772</v>
      </c>
      <c r="K169" s="6" t="str">
        <f aca="false">HYPERLINK("https://www.google.com/search?q=Mesa+Public+Library+Mesa+AZ+library+website","Search")</f>
        <v>Search</v>
      </c>
      <c r="L169" s="7"/>
      <c r="M169" s="7"/>
    </row>
    <row r="170" customFormat="false" ht="15" hidden="false" customHeight="true" outlineLevel="0" collapsed="false">
      <c r="A170" s="4" t="s">
        <v>668</v>
      </c>
      <c r="B170" s="4" t="s">
        <v>773</v>
      </c>
      <c r="C170" s="4" t="s">
        <v>774</v>
      </c>
      <c r="D170" s="4" t="s">
        <v>775</v>
      </c>
      <c r="E170" s="5" t="n">
        <v>221105</v>
      </c>
      <c r="F170" s="4" t="n">
        <v>10</v>
      </c>
      <c r="G170" s="4" t="s">
        <v>776</v>
      </c>
      <c r="H170" s="4" t="n">
        <v>35.21895</v>
      </c>
      <c r="I170" s="4" t="n">
        <v>-114.02916</v>
      </c>
      <c r="J170" s="4" t="s">
        <v>777</v>
      </c>
      <c r="K170" s="6" t="str">
        <f aca="false">HYPERLINK("https://www.google.com/search?q=Mohave+County+Library+District+Kingman+AZ+library+website","Search")</f>
        <v>Search</v>
      </c>
      <c r="L170" s="7"/>
      <c r="M170" s="8" t="str">
        <f aca="false">HYPERLINK("https://mohave.overdrive.com","https://mohave.overdrive.com")</f>
        <v>https://mohave.overdrive.com</v>
      </c>
    </row>
    <row r="171" customFormat="false" ht="15" hidden="false" customHeight="true" outlineLevel="0" collapsed="false">
      <c r="A171" s="4" t="s">
        <v>668</v>
      </c>
      <c r="B171" s="4" t="s">
        <v>778</v>
      </c>
      <c r="C171" s="4" t="s">
        <v>779</v>
      </c>
      <c r="D171" s="4" t="s">
        <v>750</v>
      </c>
      <c r="E171" s="5" t="n">
        <v>108580</v>
      </c>
      <c r="F171" s="4" t="n">
        <v>5</v>
      </c>
      <c r="G171" s="4" t="s">
        <v>780</v>
      </c>
      <c r="H171" s="4" t="n">
        <v>34.9039</v>
      </c>
      <c r="I171" s="4" t="n">
        <v>-110.1592</v>
      </c>
      <c r="J171" s="4" t="s">
        <v>781</v>
      </c>
      <c r="K171" s="6" t="str">
        <f aca="false">HYPERLINK("https://www.google.com/search?q=Navajo+County+Library+District+Holbrook+AZ+library+website","Search")</f>
        <v>Search</v>
      </c>
      <c r="L171" s="7"/>
      <c r="M171" s="8" t="str">
        <f aca="false">HYPERLINK("https://navajoco.overdrive.com","https://navajoco.overdrive.com")</f>
        <v>https://navajoco.overdrive.com</v>
      </c>
    </row>
    <row r="172" customFormat="false" ht="15" hidden="false" customHeight="true" outlineLevel="0" collapsed="false">
      <c r="A172" s="4" t="s">
        <v>668</v>
      </c>
      <c r="B172" s="4" t="s">
        <v>782</v>
      </c>
      <c r="C172" s="4" t="s">
        <v>783</v>
      </c>
      <c r="D172" s="4" t="s">
        <v>671</v>
      </c>
      <c r="E172" s="5" t="n">
        <v>96276</v>
      </c>
      <c r="F172" s="4" t="n">
        <v>2</v>
      </c>
      <c r="G172" s="4" t="s">
        <v>784</v>
      </c>
      <c r="H172" s="4" t="n">
        <v>35.66444</v>
      </c>
      <c r="I172" s="4" t="n">
        <v>-109.05115</v>
      </c>
      <c r="J172" s="4" t="s">
        <v>785</v>
      </c>
      <c r="K172" s="6" t="str">
        <f aca="false">HYPERLINK("https://www.google.com/search?q=Navajo+Nation+Library+Window+Rock+AZ+library+website","Search")</f>
        <v>Search</v>
      </c>
      <c r="L172" s="7"/>
      <c r="M172" s="7"/>
    </row>
    <row r="173" customFormat="false" ht="15" hidden="false" customHeight="true" outlineLevel="0" collapsed="false">
      <c r="A173" s="4" t="s">
        <v>668</v>
      </c>
      <c r="B173" s="4" t="s">
        <v>786</v>
      </c>
      <c r="C173" s="4" t="s">
        <v>787</v>
      </c>
      <c r="D173" s="4" t="s">
        <v>788</v>
      </c>
      <c r="E173" s="5" t="n">
        <v>49039</v>
      </c>
      <c r="F173" s="4" t="n">
        <v>4</v>
      </c>
      <c r="G173" s="4" t="s">
        <v>789</v>
      </c>
      <c r="H173" s="4" t="n">
        <v>31.34094</v>
      </c>
      <c r="I173" s="4" t="n">
        <v>-110.93609</v>
      </c>
      <c r="J173" s="4" t="s">
        <v>790</v>
      </c>
      <c r="K173" s="6" t="str">
        <f aca="false">HYPERLINK("https://www.google.com/search?q=Nogales%2FSanta+Cruz+County+Public+Library+Nogales+AZ+library+website","Search")</f>
        <v>Search</v>
      </c>
      <c r="L173" s="7"/>
      <c r="M173" s="7"/>
    </row>
    <row r="174" customFormat="false" ht="15" hidden="false" customHeight="true" outlineLevel="0" collapsed="false">
      <c r="A174" s="4" t="s">
        <v>668</v>
      </c>
      <c r="B174" s="4" t="s">
        <v>791</v>
      </c>
      <c r="C174" s="4" t="s">
        <v>792</v>
      </c>
      <c r="D174" s="4" t="s">
        <v>741</v>
      </c>
      <c r="E174" s="5" t="n">
        <v>16632</v>
      </c>
      <c r="F174" s="4" t="n">
        <v>1</v>
      </c>
      <c r="G174" s="4" t="s">
        <v>793</v>
      </c>
      <c r="H174" s="4" t="n">
        <v>34.24413</v>
      </c>
      <c r="I174" s="4" t="n">
        <v>-111.33175</v>
      </c>
      <c r="J174" s="4" t="s">
        <v>794</v>
      </c>
      <c r="K174" s="6" t="str">
        <f aca="false">HYPERLINK("https://www.google.com/search?q=Payson+Public+Library+Payson+AZ+library+website","Search")</f>
        <v>Search</v>
      </c>
      <c r="L174" s="7"/>
      <c r="M174" s="7"/>
    </row>
    <row r="175" customFormat="false" ht="15" hidden="false" customHeight="true" outlineLevel="0" collapsed="false">
      <c r="A175" s="4" t="s">
        <v>668</v>
      </c>
      <c r="B175" s="4" t="s">
        <v>795</v>
      </c>
      <c r="C175" s="4" t="s">
        <v>796</v>
      </c>
      <c r="D175" s="4" t="s">
        <v>681</v>
      </c>
      <c r="E175" s="5" t="n">
        <v>199424</v>
      </c>
      <c r="F175" s="4" t="n">
        <v>2</v>
      </c>
      <c r="G175" s="4" t="s">
        <v>797</v>
      </c>
      <c r="H175" s="4" t="n">
        <v>33.57723</v>
      </c>
      <c r="I175" s="4" t="n">
        <v>-112.24151</v>
      </c>
      <c r="J175" s="4" t="s">
        <v>798</v>
      </c>
      <c r="K175" s="6" t="str">
        <f aca="false">HYPERLINK("https://www.google.com/search?q=Peoria+Public+Library+System+Peoria+AZ+library+website","Search")</f>
        <v>Search</v>
      </c>
      <c r="L175" s="7"/>
      <c r="M175" s="7"/>
    </row>
    <row r="176" customFormat="false" ht="15" hidden="false" customHeight="true" outlineLevel="0" collapsed="false">
      <c r="A176" s="4" t="s">
        <v>668</v>
      </c>
      <c r="B176" s="4" t="s">
        <v>799</v>
      </c>
      <c r="C176" s="4" t="s">
        <v>800</v>
      </c>
      <c r="D176" s="4" t="s">
        <v>681</v>
      </c>
      <c r="E176" s="5" t="n">
        <v>1657035</v>
      </c>
      <c r="F176" s="4" t="n">
        <v>17</v>
      </c>
      <c r="G176" s="4" t="s">
        <v>801</v>
      </c>
      <c r="H176" s="4" t="n">
        <v>33.46325</v>
      </c>
      <c r="I176" s="4" t="n">
        <v>-112.07371</v>
      </c>
      <c r="J176" s="4" t="s">
        <v>802</v>
      </c>
      <c r="K176" s="6" t="str">
        <f aca="false">HYPERLINK("https://www.google.com/search?q=Phoenix+Public+Library+Phoenix+AZ+library+website","Search")</f>
        <v>Search</v>
      </c>
      <c r="L176" s="7"/>
      <c r="M176" s="7"/>
    </row>
    <row r="177" customFormat="false" ht="15" hidden="false" customHeight="true" outlineLevel="0" collapsed="false">
      <c r="A177" s="4" t="s">
        <v>668</v>
      </c>
      <c r="B177" s="4" t="s">
        <v>803</v>
      </c>
      <c r="C177" s="4" t="s">
        <v>723</v>
      </c>
      <c r="D177" s="4" t="s">
        <v>724</v>
      </c>
      <c r="E177" s="5" t="n">
        <v>1072298</v>
      </c>
      <c r="F177" s="4" t="n">
        <v>27</v>
      </c>
      <c r="G177" s="4" t="s">
        <v>804</v>
      </c>
      <c r="H177" s="4" t="n">
        <v>32.2235</v>
      </c>
      <c r="I177" s="4" t="n">
        <v>-110.97154</v>
      </c>
      <c r="J177" s="4" t="s">
        <v>805</v>
      </c>
      <c r="K177" s="6" t="str">
        <f aca="false">HYPERLINK("https://www.google.com/search?q=Pima+County+Public+Library+Tucson+AZ+library+website","Search")</f>
        <v>Search</v>
      </c>
      <c r="L177" s="7"/>
      <c r="M177" s="8" t="str">
        <f aca="false">HYPERLINK("https://pima.overdrive.com","https://pima.overdrive.com")</f>
        <v>https://pima.overdrive.com</v>
      </c>
    </row>
    <row r="178" customFormat="false" ht="15" hidden="false" customHeight="true" outlineLevel="0" collapsed="false">
      <c r="A178" s="4" t="s">
        <v>668</v>
      </c>
      <c r="B178" s="4" t="s">
        <v>806</v>
      </c>
      <c r="C178" s="4" t="s">
        <v>201</v>
      </c>
      <c r="D178" s="4" t="s">
        <v>676</v>
      </c>
      <c r="E178" s="5" t="n">
        <v>453924</v>
      </c>
      <c r="F178" s="4" t="n">
        <v>5</v>
      </c>
      <c r="G178" s="4" t="s">
        <v>807</v>
      </c>
      <c r="H178" s="4" t="n">
        <v>33.03139</v>
      </c>
      <c r="I178" s="4" t="n">
        <v>-111.38826</v>
      </c>
      <c r="J178" s="4" t="s">
        <v>808</v>
      </c>
      <c r="K178" s="6" t="str">
        <f aca="false">HYPERLINK("https://www.google.com/search?q=Pinal+County+Library+District+Florence+AZ+library+website","Search")</f>
        <v>Search</v>
      </c>
      <c r="L178" s="7"/>
      <c r="M178" s="7"/>
    </row>
    <row r="179" customFormat="false" ht="15" hidden="false" customHeight="true" outlineLevel="0" collapsed="false">
      <c r="A179" s="4" t="s">
        <v>668</v>
      </c>
      <c r="B179" s="4" t="s">
        <v>809</v>
      </c>
      <c r="C179" s="4" t="s">
        <v>632</v>
      </c>
      <c r="D179" s="4" t="s">
        <v>690</v>
      </c>
      <c r="E179" s="5" t="n">
        <v>47450</v>
      </c>
      <c r="F179" s="4" t="n">
        <v>1</v>
      </c>
      <c r="G179" s="4" t="s">
        <v>810</v>
      </c>
      <c r="H179" s="4" t="n">
        <v>34.53989</v>
      </c>
      <c r="I179" s="4" t="n">
        <v>-112.46665</v>
      </c>
      <c r="J179" s="4" t="s">
        <v>811</v>
      </c>
      <c r="K179" s="6" t="str">
        <f aca="false">HYPERLINK("https://www.google.com/search?q=Prescott+Public+Library+Prescott+AZ+library+website","Search")</f>
        <v>Search</v>
      </c>
      <c r="L179" s="7"/>
      <c r="M179" s="7"/>
    </row>
    <row r="180" customFormat="false" ht="15" hidden="false" customHeight="true" outlineLevel="0" collapsed="false">
      <c r="A180" s="4" t="s">
        <v>668</v>
      </c>
      <c r="B180" s="4" t="s">
        <v>812</v>
      </c>
      <c r="C180" s="4" t="s">
        <v>813</v>
      </c>
      <c r="D180" s="4" t="s">
        <v>690</v>
      </c>
      <c r="E180" s="5" t="n">
        <v>49069</v>
      </c>
      <c r="F180" s="4" t="n">
        <v>1</v>
      </c>
      <c r="G180" s="4" t="s">
        <v>814</v>
      </c>
      <c r="H180" s="4" t="n">
        <v>34.59575</v>
      </c>
      <c r="I180" s="4" t="n">
        <v>-112.33598</v>
      </c>
      <c r="J180" s="4" t="s">
        <v>815</v>
      </c>
      <c r="K180" s="6" t="str">
        <f aca="false">HYPERLINK("https://www.google.com/search?q=Prescott+Valley+Public+Library+Prescott+Valley+AZ+library+website","Search")</f>
        <v>Search</v>
      </c>
      <c r="L180" s="7"/>
      <c r="M180" s="7"/>
    </row>
    <row r="181" customFormat="false" ht="15" hidden="false" customHeight="true" outlineLevel="0" collapsed="false">
      <c r="A181" s="4" t="s">
        <v>668</v>
      </c>
      <c r="B181" s="4" t="s">
        <v>816</v>
      </c>
      <c r="C181" s="4" t="s">
        <v>817</v>
      </c>
      <c r="D181" s="4" t="s">
        <v>818</v>
      </c>
      <c r="E181" s="5" t="n">
        <v>39010</v>
      </c>
      <c r="F181" s="4" t="n">
        <v>1</v>
      </c>
      <c r="G181" s="4" t="s">
        <v>819</v>
      </c>
      <c r="H181" s="4" t="n">
        <v>32.83094</v>
      </c>
      <c r="I181" s="4" t="n">
        <v>-109.71502</v>
      </c>
      <c r="J181" s="4" t="s">
        <v>820</v>
      </c>
      <c r="K181" s="6" t="str">
        <f aca="false">HYPERLINK("https://www.google.com/search?q=Safford+City-Graham+County+Library+Safford+AZ+library+website","Search")</f>
        <v>Search</v>
      </c>
      <c r="L181" s="7"/>
      <c r="M181" s="7"/>
    </row>
    <row r="182" customFormat="false" ht="15" hidden="false" customHeight="true" outlineLevel="0" collapsed="false">
      <c r="A182" s="4" t="s">
        <v>668</v>
      </c>
      <c r="B182" s="4" t="s">
        <v>821</v>
      </c>
      <c r="C182" s="4" t="s">
        <v>822</v>
      </c>
      <c r="D182" s="4" t="s">
        <v>741</v>
      </c>
      <c r="E182" s="5" t="n">
        <v>10815</v>
      </c>
      <c r="F182" s="4" t="n">
        <v>1</v>
      </c>
      <c r="G182" s="4" t="s">
        <v>823</v>
      </c>
      <c r="H182" s="4" t="n">
        <v>33.35338</v>
      </c>
      <c r="I182" s="4" t="n">
        <v>-110.45294</v>
      </c>
      <c r="J182" s="4" t="s">
        <v>824</v>
      </c>
      <c r="K182" s="6" t="str">
        <f aca="false">HYPERLINK("https://www.google.com/search?q=San+Carlos+Public+Library+San+Carlos+AZ+library+website","Search")</f>
        <v>Search</v>
      </c>
      <c r="L182" s="7"/>
      <c r="M182" s="7"/>
    </row>
    <row r="183" customFormat="false" ht="15" hidden="false" customHeight="true" outlineLevel="0" collapsed="false">
      <c r="A183" s="4" t="s">
        <v>668</v>
      </c>
      <c r="B183" s="4" t="s">
        <v>825</v>
      </c>
      <c r="C183" s="4" t="s">
        <v>826</v>
      </c>
      <c r="D183" s="4" t="s">
        <v>681</v>
      </c>
      <c r="E183" s="5" t="n">
        <v>244959</v>
      </c>
      <c r="F183" s="4" t="n">
        <v>4</v>
      </c>
      <c r="G183" s="4" t="s">
        <v>827</v>
      </c>
      <c r="H183" s="4" t="n">
        <v>33.49208</v>
      </c>
      <c r="I183" s="4" t="n">
        <v>-111.92164</v>
      </c>
      <c r="J183" s="4" t="s">
        <v>828</v>
      </c>
      <c r="K183" s="6" t="str">
        <f aca="false">HYPERLINK("https://www.google.com/search?q=Scottsdale+Public+Library+Scottsdale+AZ+library+website","Search")</f>
        <v>Search</v>
      </c>
      <c r="L183" s="7"/>
      <c r="M183" s="7"/>
    </row>
    <row r="184" customFormat="false" ht="15" hidden="false" customHeight="true" outlineLevel="0" collapsed="false">
      <c r="A184" s="4" t="s">
        <v>668</v>
      </c>
      <c r="B184" s="4" t="s">
        <v>829</v>
      </c>
      <c r="C184" s="4" t="s">
        <v>830</v>
      </c>
      <c r="D184" s="4" t="s">
        <v>750</v>
      </c>
      <c r="E184" s="5" t="n">
        <v>12132</v>
      </c>
      <c r="F184" s="4" t="n">
        <v>1</v>
      </c>
      <c r="G184" s="4" t="s">
        <v>831</v>
      </c>
      <c r="H184" s="4" t="n">
        <v>34.25141</v>
      </c>
      <c r="I184" s="4" t="n">
        <v>-110.03201</v>
      </c>
      <c r="J184" s="4" t="s">
        <v>832</v>
      </c>
      <c r="K184" s="6" t="str">
        <f aca="false">HYPERLINK("https://www.google.com/search?q=Show+Low+Public+Library+Show+Low+AZ+library+website","Search")</f>
        <v>Search</v>
      </c>
      <c r="L184" s="7"/>
      <c r="M184" s="7"/>
    </row>
    <row r="185" customFormat="false" ht="15" hidden="false" customHeight="true" outlineLevel="0" collapsed="false">
      <c r="A185" s="4" t="s">
        <v>668</v>
      </c>
      <c r="B185" s="4" t="s">
        <v>833</v>
      </c>
      <c r="C185" s="4" t="s">
        <v>834</v>
      </c>
      <c r="D185" s="4" t="s">
        <v>707</v>
      </c>
      <c r="E185" s="5" t="n">
        <v>45773</v>
      </c>
      <c r="F185" s="4" t="n">
        <v>1</v>
      </c>
      <c r="G185" s="4" t="s">
        <v>835</v>
      </c>
      <c r="H185" s="4" t="n">
        <v>31.56598</v>
      </c>
      <c r="I185" s="4" t="n">
        <v>-110.27132</v>
      </c>
      <c r="J185" s="4" t="s">
        <v>836</v>
      </c>
      <c r="K185" s="6" t="str">
        <f aca="false">HYPERLINK("https://www.google.com/search?q=Sierra+Vista+Public+Library+Sierra+Vista+AZ+library+website","Search")</f>
        <v>Search</v>
      </c>
      <c r="L185" s="7"/>
      <c r="M185" s="7"/>
    </row>
    <row r="186" customFormat="false" ht="15" hidden="false" customHeight="true" outlineLevel="0" collapsed="false">
      <c r="A186" s="4" t="s">
        <v>668</v>
      </c>
      <c r="B186" s="4" t="s">
        <v>837</v>
      </c>
      <c r="C186" s="4" t="s">
        <v>838</v>
      </c>
      <c r="D186" s="4" t="s">
        <v>750</v>
      </c>
      <c r="E186" s="5" t="n">
        <v>10687</v>
      </c>
      <c r="F186" s="4" t="n">
        <v>1</v>
      </c>
      <c r="G186" s="4" t="s">
        <v>839</v>
      </c>
      <c r="H186" s="4" t="n">
        <v>34.50323</v>
      </c>
      <c r="I186" s="4" t="n">
        <v>-110.08571</v>
      </c>
      <c r="J186" s="4" t="s">
        <v>840</v>
      </c>
      <c r="K186" s="6" t="str">
        <f aca="false">HYPERLINK("https://www.google.com/search?q=Snowflake-Taylor+Public+Library+Snowflake+AZ+library+website","Search")</f>
        <v>Search</v>
      </c>
      <c r="L186" s="7"/>
      <c r="M186" s="7"/>
    </row>
    <row r="187" customFormat="false" ht="15" hidden="false" customHeight="true" outlineLevel="0" collapsed="false">
      <c r="A187" s="4" t="s">
        <v>668</v>
      </c>
      <c r="B187" s="4" t="s">
        <v>841</v>
      </c>
      <c r="C187" s="4" t="s">
        <v>842</v>
      </c>
      <c r="D187" s="4" t="s">
        <v>681</v>
      </c>
      <c r="E187" s="5" t="n">
        <v>187354</v>
      </c>
      <c r="F187" s="4" t="n">
        <v>1</v>
      </c>
      <c r="G187" s="4" t="s">
        <v>843</v>
      </c>
      <c r="H187" s="4" t="n">
        <v>33.3913</v>
      </c>
      <c r="I187" s="4" t="n">
        <v>-111.9264</v>
      </c>
      <c r="J187" s="4" t="s">
        <v>844</v>
      </c>
      <c r="K187" s="6" t="str">
        <f aca="false">HYPERLINK("https://www.google.com/search?q=Tempe+Public+Library+Tempe+AZ+library+website","Search")</f>
        <v>Search</v>
      </c>
      <c r="L187" s="7"/>
      <c r="M187" s="8" t="str">
        <f aca="false">HYPERLINK("https://tempe.overdrive.com","https://tempe.overdrive.com")</f>
        <v>https://tempe.overdrive.com</v>
      </c>
    </row>
    <row r="188" customFormat="false" ht="15" hidden="false" customHeight="true" outlineLevel="0" collapsed="false">
      <c r="A188" s="4" t="s">
        <v>668</v>
      </c>
      <c r="B188" s="4" t="s">
        <v>845</v>
      </c>
      <c r="C188" s="4" t="s">
        <v>846</v>
      </c>
      <c r="D188" s="4" t="s">
        <v>750</v>
      </c>
      <c r="E188" s="5" t="n">
        <v>14854</v>
      </c>
      <c r="F188" s="4" t="n">
        <v>3</v>
      </c>
      <c r="G188" s="4" t="s">
        <v>847</v>
      </c>
      <c r="H188" s="4" t="n">
        <v>33.83727</v>
      </c>
      <c r="I188" s="4" t="n">
        <v>-109.96387</v>
      </c>
      <c r="J188" s="4" t="s">
        <v>848</v>
      </c>
      <c r="K188" s="6" t="str">
        <f aca="false">HYPERLINK("https://www.google.com/search?q=Whiteriver+Public+Library+Whiteriver+AZ+library+website","Search")</f>
        <v>Search</v>
      </c>
      <c r="L188" s="7"/>
      <c r="M188" s="7"/>
    </row>
    <row r="189" customFormat="false" ht="15" hidden="false" customHeight="true" outlineLevel="0" collapsed="false">
      <c r="A189" s="4" t="s">
        <v>668</v>
      </c>
      <c r="B189" s="4" t="s">
        <v>849</v>
      </c>
      <c r="C189" s="4" t="s">
        <v>632</v>
      </c>
      <c r="D189" s="4" t="s">
        <v>690</v>
      </c>
      <c r="E189" s="5" t="n">
        <v>245389</v>
      </c>
      <c r="F189" s="4" t="n">
        <v>15</v>
      </c>
      <c r="G189" s="4" t="s">
        <v>850</v>
      </c>
      <c r="H189" s="4" t="n">
        <v>34.59143</v>
      </c>
      <c r="I189" s="4" t="n">
        <v>-112.43095</v>
      </c>
      <c r="J189" s="4" t="s">
        <v>851</v>
      </c>
      <c r="K189" s="6" t="str">
        <f aca="false">HYPERLINK("https://www.google.com/search?q=Yavapai+County+Free+Library+District+Prescott+AZ+library+website","Search")</f>
        <v>Search</v>
      </c>
      <c r="L189" s="7"/>
      <c r="M189" s="7"/>
    </row>
    <row r="190" customFormat="false" ht="15" hidden="false" customHeight="true" outlineLevel="0" collapsed="false">
      <c r="A190" s="4" t="s">
        <v>668</v>
      </c>
      <c r="B190" s="4" t="s">
        <v>852</v>
      </c>
      <c r="C190" s="4" t="s">
        <v>853</v>
      </c>
      <c r="D190" s="4" t="s">
        <v>853</v>
      </c>
      <c r="E190" s="5" t="n">
        <v>209920</v>
      </c>
      <c r="F190" s="4" t="n">
        <v>8</v>
      </c>
      <c r="G190" s="4" t="s">
        <v>854</v>
      </c>
      <c r="H190" s="4" t="n">
        <v>32.67394</v>
      </c>
      <c r="I190" s="4" t="n">
        <v>-114.64586</v>
      </c>
      <c r="J190" s="4" t="s">
        <v>855</v>
      </c>
      <c r="K190" s="6" t="str">
        <f aca="false">HYPERLINK("https://www.google.com/search?q=Yuma+County+Library+District+Yuma+AZ+library+website","Search")</f>
        <v>Search</v>
      </c>
      <c r="L190" s="7"/>
      <c r="M190" s="8" t="str">
        <f aca="false">HYPERLINK("https://yuma.overdrive.com","https://yuma.overdrive.com")</f>
        <v>https://yuma.overdrive.com</v>
      </c>
    </row>
    <row r="191" customFormat="false" ht="15" hidden="false" customHeight="true" outlineLevel="0" collapsed="false">
      <c r="A191" s="4" t="s">
        <v>856</v>
      </c>
      <c r="B191" s="4" t="s">
        <v>857</v>
      </c>
      <c r="C191" s="4" t="s">
        <v>858</v>
      </c>
      <c r="D191" s="4" t="s">
        <v>859</v>
      </c>
      <c r="E191" s="5" t="n">
        <v>72585</v>
      </c>
      <c r="F191" s="4" t="n">
        <v>1</v>
      </c>
      <c r="G191" s="4" t="s">
        <v>860</v>
      </c>
      <c r="H191" s="4" t="n">
        <v>34.05464</v>
      </c>
      <c r="I191" s="4" t="n">
        <v>-117.18396</v>
      </c>
      <c r="J191" s="4" t="s">
        <v>861</v>
      </c>
      <c r="K191" s="6" t="str">
        <f aca="false">HYPERLINK("https://www.google.com/search?q=A.+K.+Smiley+Public+Library+Redlands+CA+library+website","Search")</f>
        <v>Search</v>
      </c>
      <c r="L191" s="7"/>
      <c r="M191" s="7"/>
    </row>
    <row r="192" customFormat="false" ht="15" hidden="false" customHeight="true" outlineLevel="0" collapsed="false">
      <c r="A192" s="4" t="s">
        <v>856</v>
      </c>
      <c r="B192" s="4" t="s">
        <v>862</v>
      </c>
      <c r="C192" s="4" t="s">
        <v>863</v>
      </c>
      <c r="D192" s="4" t="s">
        <v>864</v>
      </c>
      <c r="E192" s="5" t="n">
        <v>588941</v>
      </c>
      <c r="F192" s="4" t="n">
        <v>11</v>
      </c>
      <c r="G192" s="4" t="s">
        <v>865</v>
      </c>
      <c r="H192" s="4" t="n">
        <v>37.55175</v>
      </c>
      <c r="I192" s="4" t="n">
        <v>-121.97168</v>
      </c>
      <c r="J192" s="4" t="s">
        <v>866</v>
      </c>
      <c r="K192" s="6" t="str">
        <f aca="false">HYPERLINK("https://www.google.com/search?q=Alameda+County+Library+Fremont+CA+library+website","Search")</f>
        <v>Search</v>
      </c>
      <c r="L192" s="7"/>
      <c r="M192" s="8" t="str">
        <f aca="false">HYPERLINK("https://aclibrary.overdrive.com","https://aclibrary.overdrive.com")</f>
        <v>https://aclibrary.overdrive.com</v>
      </c>
    </row>
    <row r="193" customFormat="false" ht="15" hidden="false" customHeight="true" outlineLevel="0" collapsed="false">
      <c r="A193" s="4" t="s">
        <v>856</v>
      </c>
      <c r="B193" s="4" t="s">
        <v>867</v>
      </c>
      <c r="C193" s="4" t="s">
        <v>864</v>
      </c>
      <c r="D193" s="4" t="s">
        <v>864</v>
      </c>
      <c r="E193" s="5" t="n">
        <v>77784</v>
      </c>
      <c r="F193" s="4" t="n">
        <v>3</v>
      </c>
      <c r="G193" s="4" t="s">
        <v>868</v>
      </c>
      <c r="H193" s="4" t="n">
        <v>37.76697</v>
      </c>
      <c r="I193" s="4" t="n">
        <v>-122.24262</v>
      </c>
      <c r="J193" s="4" t="s">
        <v>869</v>
      </c>
      <c r="K193" s="6" t="str">
        <f aca="false">HYPERLINK("https://www.google.com/search?q=Alameda+Free+Library+Alameda+CA+library+website","Search")</f>
        <v>Search</v>
      </c>
      <c r="L193" s="7"/>
      <c r="M193" s="7"/>
    </row>
    <row r="194" customFormat="false" ht="15" hidden="false" customHeight="true" outlineLevel="0" collapsed="false">
      <c r="A194" s="4" t="s">
        <v>856</v>
      </c>
      <c r="B194" s="4" t="s">
        <v>870</v>
      </c>
      <c r="C194" s="4" t="s">
        <v>871</v>
      </c>
      <c r="D194" s="4" t="s">
        <v>872</v>
      </c>
      <c r="E194" s="5" t="n">
        <v>81834</v>
      </c>
      <c r="F194" s="4" t="n">
        <v>1</v>
      </c>
      <c r="G194" s="4" t="s">
        <v>873</v>
      </c>
      <c r="H194" s="4" t="n">
        <v>34.09342</v>
      </c>
      <c r="I194" s="4" t="n">
        <v>-118.1271</v>
      </c>
      <c r="J194" s="4" t="s">
        <v>874</v>
      </c>
      <c r="K194" s="6" t="str">
        <f aca="false">HYPERLINK("https://www.google.com/search?q=Alhambra+Civic+Center+Library+Alhambra+CA+library+website","Search")</f>
        <v>Search</v>
      </c>
      <c r="L194" s="7"/>
      <c r="M194" s="8" t="str">
        <f aca="false">HYPERLINK("https://alhambralibrary.overdrive.com","https://alhambralibrary.overdrive.com")</f>
        <v>https://alhambralibrary.overdrive.com</v>
      </c>
    </row>
    <row r="195" customFormat="false" ht="15" hidden="false" customHeight="true" outlineLevel="0" collapsed="false">
      <c r="A195" s="4" t="s">
        <v>856</v>
      </c>
      <c r="B195" s="4" t="s">
        <v>875</v>
      </c>
      <c r="C195" s="4" t="s">
        <v>876</v>
      </c>
      <c r="D195" s="4" t="s">
        <v>872</v>
      </c>
      <c r="E195" s="5" t="n">
        <v>42778</v>
      </c>
      <c r="F195" s="4" t="n">
        <v>2</v>
      </c>
      <c r="G195" s="4" t="s">
        <v>877</v>
      </c>
      <c r="H195" s="4" t="n">
        <v>34.18955</v>
      </c>
      <c r="I195" s="4" t="n">
        <v>-118.13707</v>
      </c>
      <c r="J195" s="4" t="s">
        <v>878</v>
      </c>
      <c r="K195" s="6" t="str">
        <f aca="false">HYPERLINK("https://www.google.com/search?q=Altadena+Library+District+Altadena+CA+library+website","Search")</f>
        <v>Search</v>
      </c>
      <c r="L195" s="7"/>
      <c r="M195" s="7"/>
    </row>
    <row r="196" customFormat="false" ht="15" hidden="false" customHeight="true" outlineLevel="0" collapsed="false">
      <c r="A196" s="4" t="s">
        <v>856</v>
      </c>
      <c r="B196" s="4" t="s">
        <v>879</v>
      </c>
      <c r="C196" s="4" t="s">
        <v>389</v>
      </c>
      <c r="D196" s="4" t="s">
        <v>880</v>
      </c>
      <c r="E196" s="5" t="n">
        <v>40297</v>
      </c>
      <c r="F196" s="4" t="n">
        <v>5</v>
      </c>
      <c r="G196" s="4" t="s">
        <v>881</v>
      </c>
      <c r="H196" s="4" t="n">
        <v>38.35344</v>
      </c>
      <c r="I196" s="4" t="n">
        <v>-120.77708</v>
      </c>
      <c r="J196" s="4" t="s">
        <v>882</v>
      </c>
      <c r="K196" s="6" t="str">
        <f aca="false">HYPERLINK("https://www.google.com/search?q=Amador+County+Library+Jackson+CA+library+website","Search")</f>
        <v>Search</v>
      </c>
      <c r="L196" s="7"/>
      <c r="M196" s="7"/>
    </row>
    <row r="197" customFormat="false" ht="15" hidden="false" customHeight="true" outlineLevel="0" collapsed="false">
      <c r="A197" s="4" t="s">
        <v>856</v>
      </c>
      <c r="B197" s="4" t="s">
        <v>883</v>
      </c>
      <c r="C197" s="4" t="s">
        <v>884</v>
      </c>
      <c r="D197" s="4" t="s">
        <v>885</v>
      </c>
      <c r="E197" s="5" t="n">
        <v>341245</v>
      </c>
      <c r="F197" s="4" t="n">
        <v>8</v>
      </c>
      <c r="G197" s="4" t="s">
        <v>886</v>
      </c>
      <c r="H197" s="4" t="n">
        <v>33.83187</v>
      </c>
      <c r="I197" s="4" t="n">
        <v>-117.91937</v>
      </c>
      <c r="J197" s="4" t="s">
        <v>887</v>
      </c>
      <c r="K197" s="6" t="str">
        <f aca="false">HYPERLINK("https://www.google.com/search?q=Anaheim+Public+Library+Anaheim+CA+library+website","Search")</f>
        <v>Search</v>
      </c>
      <c r="L197" s="7"/>
      <c r="M197" s="7"/>
    </row>
    <row r="198" customFormat="false" ht="15" hidden="false" customHeight="true" outlineLevel="0" collapsed="false">
      <c r="A198" s="4" t="s">
        <v>856</v>
      </c>
      <c r="B198" s="4" t="s">
        <v>888</v>
      </c>
      <c r="C198" s="4" t="s">
        <v>889</v>
      </c>
      <c r="D198" s="4" t="s">
        <v>872</v>
      </c>
      <c r="E198" s="5" t="n">
        <v>55934</v>
      </c>
      <c r="F198" s="4" t="n">
        <v>1</v>
      </c>
      <c r="G198" s="4" t="s">
        <v>890</v>
      </c>
      <c r="H198" s="4" t="n">
        <v>34.12935</v>
      </c>
      <c r="I198" s="4" t="n">
        <v>-118.03207</v>
      </c>
      <c r="J198" s="4" t="s">
        <v>891</v>
      </c>
      <c r="K198" s="6" t="str">
        <f aca="false">HYPERLINK("https://www.google.com/search?q=Arcadia+Public+Library+Arcadia+CA+library+website","Search")</f>
        <v>Search</v>
      </c>
      <c r="L198" s="7"/>
      <c r="M198" s="7"/>
    </row>
    <row r="199" customFormat="false" ht="15" hidden="false" customHeight="true" outlineLevel="0" collapsed="false">
      <c r="A199" s="4" t="s">
        <v>856</v>
      </c>
      <c r="B199" s="4" t="s">
        <v>892</v>
      </c>
      <c r="C199" s="4" t="s">
        <v>893</v>
      </c>
      <c r="D199" s="4" t="s">
        <v>872</v>
      </c>
      <c r="E199" s="5" t="n">
        <v>49704</v>
      </c>
      <c r="F199" s="4" t="n">
        <v>1</v>
      </c>
      <c r="G199" s="4" t="s">
        <v>894</v>
      </c>
      <c r="H199" s="4" t="n">
        <v>34.1341</v>
      </c>
      <c r="I199" s="4" t="n">
        <v>-117.905</v>
      </c>
      <c r="J199" s="4" t="s">
        <v>895</v>
      </c>
      <c r="K199" s="6" t="str">
        <f aca="false">HYPERLINK("https://www.google.com/search?q=Azusa+City+Library+Azusa+CA+library+website","Search")</f>
        <v>Search</v>
      </c>
      <c r="L199" s="7"/>
      <c r="M199" s="7"/>
    </row>
    <row r="200" customFormat="false" ht="15" hidden="false" customHeight="true" outlineLevel="0" collapsed="false">
      <c r="A200" s="4" t="s">
        <v>856</v>
      </c>
      <c r="B200" s="4" t="s">
        <v>896</v>
      </c>
      <c r="C200" s="4" t="s">
        <v>897</v>
      </c>
      <c r="D200" s="4" t="s">
        <v>898</v>
      </c>
      <c r="E200" s="5" t="n">
        <v>33697</v>
      </c>
      <c r="F200" s="4" t="n">
        <v>1</v>
      </c>
      <c r="G200" s="4" t="s">
        <v>899</v>
      </c>
      <c r="H200" s="4" t="n">
        <v>33.92895</v>
      </c>
      <c r="I200" s="4" t="n">
        <v>-116.87699</v>
      </c>
      <c r="J200" s="4" t="s">
        <v>900</v>
      </c>
      <c r="K200" s="6" t="str">
        <f aca="false">HYPERLINK("https://www.google.com/search?q=Banning+Library+District+Banning+CA+library+website","Search")</f>
        <v>Search</v>
      </c>
      <c r="L200" s="7"/>
      <c r="M200" s="7"/>
    </row>
    <row r="201" customFormat="false" ht="15" hidden="false" customHeight="true" outlineLevel="0" collapsed="false">
      <c r="A201" s="4" t="s">
        <v>856</v>
      </c>
      <c r="B201" s="4" t="s">
        <v>901</v>
      </c>
      <c r="C201" s="4" t="s">
        <v>902</v>
      </c>
      <c r="D201" s="4" t="s">
        <v>898</v>
      </c>
      <c r="E201" s="5" t="n">
        <v>62904</v>
      </c>
      <c r="F201" s="4" t="n">
        <v>1</v>
      </c>
      <c r="G201" s="4" t="s">
        <v>903</v>
      </c>
      <c r="H201" s="4" t="n">
        <v>33.93243</v>
      </c>
      <c r="I201" s="4" t="n">
        <v>-116.98108</v>
      </c>
      <c r="J201" s="4" t="s">
        <v>904</v>
      </c>
      <c r="K201" s="6" t="str">
        <f aca="false">HYPERLINK("https://www.google.com/search?q=Beaumont+Library+District+Beaumont+CA+library+website","Search")</f>
        <v>Search</v>
      </c>
      <c r="L201" s="7"/>
      <c r="M201" s="7"/>
    </row>
    <row r="202" customFormat="false" ht="15" hidden="false" customHeight="true" outlineLevel="0" collapsed="false">
      <c r="A202" s="4" t="s">
        <v>856</v>
      </c>
      <c r="B202" s="4" t="s">
        <v>905</v>
      </c>
      <c r="C202" s="4" t="s">
        <v>906</v>
      </c>
      <c r="D202" s="4" t="s">
        <v>907</v>
      </c>
      <c r="E202" s="5" t="n">
        <v>11036</v>
      </c>
      <c r="F202" s="4" t="n">
        <v>1</v>
      </c>
      <c r="G202" s="4" t="s">
        <v>908</v>
      </c>
      <c r="H202" s="4" t="n">
        <v>37.87683</v>
      </c>
      <c r="I202" s="4" t="n">
        <v>-122.4617</v>
      </c>
      <c r="J202" s="4" t="s">
        <v>909</v>
      </c>
      <c r="K202" s="6" t="str">
        <f aca="false">HYPERLINK("https://www.google.com/search?q=Belvedere-Tiburon+Library+Tiburon+CA+library+website","Search")</f>
        <v>Search</v>
      </c>
      <c r="L202" s="7"/>
      <c r="M202" s="7"/>
    </row>
    <row r="203" customFormat="false" ht="15" hidden="false" customHeight="true" outlineLevel="0" collapsed="false">
      <c r="A203" s="4" t="s">
        <v>856</v>
      </c>
      <c r="B203" s="4" t="s">
        <v>910</v>
      </c>
      <c r="C203" s="4" t="s">
        <v>911</v>
      </c>
      <c r="D203" s="4" t="s">
        <v>912</v>
      </c>
      <c r="E203" s="5" t="n">
        <v>26656</v>
      </c>
      <c r="F203" s="4" t="n">
        <v>1</v>
      </c>
      <c r="G203" s="4" t="s">
        <v>913</v>
      </c>
      <c r="H203" s="4" t="n">
        <v>38.05311</v>
      </c>
      <c r="I203" s="4" t="n">
        <v>-122.15404</v>
      </c>
      <c r="J203" s="4" t="s">
        <v>914</v>
      </c>
      <c r="K203" s="6" t="str">
        <f aca="false">HYPERLINK("https://www.google.com/search?q=Benicia+Public+Library+Benicia+CA+library+website","Search")</f>
        <v>Search</v>
      </c>
      <c r="L203" s="7"/>
      <c r="M203" s="7"/>
    </row>
    <row r="204" customFormat="false" ht="15" hidden="false" customHeight="true" outlineLevel="0" collapsed="false">
      <c r="A204" s="4" t="s">
        <v>856</v>
      </c>
      <c r="B204" s="4" t="s">
        <v>915</v>
      </c>
      <c r="C204" s="4" t="s">
        <v>916</v>
      </c>
      <c r="D204" s="4" t="s">
        <v>864</v>
      </c>
      <c r="E204" s="5" t="n">
        <v>124563</v>
      </c>
      <c r="F204" s="4" t="n">
        <v>5</v>
      </c>
      <c r="G204" s="4" t="s">
        <v>917</v>
      </c>
      <c r="H204" s="4" t="n">
        <v>37.86836</v>
      </c>
      <c r="I204" s="4" t="n">
        <v>-122.26857</v>
      </c>
      <c r="J204" s="4" t="s">
        <v>918</v>
      </c>
      <c r="K204" s="6" t="str">
        <f aca="false">HYPERLINK("https://www.google.com/search?q=Berkeley+Public+Library+Berkeley+CA+library+website","Search")</f>
        <v>Search</v>
      </c>
      <c r="L204" s="7"/>
      <c r="M204" s="8" t="str">
        <f aca="false">HYPERLINK("https://berkeleypubliclibrary.overdrive.com","https://berkeleypubliclibrary.overdrive.com")</f>
        <v>https://berkeleypubliclibrary.overdrive.com</v>
      </c>
    </row>
    <row r="205" customFormat="false" ht="15" hidden="false" customHeight="true" outlineLevel="0" collapsed="false">
      <c r="A205" s="4" t="s">
        <v>856</v>
      </c>
      <c r="B205" s="4" t="s">
        <v>919</v>
      </c>
      <c r="C205" s="4" t="s">
        <v>920</v>
      </c>
      <c r="D205" s="4" t="s">
        <v>872</v>
      </c>
      <c r="E205" s="5" t="n">
        <v>32265</v>
      </c>
      <c r="F205" s="4" t="n">
        <v>2</v>
      </c>
      <c r="G205" s="4" t="s">
        <v>921</v>
      </c>
      <c r="H205" s="4" t="n">
        <v>34.07323</v>
      </c>
      <c r="I205" s="4" t="n">
        <v>-118.40013</v>
      </c>
      <c r="J205" s="4" t="s">
        <v>922</v>
      </c>
      <c r="K205" s="6" t="str">
        <f aca="false">HYPERLINK("https://www.google.com/search?q=Beverly+Hills+Public+Library+Beverly+Hills+CA+library+website","Search")</f>
        <v>Search</v>
      </c>
      <c r="L205" s="7"/>
      <c r="M205" s="8" t="str">
        <f aca="false">HYPERLINK("https://bhpl.overdrive.com","https://bhpl.overdrive.com")</f>
        <v>https://bhpl.overdrive.com</v>
      </c>
    </row>
    <row r="206" customFormat="false" ht="15" hidden="false" customHeight="true" outlineLevel="0" collapsed="false">
      <c r="A206" s="4" t="s">
        <v>856</v>
      </c>
      <c r="B206" s="4" t="s">
        <v>923</v>
      </c>
      <c r="C206" s="4" t="s">
        <v>924</v>
      </c>
      <c r="D206" s="4" t="s">
        <v>925</v>
      </c>
      <c r="E206" s="5" t="n">
        <v>30892</v>
      </c>
      <c r="F206" s="4" t="n">
        <v>1</v>
      </c>
      <c r="G206" s="4" t="s">
        <v>926</v>
      </c>
      <c r="H206" s="4" t="n">
        <v>34.353</v>
      </c>
      <c r="I206" s="4" t="n">
        <v>-119.06423</v>
      </c>
      <c r="J206" s="4" t="s">
        <v>927</v>
      </c>
      <c r="K206" s="6" t="str">
        <f aca="false">HYPERLINK("https://www.google.com/search?q=Blanchard%2FSanta+Paula+Public+Library+District+Santa+Paula+CA+library+website","Search")</f>
        <v>Search</v>
      </c>
      <c r="L206" s="7"/>
      <c r="M206" s="7"/>
    </row>
    <row r="207" customFormat="false" ht="15" hidden="false" customHeight="true" outlineLevel="0" collapsed="false">
      <c r="A207" s="4" t="s">
        <v>856</v>
      </c>
      <c r="B207" s="4" t="s">
        <v>928</v>
      </c>
      <c r="C207" s="4" t="s">
        <v>929</v>
      </c>
      <c r="D207" s="4" t="s">
        <v>930</v>
      </c>
      <c r="E207" s="5" t="n">
        <v>26952</v>
      </c>
      <c r="F207" s="4" t="n">
        <v>2</v>
      </c>
      <c r="G207" s="4" t="s">
        <v>931</v>
      </c>
      <c r="H207" s="4" t="n">
        <v>32.97857</v>
      </c>
      <c r="I207" s="4" t="n">
        <v>-115.53609</v>
      </c>
      <c r="J207" s="4" t="s">
        <v>932</v>
      </c>
      <c r="K207" s="6" t="str">
        <f aca="false">HYPERLINK("https://www.google.com/search?q=Brawley+Public+Library+Brawley+CA+library+website","Search")</f>
        <v>Search</v>
      </c>
      <c r="L207" s="7"/>
      <c r="M207" s="7"/>
    </row>
    <row r="208" customFormat="false" ht="15" hidden="false" customHeight="true" outlineLevel="0" collapsed="false">
      <c r="A208" s="4" t="s">
        <v>856</v>
      </c>
      <c r="B208" s="4" t="s">
        <v>933</v>
      </c>
      <c r="C208" s="4" t="s">
        <v>934</v>
      </c>
      <c r="D208" s="4" t="s">
        <v>885</v>
      </c>
      <c r="E208" s="5" t="n">
        <v>83430</v>
      </c>
      <c r="F208" s="4" t="n">
        <v>1</v>
      </c>
      <c r="G208" s="4" t="s">
        <v>935</v>
      </c>
      <c r="H208" s="4" t="n">
        <v>33.84655</v>
      </c>
      <c r="I208" s="4" t="n">
        <v>-118.00842</v>
      </c>
      <c r="J208" s="4" t="s">
        <v>936</v>
      </c>
      <c r="K208" s="6" t="str">
        <f aca="false">HYPERLINK("https://www.google.com/search?q=Buena+Park+Library+District+Buena+Park+CA+library+website","Search")</f>
        <v>Search</v>
      </c>
      <c r="L208" s="7"/>
      <c r="M208" s="8" t="str">
        <f aca="false">HYPERLINK("https://buenapark.overdrive.com","https://buenapark.overdrive.com")</f>
        <v>https://buenapark.overdrive.com</v>
      </c>
    </row>
    <row r="209" customFormat="false" ht="15" hidden="false" customHeight="true" outlineLevel="0" collapsed="false">
      <c r="A209" s="4" t="s">
        <v>856</v>
      </c>
      <c r="B209" s="4" t="s">
        <v>937</v>
      </c>
      <c r="C209" s="4" t="s">
        <v>938</v>
      </c>
      <c r="D209" s="4" t="s">
        <v>872</v>
      </c>
      <c r="E209" s="5" t="n">
        <v>105451</v>
      </c>
      <c r="F209" s="4" t="n">
        <v>3</v>
      </c>
      <c r="G209" s="4" t="s">
        <v>939</v>
      </c>
      <c r="H209" s="4" t="n">
        <v>34.18364</v>
      </c>
      <c r="I209" s="4" t="n">
        <v>-118.30678</v>
      </c>
      <c r="J209" s="4" t="s">
        <v>940</v>
      </c>
      <c r="K209" s="6" t="str">
        <f aca="false">HYPERLINK("https://www.google.com/search?q=Burbank+Public+Library+Burbank+CA+library+website","Search")</f>
        <v>Search</v>
      </c>
      <c r="L209" s="7"/>
      <c r="M209" s="8" t="str">
        <f aca="false">HYPERLINK("https://burbank.overdrive.com","https://burbank.overdrive.com")</f>
        <v>https://burbank.overdrive.com</v>
      </c>
    </row>
    <row r="210" customFormat="false" ht="15" hidden="false" customHeight="true" outlineLevel="0" collapsed="false">
      <c r="A210" s="4" t="s">
        <v>856</v>
      </c>
      <c r="B210" s="4" t="s">
        <v>941</v>
      </c>
      <c r="C210" s="4" t="s">
        <v>942</v>
      </c>
      <c r="D210" s="4" t="s">
        <v>943</v>
      </c>
      <c r="E210" s="5" t="n">
        <v>37877</v>
      </c>
      <c r="F210" s="4" t="n">
        <v>2</v>
      </c>
      <c r="G210" s="4" t="s">
        <v>944</v>
      </c>
      <c r="H210" s="4" t="n">
        <v>37.57882</v>
      </c>
      <c r="I210" s="4" t="n">
        <v>-122.34924</v>
      </c>
      <c r="J210" s="4" t="s">
        <v>945</v>
      </c>
      <c r="K210" s="6" t="str">
        <f aca="false">HYPERLINK("https://www.google.com/search?q=Burlingame+Public+Library+Burlingame+CA+library+website","Search")</f>
        <v>Search</v>
      </c>
      <c r="L210" s="7"/>
      <c r="M210" s="7"/>
    </row>
    <row r="211" customFormat="false" ht="15" hidden="false" customHeight="true" outlineLevel="0" collapsed="false">
      <c r="A211" s="4" t="s">
        <v>856</v>
      </c>
      <c r="B211" s="4" t="s">
        <v>946</v>
      </c>
      <c r="C211" s="4" t="s">
        <v>947</v>
      </c>
      <c r="D211" s="4" t="s">
        <v>948</v>
      </c>
      <c r="E211" s="5" t="n">
        <v>201608</v>
      </c>
      <c r="F211" s="4" t="n">
        <v>6</v>
      </c>
      <c r="G211" s="4" t="s">
        <v>949</v>
      </c>
      <c r="H211" s="4" t="n">
        <v>39.50604</v>
      </c>
      <c r="I211" s="4" t="n">
        <v>-121.55287</v>
      </c>
      <c r="J211" s="4" t="s">
        <v>950</v>
      </c>
      <c r="K211" s="6" t="str">
        <f aca="false">HYPERLINK("https://www.google.com/search?q=Butte+County+Library+Oroville+CA+library+website","Search")</f>
        <v>Search</v>
      </c>
      <c r="L211" s="7"/>
      <c r="M211" s="7"/>
    </row>
    <row r="212" customFormat="false" ht="15" hidden="false" customHeight="true" outlineLevel="0" collapsed="false">
      <c r="A212" s="4" t="s">
        <v>856</v>
      </c>
      <c r="B212" s="4" t="s">
        <v>951</v>
      </c>
      <c r="C212" s="4" t="s">
        <v>952</v>
      </c>
      <c r="D212" s="4" t="s">
        <v>872</v>
      </c>
      <c r="E212" s="5" t="n">
        <v>22926</v>
      </c>
      <c r="F212" s="4" t="n">
        <v>1</v>
      </c>
      <c r="G212" s="4" t="s">
        <v>953</v>
      </c>
      <c r="H212" s="4" t="n">
        <v>34.15309</v>
      </c>
      <c r="I212" s="4" t="n">
        <v>-118.64694</v>
      </c>
      <c r="J212" s="4" t="s">
        <v>954</v>
      </c>
      <c r="K212" s="6" t="str">
        <f aca="false">HYPERLINK("https://www.google.com/search?q=Calabasas+City+Library+Calabasas+CA+library+website","Search")</f>
        <v>Search</v>
      </c>
      <c r="L212" s="7"/>
      <c r="M212" s="7"/>
    </row>
    <row r="213" customFormat="false" ht="15" hidden="false" customHeight="true" outlineLevel="0" collapsed="false">
      <c r="A213" s="4" t="s">
        <v>856</v>
      </c>
      <c r="B213" s="4" t="s">
        <v>955</v>
      </c>
      <c r="C213" s="4" t="s">
        <v>956</v>
      </c>
      <c r="D213" s="4" t="s">
        <v>957</v>
      </c>
      <c r="E213" s="5" t="n">
        <v>45049</v>
      </c>
      <c r="F213" s="4" t="n">
        <v>8</v>
      </c>
      <c r="G213" s="4" t="s">
        <v>958</v>
      </c>
      <c r="H213" s="4" t="n">
        <v>38.18968</v>
      </c>
      <c r="I213" s="4" t="n">
        <v>-120.66208</v>
      </c>
      <c r="J213" s="4" t="s">
        <v>959</v>
      </c>
      <c r="K213" s="6" t="str">
        <f aca="false">HYPERLINK("https://www.google.com/search?q=Calaveras+County+Library+San+Andreas+CA+library+website","Search")</f>
        <v>Search</v>
      </c>
      <c r="L213" s="7"/>
      <c r="M213" s="7"/>
    </row>
    <row r="214" customFormat="false" ht="15" hidden="false" customHeight="true" outlineLevel="0" collapsed="false">
      <c r="A214" s="4" t="s">
        <v>856</v>
      </c>
      <c r="B214" s="4" t="s">
        <v>960</v>
      </c>
      <c r="C214" s="4" t="s">
        <v>961</v>
      </c>
      <c r="D214" s="4" t="s">
        <v>930</v>
      </c>
      <c r="E214" s="5" t="n">
        <v>38711</v>
      </c>
      <c r="F214" s="4" t="n">
        <v>2</v>
      </c>
      <c r="G214" s="4" t="s">
        <v>962</v>
      </c>
      <c r="H214" s="4" t="n">
        <v>32.67477</v>
      </c>
      <c r="I214" s="4" t="n">
        <v>-115.48826</v>
      </c>
      <c r="J214" s="4" t="s">
        <v>963</v>
      </c>
      <c r="K214" s="6" t="str">
        <f aca="false">HYPERLINK("https://www.google.com/search?q=Camarena+Memorial+Public+Library+Calexico+CA+library+website","Search")</f>
        <v>Search</v>
      </c>
      <c r="L214" s="7"/>
      <c r="M214" s="7"/>
    </row>
    <row r="215" customFormat="false" ht="15" hidden="false" customHeight="true" outlineLevel="0" collapsed="false">
      <c r="A215" s="4" t="s">
        <v>856</v>
      </c>
      <c r="B215" s="4" t="s">
        <v>964</v>
      </c>
      <c r="C215" s="4" t="s">
        <v>965</v>
      </c>
      <c r="D215" s="4" t="s">
        <v>925</v>
      </c>
      <c r="E215" s="5" t="n">
        <v>70171</v>
      </c>
      <c r="F215" s="4" t="n">
        <v>1</v>
      </c>
      <c r="G215" s="4" t="s">
        <v>966</v>
      </c>
      <c r="H215" s="4" t="n">
        <v>34.24268</v>
      </c>
      <c r="I215" s="4" t="n">
        <v>-119.01379</v>
      </c>
      <c r="J215" s="4" t="s">
        <v>967</v>
      </c>
      <c r="K215" s="6" t="str">
        <f aca="false">HYPERLINK("https://www.google.com/search?q=Camarillo+Public+Library+Camarillo+CA+library+website","Search")</f>
        <v>Search</v>
      </c>
      <c r="L215" s="7"/>
      <c r="M215" s="8" t="str">
        <f aca="false">HYPERLINK("https://camdigital.overdrive.com","https://camdigital.overdrive.com")</f>
        <v>https://camdigital.overdrive.com</v>
      </c>
    </row>
    <row r="216" customFormat="false" ht="15" hidden="false" customHeight="true" outlineLevel="0" collapsed="false">
      <c r="A216" s="4" t="s">
        <v>856</v>
      </c>
      <c r="B216" s="4" t="s">
        <v>968</v>
      </c>
      <c r="C216" s="4" t="s">
        <v>969</v>
      </c>
      <c r="D216" s="4" t="s">
        <v>970</v>
      </c>
      <c r="E216" s="5" t="n">
        <v>115585</v>
      </c>
      <c r="F216" s="4" t="n">
        <v>3</v>
      </c>
      <c r="G216" s="4" t="s">
        <v>971</v>
      </c>
      <c r="H216" s="4" t="n">
        <v>33.10596</v>
      </c>
      <c r="I216" s="4" t="n">
        <v>-117.26925</v>
      </c>
      <c r="J216" s="4" t="s">
        <v>972</v>
      </c>
      <c r="K216" s="6" t="str">
        <f aca="false">HYPERLINK("https://www.google.com/search?q=Carlsbad+City+Library+Carlsbad+CA+library+website","Search")</f>
        <v>Search</v>
      </c>
      <c r="L216" s="7"/>
      <c r="M216" s="7"/>
    </row>
    <row r="217" customFormat="false" ht="15" hidden="false" customHeight="true" outlineLevel="0" collapsed="false">
      <c r="A217" s="4" t="s">
        <v>856</v>
      </c>
      <c r="B217" s="4" t="s">
        <v>973</v>
      </c>
      <c r="C217" s="4" t="s">
        <v>974</v>
      </c>
      <c r="D217" s="4" t="s">
        <v>872</v>
      </c>
      <c r="E217" s="5" t="n">
        <v>48634</v>
      </c>
      <c r="F217" s="4" t="n">
        <v>1</v>
      </c>
      <c r="G217" s="4" t="s">
        <v>975</v>
      </c>
      <c r="H217" s="4" t="n">
        <v>33.867</v>
      </c>
      <c r="I217" s="4" t="n">
        <v>-118.06385</v>
      </c>
      <c r="J217" s="4" t="s">
        <v>976</v>
      </c>
      <c r="K217" s="6" t="str">
        <f aca="false">HYPERLINK("https://www.google.com/search?q=Cerritos+Public+Library+Cerritos+CA+library+website","Search")</f>
        <v>Search</v>
      </c>
      <c r="L217" s="7"/>
      <c r="M217" s="7"/>
    </row>
    <row r="218" customFormat="false" ht="15" hidden="false" customHeight="true" outlineLevel="0" collapsed="false">
      <c r="A218" s="4" t="s">
        <v>856</v>
      </c>
      <c r="B218" s="4" t="s">
        <v>977</v>
      </c>
      <c r="C218" s="4" t="s">
        <v>978</v>
      </c>
      <c r="D218" s="4" t="s">
        <v>970</v>
      </c>
      <c r="E218" s="5" t="n">
        <v>276785</v>
      </c>
      <c r="F218" s="4" t="n">
        <v>3</v>
      </c>
      <c r="G218" s="4" t="s">
        <v>979</v>
      </c>
      <c r="H218" s="4" t="n">
        <v>32.64046</v>
      </c>
      <c r="I218" s="4" t="n">
        <v>-117.08318</v>
      </c>
      <c r="J218" s="4" t="s">
        <v>980</v>
      </c>
      <c r="K218" s="6" t="str">
        <f aca="false">HYPERLINK("https://www.google.com/search?q=Chula+Vista+Public+Library+Chula+Vista+CA+library+website","Search")</f>
        <v>Search</v>
      </c>
      <c r="L218" s="7"/>
      <c r="M218" s="7"/>
    </row>
    <row r="219" customFormat="false" ht="15" hidden="false" customHeight="true" outlineLevel="0" collapsed="false">
      <c r="A219" s="4" t="s">
        <v>856</v>
      </c>
      <c r="B219" s="4" t="s">
        <v>981</v>
      </c>
      <c r="C219" s="4" t="s">
        <v>982</v>
      </c>
      <c r="D219" s="4" t="s">
        <v>872</v>
      </c>
      <c r="E219" s="5" t="n">
        <v>12140</v>
      </c>
      <c r="F219" s="4" t="n">
        <v>4</v>
      </c>
      <c r="G219" s="4" t="s">
        <v>983</v>
      </c>
      <c r="H219" s="4" t="n">
        <v>34.00029</v>
      </c>
      <c r="I219" s="4" t="n">
        <v>-118.15672</v>
      </c>
      <c r="J219" s="4" t="s">
        <v>984</v>
      </c>
      <c r="K219" s="6" t="str">
        <f aca="false">HYPERLINK("https://www.google.com/search?q=City+Of+Commerce+Public+Library+Commerce+CA+library+website","Search")</f>
        <v>Search</v>
      </c>
      <c r="L219" s="7"/>
      <c r="M219" s="7"/>
    </row>
    <row r="220" customFormat="false" ht="15" hidden="false" customHeight="true" outlineLevel="0" collapsed="false">
      <c r="A220" s="4" t="s">
        <v>856</v>
      </c>
      <c r="B220" s="4" t="s">
        <v>985</v>
      </c>
      <c r="C220" s="4" t="s">
        <v>986</v>
      </c>
      <c r="D220" s="4" t="s">
        <v>987</v>
      </c>
      <c r="E220" s="5" t="n">
        <v>23447</v>
      </c>
      <c r="F220" s="4" t="n">
        <v>2</v>
      </c>
      <c r="G220" s="4" t="s">
        <v>988</v>
      </c>
      <c r="H220" s="4" t="n">
        <v>36.1417</v>
      </c>
      <c r="I220" s="4" t="n">
        <v>-120.36075</v>
      </c>
      <c r="J220" s="4" t="s">
        <v>989</v>
      </c>
      <c r="K220" s="6" t="str">
        <f aca="false">HYPERLINK("https://www.google.com/search?q=Coalinga-Huron+Library+District+Coalinga+CA+library+website","Search")</f>
        <v>Search</v>
      </c>
      <c r="L220" s="7"/>
      <c r="M220" s="7"/>
    </row>
    <row r="221" customFormat="false" ht="15" hidden="false" customHeight="true" outlineLevel="0" collapsed="false">
      <c r="A221" s="4" t="s">
        <v>856</v>
      </c>
      <c r="B221" s="4" t="s">
        <v>990</v>
      </c>
      <c r="C221" s="4" t="s">
        <v>991</v>
      </c>
      <c r="D221" s="4" t="s">
        <v>859</v>
      </c>
      <c r="E221" s="5" t="n">
        <v>53617</v>
      </c>
      <c r="F221" s="4" t="n">
        <v>2</v>
      </c>
      <c r="G221" s="4" t="s">
        <v>992</v>
      </c>
      <c r="H221" s="4" t="n">
        <v>34.07165</v>
      </c>
      <c r="I221" s="4" t="n">
        <v>-117.3217</v>
      </c>
      <c r="J221" s="4" t="s">
        <v>993</v>
      </c>
      <c r="K221" s="6" t="str">
        <f aca="false">HYPERLINK("https://www.google.com/search?q=Colton+Public+Library+Colton+CA+library+website","Search")</f>
        <v>Search</v>
      </c>
      <c r="L221" s="7"/>
      <c r="M221" s="7"/>
    </row>
    <row r="222" customFormat="false" ht="15" hidden="false" customHeight="true" outlineLevel="0" collapsed="false">
      <c r="A222" s="4" t="s">
        <v>856</v>
      </c>
      <c r="B222" s="4" t="s">
        <v>994</v>
      </c>
      <c r="C222" s="4" t="s">
        <v>995</v>
      </c>
      <c r="D222" s="4" t="s">
        <v>995</v>
      </c>
      <c r="E222" s="5" t="n">
        <v>21807</v>
      </c>
      <c r="F222" s="4" t="n">
        <v>7</v>
      </c>
      <c r="G222" s="4" t="s">
        <v>996</v>
      </c>
      <c r="H222" s="4" t="n">
        <v>39.21476</v>
      </c>
      <c r="I222" s="4" t="n">
        <v>-122.01105</v>
      </c>
      <c r="J222" s="4" t="s">
        <v>997</v>
      </c>
      <c r="K222" s="6" t="str">
        <f aca="false">HYPERLINK("https://www.google.com/search?q=Colusa+County+Free+Library+Colusa+CA+library+website","Search")</f>
        <v>Search</v>
      </c>
      <c r="L222" s="7"/>
      <c r="M222" s="7"/>
    </row>
    <row r="223" customFormat="false" ht="15" hidden="false" customHeight="true" outlineLevel="0" collapsed="false">
      <c r="A223" s="4" t="s">
        <v>856</v>
      </c>
      <c r="B223" s="4" t="s">
        <v>998</v>
      </c>
      <c r="C223" s="4" t="s">
        <v>999</v>
      </c>
      <c r="D223" s="4" t="s">
        <v>1000</v>
      </c>
      <c r="E223" s="5" t="n">
        <v>1042066</v>
      </c>
      <c r="F223" s="4" t="n">
        <v>26</v>
      </c>
      <c r="G223" s="4" t="s">
        <v>1001</v>
      </c>
      <c r="H223" s="4" t="n">
        <v>37.99696</v>
      </c>
      <c r="I223" s="4" t="n">
        <v>-122.11627</v>
      </c>
      <c r="J223" s="4" t="s">
        <v>1002</v>
      </c>
      <c r="K223" s="6" t="str">
        <f aca="false">HYPERLINK("https://www.google.com/search?q=Contra+Costa+County+Library+Martinez+CA+library+website","Search")</f>
        <v>Search</v>
      </c>
      <c r="L223" s="7"/>
      <c r="M223" s="8" t="str">
        <f aca="false">HYPERLINK("https://ccc.overdrive.com","https://ccc.overdrive.com")</f>
        <v>https://ccc.overdrive.com</v>
      </c>
    </row>
    <row r="224" customFormat="false" ht="15" hidden="false" customHeight="true" outlineLevel="0" collapsed="false">
      <c r="A224" s="4" t="s">
        <v>856</v>
      </c>
      <c r="B224" s="4" t="s">
        <v>1003</v>
      </c>
      <c r="C224" s="4" t="s">
        <v>1004</v>
      </c>
      <c r="D224" s="4" t="s">
        <v>898</v>
      </c>
      <c r="E224" s="5" t="n">
        <v>156778</v>
      </c>
      <c r="F224" s="4" t="n">
        <v>1</v>
      </c>
      <c r="G224" s="4" t="s">
        <v>1005</v>
      </c>
      <c r="H224" s="4" t="n">
        <v>33.87487</v>
      </c>
      <c r="I224" s="4" t="n">
        <v>-117.56747</v>
      </c>
      <c r="J224" s="4" t="s">
        <v>1006</v>
      </c>
      <c r="K224" s="6" t="str">
        <f aca="false">HYPERLINK("https://www.google.com/search?q=Corona+Public+Library+Corona+CA+library+website","Search")</f>
        <v>Search</v>
      </c>
      <c r="L224" s="7"/>
      <c r="M224" s="7"/>
    </row>
    <row r="225" customFormat="false" ht="15" hidden="false" customHeight="true" outlineLevel="0" collapsed="false">
      <c r="A225" s="4" t="s">
        <v>856</v>
      </c>
      <c r="B225" s="4" t="s">
        <v>1007</v>
      </c>
      <c r="C225" s="4" t="s">
        <v>1008</v>
      </c>
      <c r="D225" s="4" t="s">
        <v>970</v>
      </c>
      <c r="E225" s="5" t="n">
        <v>22277</v>
      </c>
      <c r="F225" s="4" t="n">
        <v>1</v>
      </c>
      <c r="G225" s="4" t="s">
        <v>1009</v>
      </c>
      <c r="H225" s="4" t="n">
        <v>32.69108</v>
      </c>
      <c r="I225" s="4" t="n">
        <v>-117.17701</v>
      </c>
      <c r="J225" s="4" t="s">
        <v>1010</v>
      </c>
      <c r="K225" s="6" t="str">
        <f aca="false">HYPERLINK("https://www.google.com/search?q=Coronado+Public+Library+Coronado+CA+library+website","Search")</f>
        <v>Search</v>
      </c>
      <c r="L225" s="7"/>
      <c r="M225" s="7"/>
    </row>
    <row r="226" customFormat="false" ht="15" hidden="false" customHeight="true" outlineLevel="0" collapsed="false">
      <c r="A226" s="4" t="s">
        <v>856</v>
      </c>
      <c r="B226" s="4" t="s">
        <v>1011</v>
      </c>
      <c r="C226" s="4" t="s">
        <v>1012</v>
      </c>
      <c r="D226" s="4" t="s">
        <v>872</v>
      </c>
      <c r="E226" s="5" t="n">
        <v>50449</v>
      </c>
      <c r="F226" s="4" t="n">
        <v>1</v>
      </c>
      <c r="G226" s="4" t="s">
        <v>1013</v>
      </c>
      <c r="H226" s="4" t="n">
        <v>34.08816</v>
      </c>
      <c r="I226" s="4" t="n">
        <v>-117.88782</v>
      </c>
      <c r="J226" s="4" t="s">
        <v>1014</v>
      </c>
      <c r="K226" s="6" t="str">
        <f aca="false">HYPERLINK("https://www.google.com/search?q=Covina+Public+Library+Covina+CA+library+website","Search")</f>
        <v>Search</v>
      </c>
      <c r="L226" s="7"/>
      <c r="M226" s="7"/>
    </row>
    <row r="227" customFormat="false" ht="15" hidden="false" customHeight="true" outlineLevel="0" collapsed="false">
      <c r="A227" s="4" t="s">
        <v>856</v>
      </c>
      <c r="B227" s="4" t="s">
        <v>1015</v>
      </c>
      <c r="C227" s="4" t="s">
        <v>1016</v>
      </c>
      <c r="D227" s="4" t="s">
        <v>872</v>
      </c>
      <c r="E227" s="5" t="n">
        <v>12257</v>
      </c>
      <c r="F227" s="4" t="n">
        <v>1</v>
      </c>
      <c r="G227" s="4" t="s">
        <v>1017</v>
      </c>
      <c r="H227" s="4" t="n">
        <v>34.11921</v>
      </c>
      <c r="I227" s="4" t="n">
        <v>-118.11291</v>
      </c>
      <c r="J227" s="4" t="s">
        <v>1018</v>
      </c>
      <c r="K227" s="6" t="str">
        <f aca="false">HYPERLINK("https://www.google.com/search?q=Crowell+Public+Library+San+Marino+CA+library+website","Search")</f>
        <v>Search</v>
      </c>
      <c r="L227" s="7"/>
      <c r="M227" s="7"/>
    </row>
    <row r="228" customFormat="false" ht="15" hidden="false" customHeight="true" outlineLevel="0" collapsed="false">
      <c r="A228" s="4" t="s">
        <v>856</v>
      </c>
      <c r="B228" s="4" t="s">
        <v>1019</v>
      </c>
      <c r="C228" s="4" t="s">
        <v>1020</v>
      </c>
      <c r="D228" s="4" t="s">
        <v>943</v>
      </c>
      <c r="E228" s="5" t="n">
        <v>102875</v>
      </c>
      <c r="F228" s="4" t="n">
        <v>4</v>
      </c>
      <c r="G228" s="4" t="s">
        <v>1021</v>
      </c>
      <c r="H228" s="4" t="n">
        <v>37.70499</v>
      </c>
      <c r="I228" s="4" t="n">
        <v>-122.48595</v>
      </c>
      <c r="J228" s="4" t="s">
        <v>1022</v>
      </c>
      <c r="K228" s="6" t="str">
        <f aca="false">HYPERLINK("https://www.google.com/search?q=Daly+City+Public+Library+Daly+City+CA+library+website","Search")</f>
        <v>Search</v>
      </c>
      <c r="L228" s="7"/>
      <c r="M228" s="7"/>
    </row>
    <row r="229" customFormat="false" ht="15" hidden="false" customHeight="true" outlineLevel="0" collapsed="false">
      <c r="A229" s="4" t="s">
        <v>856</v>
      </c>
      <c r="B229" s="4" t="s">
        <v>1023</v>
      </c>
      <c r="C229" s="4" t="s">
        <v>1024</v>
      </c>
      <c r="D229" s="4" t="s">
        <v>1025</v>
      </c>
      <c r="E229" s="5" t="n">
        <v>27218</v>
      </c>
      <c r="F229" s="4" t="n">
        <v>2</v>
      </c>
      <c r="G229" s="4" t="s">
        <v>1026</v>
      </c>
      <c r="H229" s="4" t="n">
        <v>41.7524</v>
      </c>
      <c r="I229" s="4" t="n">
        <v>-124.19542</v>
      </c>
      <c r="J229" s="4" t="s">
        <v>1027</v>
      </c>
      <c r="K229" s="6" t="str">
        <f aca="false">HYPERLINK("https://www.google.com/search?q=Del+Norte+County+Library+District+Crescent+City+CA+library+website","Search")</f>
        <v>Search</v>
      </c>
      <c r="L229" s="7"/>
      <c r="M229" s="7"/>
    </row>
    <row r="230" customFormat="false" ht="15" hidden="false" customHeight="true" outlineLevel="0" collapsed="false">
      <c r="A230" s="4" t="s">
        <v>856</v>
      </c>
      <c r="B230" s="4" t="s">
        <v>1028</v>
      </c>
      <c r="C230" s="4" t="s">
        <v>1029</v>
      </c>
      <c r="D230" s="4" t="s">
        <v>872</v>
      </c>
      <c r="E230" s="5" t="n">
        <v>112584</v>
      </c>
      <c r="F230" s="4" t="n">
        <v>1</v>
      </c>
      <c r="G230" s="4" t="s">
        <v>1030</v>
      </c>
      <c r="H230" s="4" t="n">
        <v>33.94001</v>
      </c>
      <c r="I230" s="4" t="n">
        <v>-118.12828</v>
      </c>
      <c r="J230" s="4" t="s">
        <v>1031</v>
      </c>
      <c r="K230" s="6" t="str">
        <f aca="false">HYPERLINK("https://www.google.com/search?q=Downey+City+Library+Downey+CA+library+website","Search")</f>
        <v>Search</v>
      </c>
      <c r="L230" s="7"/>
      <c r="M230" s="7"/>
    </row>
    <row r="231" customFormat="false" ht="15" hidden="false" customHeight="true" outlineLevel="0" collapsed="false">
      <c r="A231" s="4" t="s">
        <v>856</v>
      </c>
      <c r="B231" s="4" t="s">
        <v>1032</v>
      </c>
      <c r="C231" s="4" t="s">
        <v>1033</v>
      </c>
      <c r="D231" s="4" t="s">
        <v>930</v>
      </c>
      <c r="E231" s="5" t="n">
        <v>44508</v>
      </c>
      <c r="F231" s="4" t="n">
        <v>2</v>
      </c>
      <c r="G231" s="4" t="s">
        <v>1034</v>
      </c>
      <c r="H231" s="4" t="n">
        <v>32.80299</v>
      </c>
      <c r="I231" s="4" t="n">
        <v>-115.57028</v>
      </c>
      <c r="J231" s="4" t="s">
        <v>1035</v>
      </c>
      <c r="K231" s="6" t="str">
        <f aca="false">HYPERLINK("https://www.google.com/search?q=El+Centro+Public+Library+El+Centro+CA+library+website","Search")</f>
        <v>Search</v>
      </c>
      <c r="L231" s="7"/>
      <c r="M231" s="7"/>
    </row>
    <row r="232" customFormat="false" ht="15" hidden="false" customHeight="true" outlineLevel="0" collapsed="false">
      <c r="A232" s="4" t="s">
        <v>856</v>
      </c>
      <c r="B232" s="4" t="s">
        <v>1036</v>
      </c>
      <c r="C232" s="4" t="s">
        <v>1037</v>
      </c>
      <c r="D232" s="4" t="s">
        <v>466</v>
      </c>
      <c r="E232" s="5" t="n">
        <v>190465</v>
      </c>
      <c r="F232" s="4" t="n">
        <v>6</v>
      </c>
      <c r="G232" s="4" t="s">
        <v>1038</v>
      </c>
      <c r="H232" s="4" t="n">
        <v>38.72844</v>
      </c>
      <c r="I232" s="4" t="n">
        <v>-120.82715</v>
      </c>
      <c r="J232" s="4" t="s">
        <v>1039</v>
      </c>
      <c r="K232" s="6" t="str">
        <f aca="false">HYPERLINK("https://www.google.com/search?q=El+Dorado+County+Library+Placerville+CA+library+website","Search")</f>
        <v>Search</v>
      </c>
      <c r="L232" s="7"/>
      <c r="M232" s="7"/>
    </row>
    <row r="233" customFormat="false" ht="15" hidden="false" customHeight="true" outlineLevel="0" collapsed="false">
      <c r="A233" s="4" t="s">
        <v>856</v>
      </c>
      <c r="B233" s="4" t="s">
        <v>1040</v>
      </c>
      <c r="C233" s="4" t="s">
        <v>1041</v>
      </c>
      <c r="D233" s="4" t="s">
        <v>872</v>
      </c>
      <c r="E233" s="5" t="n">
        <v>17084</v>
      </c>
      <c r="F233" s="4" t="n">
        <v>5</v>
      </c>
      <c r="G233" s="4" t="s">
        <v>1042</v>
      </c>
      <c r="H233" s="4" t="n">
        <v>33.92365</v>
      </c>
      <c r="I233" s="4" t="n">
        <v>-118.41615</v>
      </c>
      <c r="J233" s="4" t="s">
        <v>1043</v>
      </c>
      <c r="K233" s="6" t="str">
        <f aca="false">HYPERLINK("https://www.google.com/search?q=El+Segundo+Public+Library+El+Segundo+CA+library+website","Search")</f>
        <v>Search</v>
      </c>
      <c r="L233" s="7"/>
      <c r="M233" s="7"/>
    </row>
    <row r="234" customFormat="false" ht="15" hidden="false" customHeight="true" outlineLevel="0" collapsed="false">
      <c r="A234" s="4" t="s">
        <v>856</v>
      </c>
      <c r="B234" s="4" t="s">
        <v>1044</v>
      </c>
      <c r="C234" s="4" t="s">
        <v>1045</v>
      </c>
      <c r="D234" s="4" t="s">
        <v>970</v>
      </c>
      <c r="E234" s="5" t="n">
        <v>150679</v>
      </c>
      <c r="F234" s="4" t="n">
        <v>2</v>
      </c>
      <c r="G234" s="4" t="s">
        <v>1046</v>
      </c>
      <c r="H234" s="4" t="n">
        <v>33.12092</v>
      </c>
      <c r="I234" s="4" t="n">
        <v>-117.07905</v>
      </c>
      <c r="J234" s="4" t="s">
        <v>1047</v>
      </c>
      <c r="K234" s="6" t="str">
        <f aca="false">HYPERLINK("https://www.google.com/search?q=Escondido+Public+Library+Escondido+CA+library+website","Search")</f>
        <v>Search</v>
      </c>
      <c r="L234" s="7"/>
      <c r="M234" s="7"/>
    </row>
    <row r="235" customFormat="false" ht="15" hidden="false" customHeight="true" outlineLevel="0" collapsed="false">
      <c r="A235" s="4" t="s">
        <v>856</v>
      </c>
      <c r="B235" s="4" t="s">
        <v>1048</v>
      </c>
      <c r="C235" s="4" t="s">
        <v>1049</v>
      </c>
      <c r="D235" s="4" t="s">
        <v>1050</v>
      </c>
      <c r="E235" s="5" t="n">
        <v>84592</v>
      </c>
      <c r="F235" s="4" t="n">
        <v>1</v>
      </c>
      <c r="G235" s="4" t="s">
        <v>1051</v>
      </c>
      <c r="H235" s="4" t="n">
        <v>38.6809</v>
      </c>
      <c r="I235" s="4" t="n">
        <v>-121.16697</v>
      </c>
      <c r="J235" s="4" t="s">
        <v>1052</v>
      </c>
      <c r="K235" s="6" t="str">
        <f aca="false">HYPERLINK("https://www.google.com/search?q=Folsom+Public+Library+Folsom+CA+library+website","Search")</f>
        <v>Search</v>
      </c>
      <c r="L235" s="7"/>
      <c r="M235" s="7"/>
    </row>
    <row r="236" customFormat="false" ht="15" hidden="false" customHeight="true" outlineLevel="0" collapsed="false">
      <c r="A236" s="4" t="s">
        <v>856</v>
      </c>
      <c r="B236" s="4" t="s">
        <v>1053</v>
      </c>
      <c r="C236" s="4" t="s">
        <v>987</v>
      </c>
      <c r="D236" s="4" t="s">
        <v>987</v>
      </c>
      <c r="E236" s="5" t="n">
        <v>987826</v>
      </c>
      <c r="F236" s="4" t="n">
        <v>36</v>
      </c>
      <c r="G236" s="4" t="s">
        <v>1054</v>
      </c>
      <c r="H236" s="4" t="n">
        <v>36.73818</v>
      </c>
      <c r="I236" s="4" t="n">
        <v>-119.78653</v>
      </c>
      <c r="J236" s="4" t="s">
        <v>1055</v>
      </c>
      <c r="K236" s="6" t="str">
        <f aca="false">HYPERLINK("https://www.google.com/search?q=Fresno+County+Public+Library+Fresno+CA+library+website","Search")</f>
        <v>Search</v>
      </c>
      <c r="L236" s="7"/>
      <c r="M236" s="8" t="str">
        <f aca="false">HYPERLINK("https://fresno.overdrive.com","https://fresno.overdrive.com")</f>
        <v>https://fresno.overdrive.com</v>
      </c>
    </row>
    <row r="237" customFormat="false" ht="15" hidden="false" customHeight="true" outlineLevel="0" collapsed="false">
      <c r="A237" s="4" t="s">
        <v>856</v>
      </c>
      <c r="B237" s="4" t="s">
        <v>1056</v>
      </c>
      <c r="C237" s="4" t="s">
        <v>1057</v>
      </c>
      <c r="D237" s="4" t="s">
        <v>885</v>
      </c>
      <c r="E237" s="5" t="n">
        <v>142732</v>
      </c>
      <c r="F237" s="4" t="n">
        <v>1</v>
      </c>
      <c r="G237" s="4" t="s">
        <v>1058</v>
      </c>
      <c r="H237" s="4" t="n">
        <v>33.87034</v>
      </c>
      <c r="I237" s="4" t="n">
        <v>-117.93055</v>
      </c>
      <c r="J237" s="4" t="s">
        <v>1059</v>
      </c>
      <c r="K237" s="6" t="str">
        <f aca="false">HYPERLINK("https://www.google.com/search?q=Fullerton+Public+Library+Fullerton+CA+library+website","Search")</f>
        <v>Search</v>
      </c>
      <c r="L237" s="7"/>
      <c r="M237" s="8" t="str">
        <f aca="false">HYPERLINK("https://fullerton.overdrive.com","https://fullerton.overdrive.com")</f>
        <v>https://fullerton.overdrive.com</v>
      </c>
    </row>
    <row r="238" customFormat="false" ht="15" hidden="false" customHeight="true" outlineLevel="0" collapsed="false">
      <c r="A238" s="4" t="s">
        <v>856</v>
      </c>
      <c r="B238" s="4" t="s">
        <v>1060</v>
      </c>
      <c r="C238" s="4" t="s">
        <v>745</v>
      </c>
      <c r="D238" s="4" t="s">
        <v>872</v>
      </c>
      <c r="E238" s="5" t="n">
        <v>193116</v>
      </c>
      <c r="F238" s="4" t="n">
        <v>8</v>
      </c>
      <c r="G238" s="4" t="s">
        <v>1061</v>
      </c>
      <c r="H238" s="4" t="n">
        <v>34.14439</v>
      </c>
      <c r="I238" s="4" t="n">
        <v>-118.25351</v>
      </c>
      <c r="J238" s="4" t="s">
        <v>1062</v>
      </c>
      <c r="K238" s="6" t="str">
        <f aca="false">HYPERLINK("https://www.google.com/search?q=Glendale+Library%2C+Arts+%26+Culture+Glendale+CA+library+website","Search")</f>
        <v>Search</v>
      </c>
      <c r="L238" s="7"/>
      <c r="M238" s="7"/>
    </row>
    <row r="239" customFormat="false" ht="15" hidden="false" customHeight="true" outlineLevel="0" collapsed="false">
      <c r="A239" s="4" t="s">
        <v>856</v>
      </c>
      <c r="B239" s="4" t="s">
        <v>1063</v>
      </c>
      <c r="C239" s="4" t="s">
        <v>1064</v>
      </c>
      <c r="D239" s="4" t="s">
        <v>872</v>
      </c>
      <c r="E239" s="5" t="n">
        <v>51821</v>
      </c>
      <c r="F239" s="4" t="n">
        <v>1</v>
      </c>
      <c r="G239" s="4" t="s">
        <v>1065</v>
      </c>
      <c r="H239" s="4" t="n">
        <v>34.13731</v>
      </c>
      <c r="I239" s="4" t="n">
        <v>-117.86545</v>
      </c>
      <c r="J239" s="4" t="s">
        <v>1066</v>
      </c>
      <c r="K239" s="6" t="str">
        <f aca="false">HYPERLINK("https://www.google.com/search?q=Glendora+Library+%26+Cultural+Center+Glendora+CA+library+website","Search")</f>
        <v>Search</v>
      </c>
      <c r="L239" s="7"/>
      <c r="M239" s="7"/>
    </row>
    <row r="240" customFormat="false" ht="15" hidden="false" customHeight="true" outlineLevel="0" collapsed="false">
      <c r="A240" s="4" t="s">
        <v>856</v>
      </c>
      <c r="B240" s="4" t="s">
        <v>1067</v>
      </c>
      <c r="C240" s="4" t="s">
        <v>1068</v>
      </c>
      <c r="D240" s="4" t="s">
        <v>1069</v>
      </c>
      <c r="E240" s="5" t="n">
        <v>111267</v>
      </c>
      <c r="F240" s="4" t="n">
        <v>3</v>
      </c>
      <c r="G240" s="4" t="s">
        <v>1070</v>
      </c>
      <c r="H240" s="4" t="n">
        <v>34.44759</v>
      </c>
      <c r="I240" s="4" t="n">
        <v>-119.83054</v>
      </c>
      <c r="J240" s="4" t="s">
        <v>1071</v>
      </c>
      <c r="K240" s="6" t="str">
        <f aca="false">HYPERLINK("https://www.google.com/search?q=Goleta+Valley+Library+Goleta+CA+library+website","Search")</f>
        <v>Search</v>
      </c>
      <c r="L240" s="7"/>
      <c r="M240" s="7"/>
    </row>
    <row r="241" customFormat="false" ht="15" hidden="false" customHeight="true" outlineLevel="0" collapsed="false">
      <c r="A241" s="4" t="s">
        <v>856</v>
      </c>
      <c r="B241" s="4" t="s">
        <v>1072</v>
      </c>
      <c r="C241" s="4" t="s">
        <v>1073</v>
      </c>
      <c r="D241" s="4" t="s">
        <v>864</v>
      </c>
      <c r="E241" s="5" t="n">
        <v>160591</v>
      </c>
      <c r="F241" s="4" t="n">
        <v>2</v>
      </c>
      <c r="G241" s="4" t="s">
        <v>1074</v>
      </c>
      <c r="H241" s="4" t="n">
        <v>37.67079</v>
      </c>
      <c r="I241" s="4" t="n">
        <v>-122.08339</v>
      </c>
      <c r="J241" s="4" t="s">
        <v>1075</v>
      </c>
      <c r="K241" s="6" t="str">
        <f aca="false">HYPERLINK("https://www.google.com/search?q=Hayward+Public+Library+Hayward+CA+library+website","Search")</f>
        <v>Search</v>
      </c>
      <c r="L241" s="7"/>
      <c r="M241" s="7"/>
    </row>
    <row r="242" customFormat="false" ht="15" hidden="false" customHeight="true" outlineLevel="0" collapsed="false">
      <c r="A242" s="4" t="s">
        <v>856</v>
      </c>
      <c r="B242" s="4" t="s">
        <v>1076</v>
      </c>
      <c r="C242" s="4" t="s">
        <v>1077</v>
      </c>
      <c r="D242" s="4" t="s">
        <v>898</v>
      </c>
      <c r="E242" s="5" t="n">
        <v>89646</v>
      </c>
      <c r="F242" s="4" t="n">
        <v>1</v>
      </c>
      <c r="G242" s="4" t="s">
        <v>1078</v>
      </c>
      <c r="H242" s="4" t="n">
        <v>33.74941</v>
      </c>
      <c r="I242" s="4" t="n">
        <v>-116.96948</v>
      </c>
      <c r="J242" s="4" t="s">
        <v>1079</v>
      </c>
      <c r="K242" s="6" t="str">
        <f aca="false">HYPERLINK("https://www.google.com/search?q=Hemet+Public+Library+Hemet+CA+library+website","Search")</f>
        <v>Search</v>
      </c>
      <c r="L242" s="7"/>
      <c r="M242" s="7"/>
    </row>
    <row r="243" customFormat="false" ht="15" hidden="false" customHeight="true" outlineLevel="0" collapsed="false">
      <c r="A243" s="4" t="s">
        <v>856</v>
      </c>
      <c r="B243" s="4" t="s">
        <v>1080</v>
      </c>
      <c r="C243" s="4" t="s">
        <v>1081</v>
      </c>
      <c r="D243" s="4" t="s">
        <v>1082</v>
      </c>
      <c r="E243" s="5" t="n">
        <v>135168</v>
      </c>
      <c r="F243" s="4" t="n">
        <v>11</v>
      </c>
      <c r="G243" s="4" t="s">
        <v>1083</v>
      </c>
      <c r="H243" s="4" t="n">
        <v>40.80489</v>
      </c>
      <c r="I243" s="4" t="n">
        <v>-124.15757</v>
      </c>
      <c r="J243" s="4" t="s">
        <v>1084</v>
      </c>
      <c r="K243" s="6" t="str">
        <f aca="false">HYPERLINK("https://www.google.com/search?q=Humboldt+County+Library+Eureka+CA+library+website","Search")</f>
        <v>Search</v>
      </c>
      <c r="L243" s="7"/>
      <c r="M243" s="7"/>
    </row>
    <row r="244" customFormat="false" ht="15" hidden="false" customHeight="true" outlineLevel="0" collapsed="false">
      <c r="A244" s="4" t="s">
        <v>856</v>
      </c>
      <c r="B244" s="4" t="s">
        <v>1085</v>
      </c>
      <c r="C244" s="4" t="s">
        <v>1086</v>
      </c>
      <c r="D244" s="4" t="s">
        <v>885</v>
      </c>
      <c r="E244" s="5" t="n">
        <v>196100</v>
      </c>
      <c r="F244" s="4" t="n">
        <v>5</v>
      </c>
      <c r="G244" s="4" t="s">
        <v>1087</v>
      </c>
      <c r="H244" s="4" t="n">
        <v>33.7016</v>
      </c>
      <c r="I244" s="4" t="n">
        <v>-118.0039</v>
      </c>
      <c r="J244" s="4" t="s">
        <v>1088</v>
      </c>
      <c r="K244" s="6" t="str">
        <f aca="false">HYPERLINK("https://www.google.com/search?q=Huntington+Beach+Public+Library+Huntington+Beach+CA+library+website","Search")</f>
        <v>Search</v>
      </c>
      <c r="L244" s="7"/>
      <c r="M244" s="8" t="str">
        <f aca="false">HYPERLINK("https://hbpl.overdrive.com","https://hbpl.overdrive.com")</f>
        <v>https://hbpl.overdrive.com</v>
      </c>
    </row>
    <row r="245" customFormat="false" ht="15" hidden="false" customHeight="true" outlineLevel="0" collapsed="false">
      <c r="A245" s="4" t="s">
        <v>856</v>
      </c>
      <c r="B245" s="4" t="s">
        <v>1089</v>
      </c>
      <c r="C245" s="4" t="s">
        <v>1033</v>
      </c>
      <c r="D245" s="4" t="s">
        <v>930</v>
      </c>
      <c r="E245" s="5" t="n">
        <v>47645</v>
      </c>
      <c r="F245" s="4" t="n">
        <v>4</v>
      </c>
      <c r="G245" s="4" t="s">
        <v>1090</v>
      </c>
      <c r="H245" s="4" t="n">
        <v>32.7928</v>
      </c>
      <c r="I245" s="4" t="n">
        <v>-115.5651</v>
      </c>
      <c r="J245" s="4" t="s">
        <v>1091</v>
      </c>
      <c r="K245" s="6" t="str">
        <f aca="false">HYPERLINK("https://www.google.com/search?q=Imperial+County+Library+El+Centro+CA+library+website","Search")</f>
        <v>Search</v>
      </c>
      <c r="L245" s="7"/>
      <c r="M245" s="7"/>
    </row>
    <row r="246" customFormat="false" ht="15" hidden="false" customHeight="true" outlineLevel="0" collapsed="false">
      <c r="A246" s="4" t="s">
        <v>856</v>
      </c>
      <c r="B246" s="4" t="s">
        <v>1092</v>
      </c>
      <c r="C246" s="4" t="s">
        <v>930</v>
      </c>
      <c r="D246" s="4" t="s">
        <v>930</v>
      </c>
      <c r="E246" s="5" t="n">
        <v>21513</v>
      </c>
      <c r="F246" s="4" t="n">
        <v>1</v>
      </c>
      <c r="G246" s="4" t="s">
        <v>1093</v>
      </c>
      <c r="H246" s="4" t="n">
        <v>32.84846</v>
      </c>
      <c r="I246" s="4" t="n">
        <v>-115.57156</v>
      </c>
      <c r="J246" s="4" t="s">
        <v>1094</v>
      </c>
      <c r="K246" s="6" t="str">
        <f aca="false">HYPERLINK("https://www.google.com/search?q=Imperial+Public+Library+Imperial+CA+library+website","Search")</f>
        <v>Search</v>
      </c>
      <c r="L246" s="7"/>
      <c r="M246" s="7"/>
    </row>
    <row r="247" customFormat="false" ht="15" hidden="false" customHeight="true" outlineLevel="0" collapsed="false">
      <c r="A247" s="4" t="s">
        <v>856</v>
      </c>
      <c r="B247" s="4" t="s">
        <v>1095</v>
      </c>
      <c r="C247" s="4" t="s">
        <v>1096</v>
      </c>
      <c r="D247" s="4" t="s">
        <v>872</v>
      </c>
      <c r="E247" s="5" t="n">
        <v>106481</v>
      </c>
      <c r="F247" s="4" t="n">
        <v>2</v>
      </c>
      <c r="G247" s="4" t="s">
        <v>1097</v>
      </c>
      <c r="H247" s="4" t="n">
        <v>33.96181</v>
      </c>
      <c r="I247" s="4" t="n">
        <v>-118.3556</v>
      </c>
      <c r="J247" s="4" t="s">
        <v>1098</v>
      </c>
      <c r="K247" s="6" t="str">
        <f aca="false">HYPERLINK("https://www.google.com/search?q=Inglewood+Public+Library+Inglewood+CA+library+website","Search")</f>
        <v>Search</v>
      </c>
      <c r="L247" s="7"/>
      <c r="M247" s="8" t="str">
        <f aca="false">HYPERLINK("https://inglewoodpl.overdrive.com","https://inglewoodpl.overdrive.com")</f>
        <v>https://inglewoodpl.overdrive.com</v>
      </c>
    </row>
    <row r="248" customFormat="false" ht="15" hidden="false" customHeight="true" outlineLevel="0" collapsed="false">
      <c r="A248" s="4" t="s">
        <v>856</v>
      </c>
      <c r="B248" s="4" t="s">
        <v>1099</v>
      </c>
      <c r="C248" s="4" t="s">
        <v>559</v>
      </c>
      <c r="D248" s="4" t="s">
        <v>1100</v>
      </c>
      <c r="E248" s="5" t="n">
        <v>18978</v>
      </c>
      <c r="F248" s="4" t="n">
        <v>6</v>
      </c>
      <c r="G248" s="4" t="s">
        <v>1101</v>
      </c>
      <c r="H248" s="4" t="n">
        <v>36.80293</v>
      </c>
      <c r="I248" s="4" t="n">
        <v>-118.19989</v>
      </c>
      <c r="J248" s="4" t="s">
        <v>1102</v>
      </c>
      <c r="K248" s="6" t="str">
        <f aca="false">HYPERLINK("https://www.google.com/search?q=Inyo+County+Free+Library+Independence+CA+library+website","Search")</f>
        <v>Search</v>
      </c>
      <c r="L248" s="7"/>
      <c r="M248" s="7"/>
    </row>
    <row r="249" customFormat="false" ht="15" hidden="false" customHeight="true" outlineLevel="0" collapsed="false">
      <c r="A249" s="4" t="s">
        <v>856</v>
      </c>
      <c r="B249" s="4" t="s">
        <v>1103</v>
      </c>
      <c r="C249" s="4" t="s">
        <v>1104</v>
      </c>
      <c r="D249" s="4" t="s">
        <v>1105</v>
      </c>
      <c r="E249" s="5" t="n">
        <v>889327</v>
      </c>
      <c r="F249" s="4" t="n">
        <v>23</v>
      </c>
      <c r="G249" s="4" t="s">
        <v>1106</v>
      </c>
      <c r="H249" s="4" t="n">
        <v>35.37321</v>
      </c>
      <c r="I249" s="4" t="n">
        <v>-119.01007</v>
      </c>
      <c r="J249" s="4" t="s">
        <v>1107</v>
      </c>
      <c r="K249" s="6" t="str">
        <f aca="false">HYPERLINK("https://www.google.com/search?q=Kern+County+Library+Bakersfield+CA+library+website","Search")</f>
        <v>Search</v>
      </c>
      <c r="L249" s="7"/>
      <c r="M249" s="8" t="str">
        <f aca="false">HYPERLINK("https://kern.overdrive.com","https://kern.overdrive.com")</f>
        <v>https://kern.overdrive.com</v>
      </c>
    </row>
    <row r="250" customFormat="false" ht="15" hidden="false" customHeight="true" outlineLevel="0" collapsed="false">
      <c r="A250" s="4" t="s">
        <v>856</v>
      </c>
      <c r="B250" s="4" t="s">
        <v>1108</v>
      </c>
      <c r="C250" s="4" t="s">
        <v>1109</v>
      </c>
      <c r="D250" s="4" t="s">
        <v>1110</v>
      </c>
      <c r="E250" s="5" t="n">
        <v>152023</v>
      </c>
      <c r="F250" s="4" t="n">
        <v>7</v>
      </c>
      <c r="G250" s="4" t="s">
        <v>1111</v>
      </c>
      <c r="H250" s="4" t="n">
        <v>36.32932</v>
      </c>
      <c r="I250" s="4" t="n">
        <v>-119.64601</v>
      </c>
      <c r="J250" s="4" t="s">
        <v>1112</v>
      </c>
      <c r="K250" s="6" t="str">
        <f aca="false">HYPERLINK("https://www.google.com/search?q=Kings+County+Library+Hanford+CA+library+website","Search")</f>
        <v>Search</v>
      </c>
      <c r="L250" s="7"/>
      <c r="M250" s="8" t="str">
        <f aca="false">HYPERLINK("https://kings.overdrive.com","https://kings.overdrive.com")</f>
        <v>https://kings.overdrive.com</v>
      </c>
    </row>
    <row r="251" customFormat="false" ht="15" hidden="false" customHeight="true" outlineLevel="0" collapsed="false">
      <c r="A251" s="4" t="s">
        <v>856</v>
      </c>
      <c r="B251" s="4" t="s">
        <v>1113</v>
      </c>
      <c r="C251" s="4" t="s">
        <v>1029</v>
      </c>
      <c r="D251" s="4" t="s">
        <v>872</v>
      </c>
      <c r="E251" s="5" t="n">
        <v>3273354</v>
      </c>
      <c r="F251" s="4" t="n">
        <v>85</v>
      </c>
      <c r="G251" s="4" t="s">
        <v>1114</v>
      </c>
      <c r="H251" s="4" t="n">
        <v>33.92845</v>
      </c>
      <c r="I251" s="4" t="n">
        <v>-118.16114</v>
      </c>
      <c r="J251" s="4" t="s">
        <v>1115</v>
      </c>
      <c r="K251" s="6" t="str">
        <f aca="false">HYPERLINK("https://www.google.com/search?q=La+County+Library+Downey+CA+library+website","Search")</f>
        <v>Search</v>
      </c>
      <c r="L251" s="7"/>
      <c r="M251" s="8" t="str">
        <f aca="false">HYPERLINK("https://lacountylibrary.overdrive.com","https://lacountylibrary.overdrive.com")</f>
        <v>https://lacountylibrary.overdrive.com</v>
      </c>
    </row>
    <row r="252" customFormat="false" ht="15" hidden="false" customHeight="true" outlineLevel="0" collapsed="false">
      <c r="A252" s="4" t="s">
        <v>856</v>
      </c>
      <c r="B252" s="4" t="s">
        <v>1116</v>
      </c>
      <c r="C252" s="4" t="s">
        <v>1117</v>
      </c>
      <c r="D252" s="4" t="s">
        <v>1118</v>
      </c>
      <c r="E252" s="5" t="n">
        <v>67407</v>
      </c>
      <c r="F252" s="4" t="n">
        <v>4</v>
      </c>
      <c r="G252" s="4" t="s">
        <v>1119</v>
      </c>
      <c r="H252" s="4" t="n">
        <v>39.05146</v>
      </c>
      <c r="I252" s="4" t="n">
        <v>-122.91702</v>
      </c>
      <c r="J252" s="4" t="s">
        <v>1120</v>
      </c>
      <c r="K252" s="6" t="str">
        <f aca="false">HYPERLINK("https://www.google.com/search?q=Lake+County+Library+Lakeport+CA+library+website","Search")</f>
        <v>Search</v>
      </c>
      <c r="L252" s="7"/>
      <c r="M252" s="7"/>
    </row>
    <row r="253" customFormat="false" ht="15" hidden="false" customHeight="true" outlineLevel="0" collapsed="false">
      <c r="A253" s="4" t="s">
        <v>856</v>
      </c>
      <c r="B253" s="4" t="s">
        <v>1121</v>
      </c>
      <c r="C253" s="4" t="s">
        <v>1122</v>
      </c>
      <c r="D253" s="4" t="s">
        <v>907</v>
      </c>
      <c r="E253" s="5" t="n">
        <v>12797</v>
      </c>
      <c r="F253" s="4" t="n">
        <v>1</v>
      </c>
      <c r="G253" s="4" t="s">
        <v>1123</v>
      </c>
      <c r="H253" s="4" t="n">
        <v>37.93441</v>
      </c>
      <c r="I253" s="4" t="n">
        <v>-122.53563</v>
      </c>
      <c r="J253" s="4" t="s">
        <v>1124</v>
      </c>
      <c r="K253" s="6" t="str">
        <f aca="false">HYPERLINK("https://www.google.com/search?q=Larkspur+Public+Library+Larkspur+CA+library+website","Search")</f>
        <v>Search</v>
      </c>
      <c r="L253" s="7"/>
      <c r="M253" s="7"/>
    </row>
    <row r="254" customFormat="false" ht="15" hidden="false" customHeight="true" outlineLevel="0" collapsed="false">
      <c r="A254" s="4" t="s">
        <v>856</v>
      </c>
      <c r="B254" s="4" t="s">
        <v>1125</v>
      </c>
      <c r="C254" s="4" t="s">
        <v>1126</v>
      </c>
      <c r="D254" s="4" t="s">
        <v>1127</v>
      </c>
      <c r="E254" s="5" t="n">
        <v>13212</v>
      </c>
      <c r="F254" s="4" t="n">
        <v>1</v>
      </c>
      <c r="G254" s="4" t="s">
        <v>1128</v>
      </c>
      <c r="H254" s="4" t="n">
        <v>40.41555</v>
      </c>
      <c r="I254" s="4" t="n">
        <v>-120.64931</v>
      </c>
      <c r="J254" s="4" t="s">
        <v>1129</v>
      </c>
      <c r="K254" s="6" t="str">
        <f aca="false">HYPERLINK("https://www.google.com/search?q=Lassen+Library+District+Susanville+CA+library+website","Search")</f>
        <v>Search</v>
      </c>
      <c r="L254" s="7"/>
      <c r="M254" s="7"/>
    </row>
    <row r="255" customFormat="false" ht="15" hidden="false" customHeight="true" outlineLevel="0" collapsed="false">
      <c r="A255" s="4" t="s">
        <v>856</v>
      </c>
      <c r="B255" s="4" t="s">
        <v>1130</v>
      </c>
      <c r="C255" s="4" t="s">
        <v>1131</v>
      </c>
      <c r="D255" s="4" t="s">
        <v>1132</v>
      </c>
      <c r="E255" s="5" t="n">
        <v>51252</v>
      </c>
      <c r="F255" s="4" t="n">
        <v>1</v>
      </c>
      <c r="G255" s="4" t="s">
        <v>1133</v>
      </c>
      <c r="H255" s="4" t="n">
        <v>38.84993</v>
      </c>
      <c r="I255" s="4" t="n">
        <v>-121.2922</v>
      </c>
      <c r="J255" s="4" t="s">
        <v>1134</v>
      </c>
      <c r="K255" s="6" t="str">
        <f aca="false">HYPERLINK("https://www.google.com/search?q=Lincoln+Public+Library+Lincoln+CA+library+website","Search")</f>
        <v>Search</v>
      </c>
      <c r="L255" s="7"/>
      <c r="M255" s="7"/>
    </row>
    <row r="256" customFormat="false" ht="15" hidden="false" customHeight="true" outlineLevel="0" collapsed="false">
      <c r="A256" s="4" t="s">
        <v>856</v>
      </c>
      <c r="B256" s="4" t="s">
        <v>1135</v>
      </c>
      <c r="C256" s="4" t="s">
        <v>1136</v>
      </c>
      <c r="D256" s="4" t="s">
        <v>864</v>
      </c>
      <c r="E256" s="5" t="n">
        <v>86149</v>
      </c>
      <c r="F256" s="4" t="n">
        <v>3</v>
      </c>
      <c r="G256" s="4" t="s">
        <v>1137</v>
      </c>
      <c r="H256" s="4" t="n">
        <v>37.67346</v>
      </c>
      <c r="I256" s="4" t="n">
        <v>-121.75499</v>
      </c>
      <c r="J256" s="4" t="s">
        <v>1138</v>
      </c>
      <c r="K256" s="6" t="str">
        <f aca="false">HYPERLINK("https://www.google.com/search?q=Livermore+Public+Library+Livermore+CA+library+website","Search")</f>
        <v>Search</v>
      </c>
      <c r="L256" s="7"/>
      <c r="M256" s="8" t="str">
        <f aca="false">HYPERLINK("https://livermore.overdrive.com","https://livermore.overdrive.com")</f>
        <v>https://livermore.overdrive.com</v>
      </c>
    </row>
    <row r="257" customFormat="false" ht="15" hidden="false" customHeight="true" outlineLevel="0" collapsed="false">
      <c r="A257" s="4" t="s">
        <v>856</v>
      </c>
      <c r="B257" s="4" t="s">
        <v>1139</v>
      </c>
      <c r="C257" s="4" t="s">
        <v>1140</v>
      </c>
      <c r="D257" s="4" t="s">
        <v>1141</v>
      </c>
      <c r="E257" s="5" t="n">
        <v>66570</v>
      </c>
      <c r="F257" s="4" t="n">
        <v>1</v>
      </c>
      <c r="G257" s="4" t="s">
        <v>1142</v>
      </c>
      <c r="H257" s="4" t="n">
        <v>38.13676</v>
      </c>
      <c r="I257" s="4" t="n">
        <v>-121.27547</v>
      </c>
      <c r="J257" s="4" t="s">
        <v>1143</v>
      </c>
      <c r="K257" s="6" t="str">
        <f aca="false">HYPERLINK("https://www.google.com/search?q=Lodi+Public+Library+Lodi+CA+library+website","Search")</f>
        <v>Search</v>
      </c>
      <c r="L257" s="7"/>
      <c r="M257" s="7"/>
    </row>
    <row r="258" customFormat="false" ht="15" hidden="false" customHeight="true" outlineLevel="0" collapsed="false">
      <c r="A258" s="4" t="s">
        <v>856</v>
      </c>
      <c r="B258" s="4" t="s">
        <v>1144</v>
      </c>
      <c r="C258" s="4" t="s">
        <v>1145</v>
      </c>
      <c r="D258" s="4" t="s">
        <v>1069</v>
      </c>
      <c r="E258" s="5" t="n">
        <v>60121</v>
      </c>
      <c r="F258" s="4" t="n">
        <v>2</v>
      </c>
      <c r="G258" s="4" t="s">
        <v>1146</v>
      </c>
      <c r="H258" s="4" t="n">
        <v>34.65337</v>
      </c>
      <c r="I258" s="4" t="n">
        <v>-120.45204</v>
      </c>
      <c r="J258" s="4" t="s">
        <v>1147</v>
      </c>
      <c r="K258" s="6" t="str">
        <f aca="false">HYPERLINK("https://www.google.com/search?q=Lompoc+Public+Library+Lompoc+CA+library+website","Search")</f>
        <v>Search</v>
      </c>
      <c r="L258" s="7"/>
      <c r="M258" s="7"/>
    </row>
    <row r="259" customFormat="false" ht="15" hidden="false" customHeight="true" outlineLevel="0" collapsed="false">
      <c r="A259" s="4" t="s">
        <v>856</v>
      </c>
      <c r="B259" s="4" t="s">
        <v>1148</v>
      </c>
      <c r="C259" s="4" t="s">
        <v>1149</v>
      </c>
      <c r="D259" s="4" t="s">
        <v>872</v>
      </c>
      <c r="E259" s="5" t="n">
        <v>460682</v>
      </c>
      <c r="F259" s="4" t="n">
        <v>12</v>
      </c>
      <c r="G259" s="4" t="s">
        <v>1150</v>
      </c>
      <c r="H259" s="4" t="n">
        <v>33.76927</v>
      </c>
      <c r="I259" s="4" t="n">
        <v>-118.19554</v>
      </c>
      <c r="J259" s="4" t="s">
        <v>1151</v>
      </c>
      <c r="K259" s="6" t="str">
        <f aca="false">HYPERLINK("https://www.google.com/search?q=Long+Beach+Public+Library+Long+Beach+CA+library+website","Search")</f>
        <v>Search</v>
      </c>
      <c r="L259" s="7"/>
      <c r="M259" s="7"/>
    </row>
    <row r="260" customFormat="false" ht="15" hidden="false" customHeight="true" outlineLevel="0" collapsed="false">
      <c r="A260" s="4" t="s">
        <v>856</v>
      </c>
      <c r="B260" s="4" t="s">
        <v>1152</v>
      </c>
      <c r="C260" s="4" t="s">
        <v>872</v>
      </c>
      <c r="D260" s="4" t="s">
        <v>872</v>
      </c>
      <c r="E260" s="5" t="n">
        <v>3819538</v>
      </c>
      <c r="F260" s="4" t="n">
        <v>73</v>
      </c>
      <c r="G260" s="4" t="s">
        <v>1153</v>
      </c>
      <c r="H260" s="4" t="n">
        <v>34.05072</v>
      </c>
      <c r="I260" s="4" t="n">
        <v>-118.25478</v>
      </c>
      <c r="J260" s="4" t="s">
        <v>1154</v>
      </c>
      <c r="K260" s="6" t="str">
        <f aca="false">HYPERLINK("https://www.google.com/search?q=Los+Angeles+Public+Library+Los+Angeles+CA+library+website","Search")</f>
        <v>Search</v>
      </c>
      <c r="L260" s="7"/>
      <c r="M260" s="8" t="str">
        <f aca="false">HYPERLINK("https://lapl.overdrive.com","https://lapl.overdrive.com")</f>
        <v>https://lapl.overdrive.com</v>
      </c>
    </row>
    <row r="261" customFormat="false" ht="15" hidden="false" customHeight="true" outlineLevel="0" collapsed="false">
      <c r="A261" s="4" t="s">
        <v>856</v>
      </c>
      <c r="B261" s="4" t="s">
        <v>1155</v>
      </c>
      <c r="C261" s="4" t="s">
        <v>1156</v>
      </c>
      <c r="D261" s="4" t="s">
        <v>1157</v>
      </c>
      <c r="E261" s="5" t="n">
        <v>33062</v>
      </c>
      <c r="F261" s="4" t="n">
        <v>1</v>
      </c>
      <c r="G261" s="4" t="s">
        <v>1158</v>
      </c>
      <c r="H261" s="4" t="n">
        <v>37.22052</v>
      </c>
      <c r="I261" s="4" t="n">
        <v>-121.97806</v>
      </c>
      <c r="J261" s="4" t="s">
        <v>1159</v>
      </c>
      <c r="K261" s="6" t="str">
        <f aca="false">HYPERLINK("https://www.google.com/search?q=Los+Gatos+Library+Los+Gatos+CA+library+website","Search")</f>
        <v>Search</v>
      </c>
      <c r="L261" s="7"/>
      <c r="M261" s="7"/>
    </row>
    <row r="262" customFormat="false" ht="15" hidden="false" customHeight="true" outlineLevel="0" collapsed="false">
      <c r="A262" s="4" t="s">
        <v>856</v>
      </c>
      <c r="B262" s="4" t="s">
        <v>1160</v>
      </c>
      <c r="C262" s="4" t="s">
        <v>1161</v>
      </c>
      <c r="D262" s="4" t="s">
        <v>1161</v>
      </c>
      <c r="E262" s="5" t="n">
        <v>157396</v>
      </c>
      <c r="F262" s="4" t="n">
        <v>5</v>
      </c>
      <c r="G262" s="4" t="s">
        <v>1162</v>
      </c>
      <c r="H262" s="4" t="n">
        <v>36.96112</v>
      </c>
      <c r="I262" s="4" t="n">
        <v>-120.06214</v>
      </c>
      <c r="J262" s="4" t="s">
        <v>1163</v>
      </c>
      <c r="K262" s="6" t="str">
        <f aca="false">HYPERLINK("https://www.google.com/search?q=Madera+County+Library+Madera+CA+library+website","Search")</f>
        <v>Search</v>
      </c>
      <c r="L262" s="7"/>
      <c r="M262" s="8" t="str">
        <f aca="false">HYPERLINK("https://maderalibrary.overdrive.com","https://maderalibrary.overdrive.com")</f>
        <v>https://maderalibrary.overdrive.com</v>
      </c>
    </row>
    <row r="263" customFormat="false" ht="15" hidden="false" customHeight="true" outlineLevel="0" collapsed="false">
      <c r="A263" s="4" t="s">
        <v>856</v>
      </c>
      <c r="B263" s="4" t="s">
        <v>1164</v>
      </c>
      <c r="C263" s="4" t="s">
        <v>1165</v>
      </c>
      <c r="D263" s="4" t="s">
        <v>907</v>
      </c>
      <c r="E263" s="5" t="n">
        <v>139175</v>
      </c>
      <c r="F263" s="4" t="n">
        <v>10</v>
      </c>
      <c r="G263" s="4" t="s">
        <v>1166</v>
      </c>
      <c r="H263" s="4" t="n">
        <v>37.99888</v>
      </c>
      <c r="I263" s="4" t="n">
        <v>-122.53021</v>
      </c>
      <c r="J263" s="4" t="s">
        <v>1167</v>
      </c>
      <c r="K263" s="6" t="str">
        <f aca="false">HYPERLINK("https://www.google.com/search?q=Marin+County+Free+Library+San+Rafael+CA+library+website","Search")</f>
        <v>Search</v>
      </c>
      <c r="L263" s="7"/>
      <c r="M263" s="7"/>
    </row>
    <row r="264" customFormat="false" ht="15" hidden="false" customHeight="true" outlineLevel="0" collapsed="false">
      <c r="A264" s="4" t="s">
        <v>856</v>
      </c>
      <c r="B264" s="4" t="s">
        <v>1168</v>
      </c>
      <c r="C264" s="4" t="s">
        <v>1169</v>
      </c>
      <c r="D264" s="4" t="s">
        <v>1169</v>
      </c>
      <c r="E264" s="5" t="n">
        <v>17045</v>
      </c>
      <c r="F264" s="4" t="n">
        <v>5</v>
      </c>
      <c r="G264" s="4" t="s">
        <v>1170</v>
      </c>
      <c r="H264" s="4" t="n">
        <v>37.48936</v>
      </c>
      <c r="I264" s="4" t="n">
        <v>-119.96737</v>
      </c>
      <c r="J264" s="4" t="s">
        <v>1171</v>
      </c>
      <c r="K264" s="6" t="str">
        <f aca="false">HYPERLINK("https://www.google.com/search?q=Mariposa+County+Library+Mariposa+CA+library+website","Search")</f>
        <v>Search</v>
      </c>
      <c r="L264" s="7"/>
      <c r="M264" s="7"/>
    </row>
    <row r="265" customFormat="false" ht="15" hidden="false" customHeight="true" outlineLevel="0" collapsed="false">
      <c r="A265" s="4" t="s">
        <v>856</v>
      </c>
      <c r="B265" s="4" t="s">
        <v>1172</v>
      </c>
      <c r="C265" s="4" t="s">
        <v>1173</v>
      </c>
      <c r="D265" s="4" t="s">
        <v>1174</v>
      </c>
      <c r="E265" s="5" t="n">
        <v>89999</v>
      </c>
      <c r="F265" s="4" t="n">
        <v>5</v>
      </c>
      <c r="G265" s="4" t="s">
        <v>1175</v>
      </c>
      <c r="H265" s="4" t="n">
        <v>39.15862</v>
      </c>
      <c r="I265" s="4" t="n">
        <v>-123.214</v>
      </c>
      <c r="J265" s="4" t="s">
        <v>1176</v>
      </c>
      <c r="K265" s="6" t="str">
        <f aca="false">HYPERLINK("https://www.google.com/search?q=Mendocino+County+Library+Ukiah+CA+library+website","Search")</f>
        <v>Search</v>
      </c>
      <c r="L265" s="7"/>
      <c r="M265" s="7"/>
    </row>
    <row r="266" customFormat="false" ht="15" hidden="false" customHeight="true" outlineLevel="0" collapsed="false">
      <c r="A266" s="4" t="s">
        <v>856</v>
      </c>
      <c r="B266" s="4" t="s">
        <v>1177</v>
      </c>
      <c r="C266" s="4" t="s">
        <v>1178</v>
      </c>
      <c r="D266" s="4" t="s">
        <v>943</v>
      </c>
      <c r="E266" s="5" t="n">
        <v>33034</v>
      </c>
      <c r="F266" s="4" t="n">
        <v>2</v>
      </c>
      <c r="G266" s="4" t="s">
        <v>1179</v>
      </c>
      <c r="H266" s="4" t="n">
        <v>37.45233</v>
      </c>
      <c r="I266" s="4" t="n">
        <v>-122.17792</v>
      </c>
      <c r="J266" s="4" t="s">
        <v>1180</v>
      </c>
      <c r="K266" s="6" t="str">
        <f aca="false">HYPERLINK("https://www.google.com/search?q=Menlo+Park+Public+Library+Menlo+Park+CA+library+website","Search")</f>
        <v>Search</v>
      </c>
      <c r="L266" s="7"/>
      <c r="M266" s="7"/>
    </row>
    <row r="267" customFormat="false" ht="15" hidden="false" customHeight="true" outlineLevel="0" collapsed="false">
      <c r="A267" s="4" t="s">
        <v>856</v>
      </c>
      <c r="B267" s="4" t="s">
        <v>1181</v>
      </c>
      <c r="C267" s="4" t="s">
        <v>1182</v>
      </c>
      <c r="D267" s="4" t="s">
        <v>1182</v>
      </c>
      <c r="E267" s="5" t="n">
        <v>284338</v>
      </c>
      <c r="F267" s="4" t="n">
        <v>12</v>
      </c>
      <c r="G267" s="4" t="s">
        <v>1183</v>
      </c>
      <c r="H267" s="4" t="n">
        <v>37.30765</v>
      </c>
      <c r="I267" s="4" t="n">
        <v>-120.48531</v>
      </c>
      <c r="J267" s="4" t="s">
        <v>1184</v>
      </c>
      <c r="K267" s="6" t="str">
        <f aca="false">HYPERLINK("https://www.google.com/search?q=Merced+County+Library+Merced+CA+library+website","Search")</f>
        <v>Search</v>
      </c>
      <c r="L267" s="7"/>
      <c r="M267" s="8" t="str">
        <f aca="false">HYPERLINK("https://mercedcountylibrary.overdrive.com","https://mercedcountylibrary.overdrive.com")</f>
        <v>https://mercedcountylibrary.overdrive.com</v>
      </c>
    </row>
    <row r="268" customFormat="false" ht="15" hidden="false" customHeight="true" outlineLevel="0" collapsed="false">
      <c r="A268" s="4" t="s">
        <v>856</v>
      </c>
      <c r="B268" s="4" t="s">
        <v>1185</v>
      </c>
      <c r="C268" s="4" t="s">
        <v>1186</v>
      </c>
      <c r="D268" s="4" t="s">
        <v>907</v>
      </c>
      <c r="E268" s="5" t="n">
        <v>13850</v>
      </c>
      <c r="F268" s="4" t="n">
        <v>1</v>
      </c>
      <c r="G268" s="4" t="s">
        <v>1187</v>
      </c>
      <c r="H268" s="4" t="n">
        <v>37.90626</v>
      </c>
      <c r="I268" s="4" t="n">
        <v>-122.5543</v>
      </c>
      <c r="J268" s="4" t="s">
        <v>1188</v>
      </c>
      <c r="K268" s="6" t="str">
        <f aca="false">HYPERLINK("https://www.google.com/search?q=Mill+Valley+Public+Library+Mill+Valley+CA+library+website","Search")</f>
        <v>Search</v>
      </c>
      <c r="L268" s="7"/>
      <c r="M268" s="7"/>
    </row>
    <row r="269" customFormat="false" ht="15" hidden="false" customHeight="true" outlineLevel="0" collapsed="false">
      <c r="A269" s="4" t="s">
        <v>856</v>
      </c>
      <c r="B269" s="4" t="s">
        <v>1189</v>
      </c>
      <c r="C269" s="4" t="s">
        <v>1190</v>
      </c>
      <c r="D269" s="4" t="s">
        <v>885</v>
      </c>
      <c r="E269" s="5" t="n">
        <v>92515</v>
      </c>
      <c r="F269" s="4" t="n">
        <v>1</v>
      </c>
      <c r="G269" s="4" t="s">
        <v>1191</v>
      </c>
      <c r="H269" s="4" t="n">
        <v>33.59591</v>
      </c>
      <c r="I269" s="4" t="n">
        <v>-117.65955</v>
      </c>
      <c r="J269" s="4" t="s">
        <v>1192</v>
      </c>
      <c r="K269" s="6" t="str">
        <f aca="false">HYPERLINK("https://www.google.com/search?q=Mission+Viejo+Library+Mission+Viejo+CA+library+website","Search")</f>
        <v>Search</v>
      </c>
      <c r="L269" s="7"/>
      <c r="M269" s="7"/>
    </row>
    <row r="270" customFormat="false" ht="15" hidden="false" customHeight="true" outlineLevel="0" collapsed="false">
      <c r="A270" s="4" t="s">
        <v>856</v>
      </c>
      <c r="B270" s="4" t="s">
        <v>1193</v>
      </c>
      <c r="C270" s="4" t="s">
        <v>1194</v>
      </c>
      <c r="D270" s="4" t="s">
        <v>1195</v>
      </c>
      <c r="E270" s="5" t="n">
        <v>13379</v>
      </c>
      <c r="F270" s="4" t="n">
        <v>7</v>
      </c>
      <c r="G270" s="4" t="s">
        <v>1196</v>
      </c>
      <c r="H270" s="4" t="n">
        <v>37.64005</v>
      </c>
      <c r="I270" s="4" t="n">
        <v>-118.96392</v>
      </c>
      <c r="J270" s="4" t="s">
        <v>1197</v>
      </c>
      <c r="K270" s="6" t="str">
        <f aca="false">HYPERLINK("https://www.google.com/search?q=Mono+County+Free+Library+Mammoth+Lakes+CA+library+website","Search")</f>
        <v>Search</v>
      </c>
      <c r="L270" s="7"/>
      <c r="M270" s="7"/>
    </row>
    <row r="271" customFormat="false" ht="15" hidden="false" customHeight="true" outlineLevel="0" collapsed="false">
      <c r="A271" s="4" t="s">
        <v>856</v>
      </c>
      <c r="B271" s="4" t="s">
        <v>1198</v>
      </c>
      <c r="C271" s="4" t="s">
        <v>1199</v>
      </c>
      <c r="D271" s="4" t="s">
        <v>872</v>
      </c>
      <c r="E271" s="5" t="n">
        <v>37563</v>
      </c>
      <c r="F271" s="4" t="n">
        <v>1</v>
      </c>
      <c r="G271" s="4" t="s">
        <v>1200</v>
      </c>
      <c r="H271" s="4" t="n">
        <v>34.14891</v>
      </c>
      <c r="I271" s="4" t="n">
        <v>-118.00107</v>
      </c>
      <c r="J271" s="4" t="s">
        <v>1201</v>
      </c>
      <c r="K271" s="6" t="str">
        <f aca="false">HYPERLINK("https://www.google.com/search?q=Monrovia+Public+Library+Monrovia+CA+library+website","Search")</f>
        <v>Search</v>
      </c>
      <c r="L271" s="7"/>
      <c r="M271" s="7"/>
    </row>
    <row r="272" customFormat="false" ht="15" hidden="false" customHeight="true" outlineLevel="0" collapsed="false">
      <c r="A272" s="4" t="s">
        <v>856</v>
      </c>
      <c r="B272" s="4" t="s">
        <v>1202</v>
      </c>
      <c r="C272" s="4" t="s">
        <v>1203</v>
      </c>
      <c r="D272" s="4" t="s">
        <v>1204</v>
      </c>
      <c r="E272" s="5" t="n">
        <v>227900</v>
      </c>
      <c r="F272" s="4" t="n">
        <v>16</v>
      </c>
      <c r="G272" s="4" t="s">
        <v>1205</v>
      </c>
      <c r="H272" s="4" t="n">
        <v>36.69212</v>
      </c>
      <c r="I272" s="4" t="n">
        <v>-121.79969</v>
      </c>
      <c r="J272" s="4" t="s">
        <v>1206</v>
      </c>
      <c r="K272" s="6" t="str">
        <f aca="false">HYPERLINK("https://www.google.com/search?q=Monterey+County+Free+Libraries+Marina+CA+library+website","Search")</f>
        <v>Search</v>
      </c>
      <c r="L272" s="7"/>
      <c r="M272" s="8" t="str">
        <f aca="false">HYPERLINK("https://emcfl.overdrive.com","https://emcfl.overdrive.com")</f>
        <v>https://emcfl.overdrive.com</v>
      </c>
    </row>
    <row r="273" customFormat="false" ht="15" hidden="false" customHeight="true" outlineLevel="0" collapsed="false">
      <c r="A273" s="4" t="s">
        <v>856</v>
      </c>
      <c r="B273" s="4" t="s">
        <v>1207</v>
      </c>
      <c r="C273" s="4" t="s">
        <v>1208</v>
      </c>
      <c r="D273" s="4" t="s">
        <v>872</v>
      </c>
      <c r="E273" s="5" t="n">
        <v>60207</v>
      </c>
      <c r="F273" s="4" t="n">
        <v>1</v>
      </c>
      <c r="G273" s="4" t="s">
        <v>1209</v>
      </c>
      <c r="H273" s="4" t="n">
        <v>34.05909</v>
      </c>
      <c r="I273" s="4" t="n">
        <v>-118.12545</v>
      </c>
      <c r="J273" s="4" t="s">
        <v>1210</v>
      </c>
      <c r="K273" s="6" t="str">
        <f aca="false">HYPERLINK("https://www.google.com/search?q=Monterey+Park+Bruggemeyer+Library+Monterey+Park+CA+library+website","Search")</f>
        <v>Search</v>
      </c>
      <c r="L273" s="7"/>
      <c r="M273" s="7"/>
    </row>
    <row r="274" customFormat="false" ht="15" hidden="false" customHeight="true" outlineLevel="0" collapsed="false">
      <c r="A274" s="4" t="s">
        <v>856</v>
      </c>
      <c r="B274" s="4" t="s">
        <v>1211</v>
      </c>
      <c r="C274" s="4" t="s">
        <v>1204</v>
      </c>
      <c r="D274" s="4" t="s">
        <v>1204</v>
      </c>
      <c r="E274" s="5" t="n">
        <v>28082</v>
      </c>
      <c r="F274" s="4" t="n">
        <v>1</v>
      </c>
      <c r="G274" s="4" t="s">
        <v>1212</v>
      </c>
      <c r="H274" s="4" t="n">
        <v>36.59649</v>
      </c>
      <c r="I274" s="4" t="n">
        <v>-121.89718</v>
      </c>
      <c r="J274" s="4" t="s">
        <v>1213</v>
      </c>
      <c r="K274" s="6" t="str">
        <f aca="false">HYPERLINK("https://www.google.com/search?q=Monterey+Public+Library+Monterey+CA+library+website","Search")</f>
        <v>Search</v>
      </c>
      <c r="L274" s="7"/>
      <c r="M274" s="7"/>
    </row>
    <row r="275" customFormat="false" ht="15" hidden="false" customHeight="true" outlineLevel="0" collapsed="false">
      <c r="A275" s="4" t="s">
        <v>856</v>
      </c>
      <c r="B275" s="4" t="s">
        <v>1214</v>
      </c>
      <c r="C275" s="4" t="s">
        <v>1215</v>
      </c>
      <c r="D275" s="4" t="s">
        <v>925</v>
      </c>
      <c r="E275" s="5" t="n">
        <v>35399</v>
      </c>
      <c r="F275" s="4" t="n">
        <v>1</v>
      </c>
      <c r="G275" s="4" t="s">
        <v>1216</v>
      </c>
      <c r="H275" s="4" t="n">
        <v>34.28639</v>
      </c>
      <c r="I275" s="4" t="n">
        <v>-118.88222</v>
      </c>
      <c r="J275" s="4" t="s">
        <v>1217</v>
      </c>
      <c r="K275" s="6" t="str">
        <f aca="false">HYPERLINK("https://www.google.com/search?q=Moorpark+City+Library+Moorpark+CA+library+website","Search")</f>
        <v>Search</v>
      </c>
      <c r="L275" s="7"/>
      <c r="M275" s="8" t="str">
        <f aca="false">HYPERLINK("https://mpkdigital.overdrive.com","https://mpkdigital.overdrive.com")</f>
        <v>https://mpkdigital.overdrive.com</v>
      </c>
    </row>
    <row r="276" customFormat="false" ht="15" hidden="false" customHeight="true" outlineLevel="0" collapsed="false">
      <c r="A276" s="4" t="s">
        <v>856</v>
      </c>
      <c r="B276" s="4" t="s">
        <v>1218</v>
      </c>
      <c r="C276" s="4" t="s">
        <v>1219</v>
      </c>
      <c r="D276" s="4" t="s">
        <v>898</v>
      </c>
      <c r="E276" s="5" t="n">
        <v>209407</v>
      </c>
      <c r="F276" s="4" t="n">
        <v>3</v>
      </c>
      <c r="G276" s="4" t="s">
        <v>1220</v>
      </c>
      <c r="H276" s="4" t="n">
        <v>33.91747</v>
      </c>
      <c r="I276" s="4" t="n">
        <v>-117.21798</v>
      </c>
      <c r="J276" s="4" t="s">
        <v>1221</v>
      </c>
      <c r="K276" s="6" t="str">
        <f aca="false">HYPERLINK("https://www.google.com/search?q=Moreno+Valley+Public+Library+Moreno+Valley+CA+library+website","Search")</f>
        <v>Search</v>
      </c>
      <c r="L276" s="7"/>
      <c r="M276" s="7"/>
    </row>
    <row r="277" customFormat="false" ht="15" hidden="false" customHeight="true" outlineLevel="0" collapsed="false">
      <c r="A277" s="4" t="s">
        <v>856</v>
      </c>
      <c r="B277" s="4" t="s">
        <v>1222</v>
      </c>
      <c r="C277" s="4" t="s">
        <v>664</v>
      </c>
      <c r="D277" s="4" t="s">
        <v>1157</v>
      </c>
      <c r="E277" s="5" t="n">
        <v>83864</v>
      </c>
      <c r="F277" s="4" t="n">
        <v>1</v>
      </c>
      <c r="G277" s="4" t="s">
        <v>1223</v>
      </c>
      <c r="H277" s="4" t="n">
        <v>37.39049</v>
      </c>
      <c r="I277" s="4" t="n">
        <v>-122.08376</v>
      </c>
      <c r="J277" s="4" t="s">
        <v>1224</v>
      </c>
      <c r="K277" s="6" t="str">
        <f aca="false">HYPERLINK("https://www.google.com/search?q=Mountain+View+Public+Library+Mountain+View+CA+library+website","Search")</f>
        <v>Search</v>
      </c>
      <c r="L277" s="7"/>
      <c r="M277" s="7"/>
    </row>
    <row r="278" customFormat="false" ht="15" hidden="false" customHeight="true" outlineLevel="0" collapsed="false">
      <c r="A278" s="4" t="s">
        <v>856</v>
      </c>
      <c r="B278" s="4" t="s">
        <v>1225</v>
      </c>
      <c r="C278" s="4" t="s">
        <v>1226</v>
      </c>
      <c r="D278" s="4" t="s">
        <v>898</v>
      </c>
      <c r="E278" s="5" t="n">
        <v>111183</v>
      </c>
      <c r="F278" s="4" t="n">
        <v>1</v>
      </c>
      <c r="G278" s="4" t="s">
        <v>1227</v>
      </c>
      <c r="H278" s="4" t="n">
        <v>33.55843</v>
      </c>
      <c r="I278" s="4" t="n">
        <v>-117.21188</v>
      </c>
      <c r="J278" s="4" t="s">
        <v>1228</v>
      </c>
      <c r="K278" s="6" t="str">
        <f aca="false">HYPERLINK("https://www.google.com/search?q=Murrieta+Public+Library+Murrieta+CA+library+website","Search")</f>
        <v>Search</v>
      </c>
      <c r="L278" s="7"/>
      <c r="M278" s="7"/>
    </row>
    <row r="279" customFormat="false" ht="15" hidden="false" customHeight="true" outlineLevel="0" collapsed="false">
      <c r="A279" s="4" t="s">
        <v>856</v>
      </c>
      <c r="B279" s="4" t="s">
        <v>1229</v>
      </c>
      <c r="C279" s="4" t="s">
        <v>1230</v>
      </c>
      <c r="D279" s="4" t="s">
        <v>1230</v>
      </c>
      <c r="E279" s="5" t="n">
        <v>130742</v>
      </c>
      <c r="F279" s="4" t="n">
        <v>4</v>
      </c>
      <c r="G279" s="4" t="s">
        <v>1231</v>
      </c>
      <c r="H279" s="4" t="n">
        <v>38.29533</v>
      </c>
      <c r="I279" s="4" t="n">
        <v>-122.28433</v>
      </c>
      <c r="J279" s="4" t="s">
        <v>1232</v>
      </c>
      <c r="K279" s="6" t="str">
        <f aca="false">HYPERLINK("https://www.google.com/search?q=Napa+County+Library+Napa+CA+library+website","Search")</f>
        <v>Search</v>
      </c>
      <c r="L279" s="7"/>
      <c r="M279" s="7"/>
    </row>
    <row r="280" customFormat="false" ht="15" hidden="false" customHeight="true" outlineLevel="0" collapsed="false">
      <c r="A280" s="4" t="s">
        <v>856</v>
      </c>
      <c r="B280" s="4" t="s">
        <v>1233</v>
      </c>
      <c r="C280" s="4" t="s">
        <v>1234</v>
      </c>
      <c r="D280" s="4" t="s">
        <v>970</v>
      </c>
      <c r="E280" s="5" t="n">
        <v>61471</v>
      </c>
      <c r="F280" s="4" t="n">
        <v>1</v>
      </c>
      <c r="G280" s="4" t="s">
        <v>1235</v>
      </c>
      <c r="H280" s="4" t="n">
        <v>32.67038</v>
      </c>
      <c r="I280" s="4" t="n">
        <v>-117.10472</v>
      </c>
      <c r="J280" s="4" t="s">
        <v>1236</v>
      </c>
      <c r="K280" s="6" t="str">
        <f aca="false">HYPERLINK("https://www.google.com/search?q=National+City+Public+Library+National+City+CA+library+website","Search")</f>
        <v>Search</v>
      </c>
      <c r="L280" s="7"/>
      <c r="M280" s="7"/>
    </row>
    <row r="281" customFormat="false" ht="15" hidden="false" customHeight="true" outlineLevel="0" collapsed="false">
      <c r="A281" s="4" t="s">
        <v>856</v>
      </c>
      <c r="B281" s="4" t="s">
        <v>1237</v>
      </c>
      <c r="C281" s="4" t="s">
        <v>1238</v>
      </c>
      <c r="D281" s="4" t="s">
        <v>633</v>
      </c>
      <c r="E281" s="5" t="n">
        <v>101242</v>
      </c>
      <c r="F281" s="4" t="n">
        <v>6</v>
      </c>
      <c r="G281" s="4" t="s">
        <v>1239</v>
      </c>
      <c r="H281" s="4" t="n">
        <v>39.27002</v>
      </c>
      <c r="I281" s="4" t="n">
        <v>-121.02446</v>
      </c>
      <c r="J281" s="4" t="s">
        <v>1240</v>
      </c>
      <c r="K281" s="6" t="str">
        <f aca="false">HYPERLINK("https://www.google.com/search?q=Nevada+County+Library+Nevada+City+CA+library+website","Search")</f>
        <v>Search</v>
      </c>
      <c r="L281" s="7"/>
      <c r="M281" s="7"/>
    </row>
    <row r="282" customFormat="false" ht="15" hidden="false" customHeight="true" outlineLevel="0" collapsed="false">
      <c r="A282" s="4" t="s">
        <v>856</v>
      </c>
      <c r="B282" s="4" t="s">
        <v>1241</v>
      </c>
      <c r="C282" s="4" t="s">
        <v>1242</v>
      </c>
      <c r="D282" s="4" t="s">
        <v>885</v>
      </c>
      <c r="E282" s="5" t="n">
        <v>83727</v>
      </c>
      <c r="F282" s="4" t="n">
        <v>4</v>
      </c>
      <c r="G282" s="4" t="s">
        <v>1243</v>
      </c>
      <c r="H282" s="4" t="n">
        <v>33.60817</v>
      </c>
      <c r="I282" s="4" t="n">
        <v>-117.87373</v>
      </c>
      <c r="J282" s="4" t="s">
        <v>1244</v>
      </c>
      <c r="K282" s="6" t="str">
        <f aca="false">HYPERLINK("https://www.google.com/search?q=Newport+Beach+Public+Library+Newport+Beach+CA+library+website","Search")</f>
        <v>Search</v>
      </c>
      <c r="L282" s="7"/>
      <c r="M282" s="7"/>
    </row>
    <row r="283" customFormat="false" ht="15" hidden="false" customHeight="true" outlineLevel="0" collapsed="false">
      <c r="A283" s="4" t="s">
        <v>856</v>
      </c>
      <c r="B283" s="4" t="s">
        <v>1245</v>
      </c>
      <c r="C283" s="4" t="s">
        <v>1246</v>
      </c>
      <c r="D283" s="4" t="s">
        <v>864</v>
      </c>
      <c r="E283" s="5" t="n">
        <v>447938</v>
      </c>
      <c r="F283" s="4" t="n">
        <v>18</v>
      </c>
      <c r="G283" s="4" t="s">
        <v>1247</v>
      </c>
      <c r="H283" s="4" t="n">
        <v>37.80131</v>
      </c>
      <c r="I283" s="4" t="n">
        <v>-122.26362</v>
      </c>
      <c r="J283" s="4" t="s">
        <v>1248</v>
      </c>
      <c r="K283" s="6" t="str">
        <f aca="false">HYPERLINK("https://www.google.com/search?q=Oakland+Public+Library+Oakland+CA+library+website","Search")</f>
        <v>Search</v>
      </c>
      <c r="L283" s="7"/>
      <c r="M283" s="7"/>
    </row>
    <row r="284" customFormat="false" ht="15" hidden="false" customHeight="true" outlineLevel="0" collapsed="false">
      <c r="A284" s="4" t="s">
        <v>856</v>
      </c>
      <c r="B284" s="4" t="s">
        <v>1249</v>
      </c>
      <c r="C284" s="4" t="s">
        <v>1250</v>
      </c>
      <c r="D284" s="4" t="s">
        <v>970</v>
      </c>
      <c r="E284" s="5" t="n">
        <v>173048</v>
      </c>
      <c r="F284" s="4" t="n">
        <v>3</v>
      </c>
      <c r="G284" s="4" t="s">
        <v>1251</v>
      </c>
      <c r="H284" s="4" t="n">
        <v>33.19703</v>
      </c>
      <c r="I284" s="4" t="n">
        <v>-117.3804</v>
      </c>
      <c r="J284" s="4" t="s">
        <v>1252</v>
      </c>
      <c r="K284" s="6" t="str">
        <f aca="false">HYPERLINK("https://www.google.com/search?q=Oceanside+Public+Library+Oceanside+CA+library+website","Search")</f>
        <v>Search</v>
      </c>
      <c r="L284" s="7"/>
      <c r="M284" s="7"/>
    </row>
    <row r="285" customFormat="false" ht="15" hidden="false" customHeight="true" outlineLevel="0" collapsed="false">
      <c r="A285" s="4" t="s">
        <v>856</v>
      </c>
      <c r="B285" s="4" t="s">
        <v>1253</v>
      </c>
      <c r="C285" s="4" t="s">
        <v>1254</v>
      </c>
      <c r="D285" s="4" t="s">
        <v>859</v>
      </c>
      <c r="E285" s="5" t="n">
        <v>179516</v>
      </c>
      <c r="F285" s="4" t="n">
        <v>2</v>
      </c>
      <c r="G285" s="4" t="s">
        <v>1255</v>
      </c>
      <c r="H285" s="4" t="n">
        <v>34.06584</v>
      </c>
      <c r="I285" s="4" t="n">
        <v>-117.64937</v>
      </c>
      <c r="J285" s="4" t="s">
        <v>1256</v>
      </c>
      <c r="K285" s="6" t="str">
        <f aca="false">HYPERLINK("https://www.google.com/search?q=Ontario+City+Library+Ontario+CA+library+website","Search")</f>
        <v>Search</v>
      </c>
      <c r="L285" s="7"/>
      <c r="M285" s="7"/>
    </row>
    <row r="286" customFormat="false" ht="15" hidden="false" customHeight="true" outlineLevel="0" collapsed="false">
      <c r="A286" s="4" t="s">
        <v>856</v>
      </c>
      <c r="B286" s="4" t="s">
        <v>1257</v>
      </c>
      <c r="C286" s="4" t="s">
        <v>1258</v>
      </c>
      <c r="D286" s="4" t="s">
        <v>885</v>
      </c>
      <c r="E286" s="5" t="n">
        <v>1657924</v>
      </c>
      <c r="F286" s="4" t="n">
        <v>32</v>
      </c>
      <c r="G286" s="4" t="s">
        <v>1259</v>
      </c>
      <c r="H286" s="4" t="n">
        <v>33.72295</v>
      </c>
      <c r="I286" s="4" t="n">
        <v>-117.84957</v>
      </c>
      <c r="J286" s="4" t="s">
        <v>1260</v>
      </c>
      <c r="K286" s="6" t="str">
        <f aca="false">HYPERLINK("https://www.google.com/search?q=Orange+County+Public+Libraries+Santa+Ana+CA+library+website","Search")</f>
        <v>Search</v>
      </c>
      <c r="L286" s="7"/>
      <c r="M286" s="7"/>
    </row>
    <row r="287" customFormat="false" ht="15" hidden="false" customHeight="true" outlineLevel="0" collapsed="false">
      <c r="A287" s="4" t="s">
        <v>856</v>
      </c>
      <c r="B287" s="4" t="s">
        <v>1261</v>
      </c>
      <c r="C287" s="4" t="s">
        <v>885</v>
      </c>
      <c r="D287" s="4" t="s">
        <v>885</v>
      </c>
      <c r="E287" s="5" t="n">
        <v>137676</v>
      </c>
      <c r="F287" s="4" t="n">
        <v>3</v>
      </c>
      <c r="G287" s="4" t="s">
        <v>1262</v>
      </c>
      <c r="H287" s="4" t="n">
        <v>33.78789</v>
      </c>
      <c r="I287" s="4" t="n">
        <v>-117.8495</v>
      </c>
      <c r="J287" s="4" t="s">
        <v>1263</v>
      </c>
      <c r="K287" s="6" t="str">
        <f aca="false">HYPERLINK("https://www.google.com/search?q=Orange+Public+Library+Orange+CA+library+website","Search")</f>
        <v>Search</v>
      </c>
      <c r="L287" s="7"/>
      <c r="M287" s="7"/>
    </row>
    <row r="288" customFormat="false" ht="15" hidden="false" customHeight="true" outlineLevel="0" collapsed="false">
      <c r="A288" s="4" t="s">
        <v>856</v>
      </c>
      <c r="B288" s="4" t="s">
        <v>1264</v>
      </c>
      <c r="C288" s="4" t="s">
        <v>1265</v>
      </c>
      <c r="D288" s="4" t="s">
        <v>1266</v>
      </c>
      <c r="E288" s="5" t="n">
        <v>15295</v>
      </c>
      <c r="F288" s="4" t="n">
        <v>1</v>
      </c>
      <c r="G288" s="4" t="s">
        <v>1267</v>
      </c>
      <c r="H288" s="4" t="n">
        <v>39.74519</v>
      </c>
      <c r="I288" s="4" t="n">
        <v>-122.19377</v>
      </c>
      <c r="J288" s="4" t="s">
        <v>1268</v>
      </c>
      <c r="K288" s="6" t="str">
        <f aca="false">HYPERLINK("https://www.google.com/search?q=Orland+Free+Library+Orland+CA+library+website","Search")</f>
        <v>Search</v>
      </c>
      <c r="L288" s="7"/>
      <c r="M288" s="7"/>
    </row>
    <row r="289" customFormat="false" ht="15" hidden="false" customHeight="true" outlineLevel="0" collapsed="false">
      <c r="A289" s="4" t="s">
        <v>856</v>
      </c>
      <c r="B289" s="4" t="s">
        <v>1269</v>
      </c>
      <c r="C289" s="4" t="s">
        <v>1270</v>
      </c>
      <c r="D289" s="4" t="s">
        <v>925</v>
      </c>
      <c r="E289" s="5" t="n">
        <v>200050</v>
      </c>
      <c r="F289" s="4" t="n">
        <v>3</v>
      </c>
      <c r="G289" s="4" t="s">
        <v>1271</v>
      </c>
      <c r="H289" s="4" t="n">
        <v>34.20096</v>
      </c>
      <c r="I289" s="4" t="n">
        <v>-119.17858</v>
      </c>
      <c r="J289" s="4" t="s">
        <v>1272</v>
      </c>
      <c r="K289" s="6" t="str">
        <f aca="false">HYPERLINK("https://www.google.com/search?q=Oxnard+Public+Library+Oxnard+CA+library+website","Search")</f>
        <v>Search</v>
      </c>
      <c r="L289" s="7"/>
      <c r="M289" s="7"/>
    </row>
    <row r="290" customFormat="false" ht="15" hidden="false" customHeight="true" outlineLevel="0" collapsed="false">
      <c r="A290" s="4" t="s">
        <v>856</v>
      </c>
      <c r="B290" s="4" t="s">
        <v>1273</v>
      </c>
      <c r="C290" s="4" t="s">
        <v>1274</v>
      </c>
      <c r="D290" s="4" t="s">
        <v>1204</v>
      </c>
      <c r="E290" s="5" t="n">
        <v>14761</v>
      </c>
      <c r="F290" s="4" t="n">
        <v>1</v>
      </c>
      <c r="G290" s="4" t="s">
        <v>1275</v>
      </c>
      <c r="H290" s="4" t="n">
        <v>36.62204</v>
      </c>
      <c r="I290" s="4" t="n">
        <v>-121.91635</v>
      </c>
      <c r="J290" s="4" t="s">
        <v>1276</v>
      </c>
      <c r="K290" s="6" t="str">
        <f aca="false">HYPERLINK("https://www.google.com/search?q=Pacific+Grove+Public+Library+Pacific+Grove+CA+library+website","Search")</f>
        <v>Search</v>
      </c>
      <c r="L290" s="7"/>
      <c r="M290" s="7"/>
    </row>
    <row r="291" customFormat="false" ht="15" hidden="false" customHeight="true" outlineLevel="0" collapsed="false">
      <c r="A291" s="4" t="s">
        <v>856</v>
      </c>
      <c r="B291" s="4" t="s">
        <v>1277</v>
      </c>
      <c r="C291" s="4" t="s">
        <v>1278</v>
      </c>
      <c r="D291" s="4" t="s">
        <v>898</v>
      </c>
      <c r="E291" s="5" t="n">
        <v>44397</v>
      </c>
      <c r="F291" s="4" t="n">
        <v>2</v>
      </c>
      <c r="G291" s="4" t="s">
        <v>1279</v>
      </c>
      <c r="H291" s="4" t="n">
        <v>33.81943</v>
      </c>
      <c r="I291" s="4" t="n">
        <v>-116.52816</v>
      </c>
      <c r="J291" s="4" t="s">
        <v>1280</v>
      </c>
      <c r="K291" s="6" t="str">
        <f aca="false">HYPERLINK("https://www.google.com/search?q=Palm+Springs+Public+Library+Palm+Springs+CA+library+website","Search")</f>
        <v>Search</v>
      </c>
      <c r="L291" s="7"/>
      <c r="M291" s="7"/>
    </row>
    <row r="292" customFormat="false" ht="15" hidden="false" customHeight="true" outlineLevel="0" collapsed="false">
      <c r="A292" s="4" t="s">
        <v>856</v>
      </c>
      <c r="B292" s="4" t="s">
        <v>1281</v>
      </c>
      <c r="C292" s="4" t="s">
        <v>1282</v>
      </c>
      <c r="D292" s="4" t="s">
        <v>872</v>
      </c>
      <c r="E292" s="5" t="n">
        <v>167398</v>
      </c>
      <c r="F292" s="4" t="n">
        <v>1</v>
      </c>
      <c r="G292" s="4" t="s">
        <v>1283</v>
      </c>
      <c r="H292" s="4" t="n">
        <v>34.57945</v>
      </c>
      <c r="I292" s="4" t="n">
        <v>-118.11655</v>
      </c>
      <c r="J292" s="4" t="s">
        <v>1284</v>
      </c>
      <c r="K292" s="6" t="str">
        <f aca="false">HYPERLINK("https://www.google.com/search?q=Palmdale+City+Library+Palmdale+CA+library+website","Search")</f>
        <v>Search</v>
      </c>
      <c r="L292" s="7"/>
      <c r="M292" s="7"/>
    </row>
    <row r="293" customFormat="false" ht="15" hidden="false" customHeight="true" outlineLevel="0" collapsed="false">
      <c r="A293" s="4" t="s">
        <v>856</v>
      </c>
      <c r="B293" s="4" t="s">
        <v>1285</v>
      </c>
      <c r="C293" s="4" t="s">
        <v>1286</v>
      </c>
      <c r="D293" s="4" t="s">
        <v>1157</v>
      </c>
      <c r="E293" s="5" t="n">
        <v>67473</v>
      </c>
      <c r="F293" s="4" t="n">
        <v>5</v>
      </c>
      <c r="G293" s="4" t="s">
        <v>1287</v>
      </c>
      <c r="H293" s="4" t="n">
        <v>37.44403</v>
      </c>
      <c r="I293" s="4" t="n">
        <v>-122.15935</v>
      </c>
      <c r="J293" s="4" t="s">
        <v>1288</v>
      </c>
      <c r="K293" s="6" t="str">
        <f aca="false">HYPERLINK("https://www.google.com/search?q=Palo+Alto+City+Library+Palo+Alto+CA+library+website","Search")</f>
        <v>Search</v>
      </c>
      <c r="L293" s="7"/>
      <c r="M293" s="7"/>
    </row>
    <row r="294" customFormat="false" ht="15" hidden="false" customHeight="true" outlineLevel="0" collapsed="false">
      <c r="A294" s="4" t="s">
        <v>856</v>
      </c>
      <c r="B294" s="4" t="s">
        <v>1289</v>
      </c>
      <c r="C294" s="4" t="s">
        <v>1290</v>
      </c>
      <c r="D294" s="4" t="s">
        <v>898</v>
      </c>
      <c r="E294" s="5" t="n">
        <v>20119</v>
      </c>
      <c r="F294" s="4" t="n">
        <v>1</v>
      </c>
      <c r="G294" s="4" t="s">
        <v>1291</v>
      </c>
      <c r="H294" s="4" t="n">
        <v>33.61767</v>
      </c>
      <c r="I294" s="4" t="n">
        <v>-114.59734</v>
      </c>
      <c r="J294" s="4" t="s">
        <v>1292</v>
      </c>
      <c r="K294" s="6" t="str">
        <f aca="false">HYPERLINK("https://www.google.com/search?q=Palo+Verde+Valley+Library+District+Blythe+CA+library+website","Search")</f>
        <v>Search</v>
      </c>
      <c r="L294" s="7"/>
      <c r="M294" s="7"/>
    </row>
    <row r="295" customFormat="false" ht="15" hidden="false" customHeight="true" outlineLevel="0" collapsed="false">
      <c r="A295" s="4" t="s">
        <v>856</v>
      </c>
      <c r="B295" s="4" t="s">
        <v>1293</v>
      </c>
      <c r="C295" s="4" t="s">
        <v>1294</v>
      </c>
      <c r="D295" s="4" t="s">
        <v>872</v>
      </c>
      <c r="E295" s="5" t="n">
        <v>66636</v>
      </c>
      <c r="F295" s="4" t="n">
        <v>3</v>
      </c>
      <c r="G295" s="4" t="s">
        <v>1295</v>
      </c>
      <c r="H295" s="4" t="n">
        <v>33.77088</v>
      </c>
      <c r="I295" s="4" t="n">
        <v>-118.36995</v>
      </c>
      <c r="J295" s="4" t="s">
        <v>1296</v>
      </c>
      <c r="K295" s="6" t="str">
        <f aca="false">HYPERLINK("https://www.google.com/search?q=Palos+Verdes+Library+District+Rolling+Hills+Estate+CA+library+website","Search")</f>
        <v>Search</v>
      </c>
      <c r="L295" s="7"/>
      <c r="M295" s="8" t="str">
        <f aca="false">HYPERLINK("https://pvld.overdrive.com","https://pvld.overdrive.com")</f>
        <v>https://pvld.overdrive.com</v>
      </c>
    </row>
    <row r="296" customFormat="false" ht="15" hidden="false" customHeight="true" outlineLevel="0" collapsed="false">
      <c r="A296" s="4" t="s">
        <v>856</v>
      </c>
      <c r="B296" s="4" t="s">
        <v>1297</v>
      </c>
      <c r="C296" s="4" t="s">
        <v>1298</v>
      </c>
      <c r="D296" s="4" t="s">
        <v>872</v>
      </c>
      <c r="E296" s="5" t="n">
        <v>138310</v>
      </c>
      <c r="F296" s="4" t="n">
        <v>10</v>
      </c>
      <c r="G296" s="4" t="s">
        <v>1299</v>
      </c>
      <c r="H296" s="4" t="n">
        <v>34.14954</v>
      </c>
      <c r="I296" s="4" t="n">
        <v>-118.14431</v>
      </c>
      <c r="J296" s="4" t="s">
        <v>1300</v>
      </c>
      <c r="K296" s="6" t="str">
        <f aca="false">HYPERLINK("https://www.google.com/search?q=Pasadena+Public+Library+Pasadena+CA+library+website","Search")</f>
        <v>Search</v>
      </c>
      <c r="L296" s="7"/>
      <c r="M296" s="7"/>
    </row>
    <row r="297" customFormat="false" ht="15" hidden="false" customHeight="true" outlineLevel="0" collapsed="false">
      <c r="A297" s="4" t="s">
        <v>856</v>
      </c>
      <c r="B297" s="4" t="s">
        <v>1301</v>
      </c>
      <c r="C297" s="4" t="s">
        <v>1302</v>
      </c>
      <c r="D297" s="4" t="s">
        <v>1303</v>
      </c>
      <c r="E297" s="5" t="n">
        <v>31176</v>
      </c>
      <c r="F297" s="4" t="n">
        <v>2</v>
      </c>
      <c r="G297" s="4" t="s">
        <v>1304</v>
      </c>
      <c r="H297" s="4" t="n">
        <v>35.62534</v>
      </c>
      <c r="I297" s="4" t="n">
        <v>-120.69126</v>
      </c>
      <c r="J297" s="4" t="s">
        <v>1305</v>
      </c>
      <c r="K297" s="6" t="str">
        <f aca="false">HYPERLINK("https://www.google.com/search?q=Paso+Robles+City+Library+Paso+Robles+CA+library+website","Search")</f>
        <v>Search</v>
      </c>
      <c r="L297" s="7"/>
      <c r="M297" s="7"/>
    </row>
    <row r="298" customFormat="false" ht="15" hidden="false" customHeight="true" outlineLevel="0" collapsed="false">
      <c r="A298" s="4" t="s">
        <v>856</v>
      </c>
      <c r="B298" s="4" t="s">
        <v>1306</v>
      </c>
      <c r="C298" s="4" t="s">
        <v>1307</v>
      </c>
      <c r="D298" s="4" t="s">
        <v>885</v>
      </c>
      <c r="E298" s="5" t="n">
        <v>51204</v>
      </c>
      <c r="F298" s="4" t="n">
        <v>1</v>
      </c>
      <c r="G298" s="4" t="s">
        <v>1308</v>
      </c>
      <c r="H298" s="4" t="n">
        <v>33.87118</v>
      </c>
      <c r="I298" s="4" t="n">
        <v>-117.86081</v>
      </c>
      <c r="J298" s="4" t="s">
        <v>1309</v>
      </c>
      <c r="K298" s="6" t="str">
        <f aca="false">HYPERLINK("https://www.google.com/search?q=Placentia+Library+District+Placentia+CA+library+website","Search")</f>
        <v>Search</v>
      </c>
      <c r="L298" s="7"/>
      <c r="M298" s="7"/>
    </row>
    <row r="299" customFormat="false" ht="15" hidden="false" customHeight="true" outlineLevel="0" collapsed="false">
      <c r="A299" s="4" t="s">
        <v>856</v>
      </c>
      <c r="B299" s="4" t="s">
        <v>1310</v>
      </c>
      <c r="C299" s="4" t="s">
        <v>82</v>
      </c>
      <c r="D299" s="4" t="s">
        <v>1132</v>
      </c>
      <c r="E299" s="5" t="n">
        <v>200000</v>
      </c>
      <c r="F299" s="4" t="n">
        <v>9</v>
      </c>
      <c r="G299" s="4" t="s">
        <v>1311</v>
      </c>
      <c r="H299" s="4" t="n">
        <v>38.9061</v>
      </c>
      <c r="I299" s="4" t="n">
        <v>-121.08245</v>
      </c>
      <c r="J299" s="4" t="s">
        <v>1312</v>
      </c>
      <c r="K299" s="6" t="str">
        <f aca="false">HYPERLINK("https://www.google.com/search?q=Placer+County+Library+Auburn+CA+library+website","Search")</f>
        <v>Search</v>
      </c>
      <c r="L299" s="7"/>
      <c r="M299" s="7"/>
    </row>
    <row r="300" customFormat="false" ht="15" hidden="false" customHeight="true" outlineLevel="0" collapsed="false">
      <c r="A300" s="4" t="s">
        <v>856</v>
      </c>
      <c r="B300" s="4" t="s">
        <v>1313</v>
      </c>
      <c r="C300" s="4" t="s">
        <v>1314</v>
      </c>
      <c r="D300" s="4" t="s">
        <v>864</v>
      </c>
      <c r="E300" s="5" t="n">
        <v>77609</v>
      </c>
      <c r="F300" s="4" t="n">
        <v>1</v>
      </c>
      <c r="G300" s="4" t="s">
        <v>1315</v>
      </c>
      <c r="H300" s="4" t="n">
        <v>37.65779</v>
      </c>
      <c r="I300" s="4" t="n">
        <v>-121.88098</v>
      </c>
      <c r="J300" s="4" t="s">
        <v>1316</v>
      </c>
      <c r="K300" s="6" t="str">
        <f aca="false">HYPERLINK("https://www.google.com/search?q=Pleasanton+Public+Library+Pleasanton+CA+library+website","Search")</f>
        <v>Search</v>
      </c>
      <c r="L300" s="7"/>
      <c r="M300" s="7"/>
    </row>
    <row r="301" customFormat="false" ht="15" hidden="false" customHeight="true" outlineLevel="0" collapsed="false">
      <c r="A301" s="4" t="s">
        <v>856</v>
      </c>
      <c r="B301" s="4" t="s">
        <v>1317</v>
      </c>
      <c r="C301" s="4" t="s">
        <v>1318</v>
      </c>
      <c r="D301" s="4" t="s">
        <v>1319</v>
      </c>
      <c r="E301" s="5" t="n">
        <v>25400</v>
      </c>
      <c r="F301" s="4" t="n">
        <v>8</v>
      </c>
      <c r="G301" s="4" t="s">
        <v>1320</v>
      </c>
      <c r="H301" s="4" t="n">
        <v>39.93582</v>
      </c>
      <c r="I301" s="4" t="n">
        <v>-120.947</v>
      </c>
      <c r="J301" s="4" t="s">
        <v>1321</v>
      </c>
      <c r="K301" s="6" t="str">
        <f aca="false">HYPERLINK("https://www.google.com/search?q=Plumas+County+Library+Quincy+CA+library+website","Search")</f>
        <v>Search</v>
      </c>
      <c r="L301" s="7"/>
      <c r="M301" s="7"/>
    </row>
    <row r="302" customFormat="false" ht="15" hidden="false" customHeight="true" outlineLevel="0" collapsed="false">
      <c r="A302" s="4" t="s">
        <v>856</v>
      </c>
      <c r="B302" s="4" t="s">
        <v>1322</v>
      </c>
      <c r="C302" s="4" t="s">
        <v>1323</v>
      </c>
      <c r="D302" s="4" t="s">
        <v>872</v>
      </c>
      <c r="E302" s="5" t="n">
        <v>149766</v>
      </c>
      <c r="F302" s="4" t="n">
        <v>1</v>
      </c>
      <c r="G302" s="4" t="s">
        <v>1324</v>
      </c>
      <c r="H302" s="4" t="n">
        <v>34.05377</v>
      </c>
      <c r="I302" s="4" t="n">
        <v>-117.75003</v>
      </c>
      <c r="J302" s="4" t="s">
        <v>1325</v>
      </c>
      <c r="K302" s="6" t="str">
        <f aca="false">HYPERLINK("https://www.google.com/search?q=Pomona+Public+Library+Pomona+CA+library+website","Search")</f>
        <v>Search</v>
      </c>
      <c r="L302" s="7"/>
      <c r="M302" s="7"/>
    </row>
    <row r="303" customFormat="false" ht="15" hidden="false" customHeight="true" outlineLevel="0" collapsed="false">
      <c r="A303" s="4" t="s">
        <v>856</v>
      </c>
      <c r="B303" s="4" t="s">
        <v>1326</v>
      </c>
      <c r="C303" s="4" t="s">
        <v>1327</v>
      </c>
      <c r="D303" s="4" t="s">
        <v>1328</v>
      </c>
      <c r="E303" s="5" t="n">
        <v>62345</v>
      </c>
      <c r="F303" s="4" t="n">
        <v>1</v>
      </c>
      <c r="G303" s="4" t="s">
        <v>1329</v>
      </c>
      <c r="H303" s="4" t="n">
        <v>36.07136</v>
      </c>
      <c r="I303" s="4" t="n">
        <v>-119.0159</v>
      </c>
      <c r="J303" s="4" t="s">
        <v>1330</v>
      </c>
      <c r="K303" s="6" t="str">
        <f aca="false">HYPERLINK("https://www.google.com/search?q=Porterville+Public+Library+Porterville+CA+library+website","Search")</f>
        <v>Search</v>
      </c>
      <c r="L303" s="7"/>
      <c r="M303" s="7"/>
    </row>
    <row r="304" customFormat="false" ht="15" hidden="false" customHeight="true" outlineLevel="0" collapsed="false">
      <c r="A304" s="4" t="s">
        <v>856</v>
      </c>
      <c r="B304" s="4" t="s">
        <v>1331</v>
      </c>
      <c r="C304" s="4" t="s">
        <v>1332</v>
      </c>
      <c r="D304" s="4" t="s">
        <v>859</v>
      </c>
      <c r="E304" s="5" t="n">
        <v>174476</v>
      </c>
      <c r="F304" s="4" t="n">
        <v>2</v>
      </c>
      <c r="G304" s="4" t="s">
        <v>1333</v>
      </c>
      <c r="H304" s="4" t="n">
        <v>34.1135</v>
      </c>
      <c r="I304" s="4" t="n">
        <v>-117.53255</v>
      </c>
      <c r="J304" s="4" t="s">
        <v>1334</v>
      </c>
      <c r="K304" s="6" t="str">
        <f aca="false">HYPERLINK("https://www.google.com/search?q=Rancho+Cucamonga+Public+Library+Rancho+Cucamonga+CA+library+website","Search")</f>
        <v>Search</v>
      </c>
      <c r="L304" s="7"/>
      <c r="M304" s="7"/>
    </row>
    <row r="305" customFormat="false" ht="15" hidden="false" customHeight="true" outlineLevel="0" collapsed="false">
      <c r="A305" s="4" t="s">
        <v>856</v>
      </c>
      <c r="B305" s="4" t="s">
        <v>1335</v>
      </c>
      <c r="C305" s="4" t="s">
        <v>1336</v>
      </c>
      <c r="D305" s="4" t="s">
        <v>898</v>
      </c>
      <c r="E305" s="5" t="n">
        <v>16804</v>
      </c>
      <c r="F305" s="4" t="n">
        <v>1</v>
      </c>
      <c r="G305" s="4" t="s">
        <v>1337</v>
      </c>
      <c r="H305" s="4" t="n">
        <v>33.74839</v>
      </c>
      <c r="I305" s="4" t="n">
        <v>-116.42146</v>
      </c>
      <c r="J305" s="4" t="s">
        <v>1338</v>
      </c>
      <c r="K305" s="6" t="str">
        <f aca="false">HYPERLINK("https://www.google.com/search?q=Rancho+Mirage+Public+Library+Rancho+Mirage+CA+library+website","Search")</f>
        <v>Search</v>
      </c>
      <c r="L305" s="7"/>
      <c r="M305" s="8" t="str">
        <f aca="false">HYPERLINK("https://rml.overdrive.com","https://rml.overdrive.com")</f>
        <v>https://rml.overdrive.com</v>
      </c>
    </row>
    <row r="306" customFormat="false" ht="15" hidden="false" customHeight="true" outlineLevel="0" collapsed="false">
      <c r="A306" s="4" t="s">
        <v>856</v>
      </c>
      <c r="B306" s="4" t="s">
        <v>1339</v>
      </c>
      <c r="C306" s="4" t="s">
        <v>1340</v>
      </c>
      <c r="D306" s="4" t="s">
        <v>872</v>
      </c>
      <c r="E306" s="5" t="n">
        <v>68972</v>
      </c>
      <c r="F306" s="4" t="n">
        <v>2</v>
      </c>
      <c r="G306" s="4" t="s">
        <v>1341</v>
      </c>
      <c r="H306" s="4" t="n">
        <v>33.84523</v>
      </c>
      <c r="I306" s="4" t="n">
        <v>-118.3874</v>
      </c>
      <c r="J306" s="4" t="s">
        <v>1342</v>
      </c>
      <c r="K306" s="6" t="str">
        <f aca="false">HYPERLINK("https://www.google.com/search?q=Redondo+Beach+Public+Library+Redondo+Beach+CA+library+website","Search")</f>
        <v>Search</v>
      </c>
      <c r="L306" s="7"/>
      <c r="M306" s="8" t="str">
        <f aca="false">HYPERLINK("https://rbpl.overdrive.com","https://rbpl.overdrive.com")</f>
        <v>https://rbpl.overdrive.com</v>
      </c>
    </row>
    <row r="307" customFormat="false" ht="15" hidden="false" customHeight="true" outlineLevel="0" collapsed="false">
      <c r="A307" s="4" t="s">
        <v>856</v>
      </c>
      <c r="B307" s="4" t="s">
        <v>1343</v>
      </c>
      <c r="C307" s="4" t="s">
        <v>1344</v>
      </c>
      <c r="D307" s="4" t="s">
        <v>943</v>
      </c>
      <c r="E307" s="5" t="n">
        <v>82344</v>
      </c>
      <c r="F307" s="4" t="n">
        <v>4</v>
      </c>
      <c r="G307" s="4" t="s">
        <v>1345</v>
      </c>
      <c r="H307" s="4" t="n">
        <v>37.48426</v>
      </c>
      <c r="I307" s="4" t="n">
        <v>-122.22734</v>
      </c>
      <c r="J307" s="4" t="s">
        <v>1346</v>
      </c>
      <c r="K307" s="6" t="str">
        <f aca="false">HYPERLINK("https://www.google.com/search?q=Redwood+City+Public+Library+Redwood+City+CA+library+website","Search")</f>
        <v>Search</v>
      </c>
      <c r="L307" s="7"/>
      <c r="M307" s="7"/>
    </row>
    <row r="308" customFormat="false" ht="15" hidden="false" customHeight="true" outlineLevel="0" collapsed="false">
      <c r="A308" s="4" t="s">
        <v>856</v>
      </c>
      <c r="B308" s="4" t="s">
        <v>1347</v>
      </c>
      <c r="C308" s="4" t="s">
        <v>1348</v>
      </c>
      <c r="D308" s="4" t="s">
        <v>1000</v>
      </c>
      <c r="E308" s="5" t="n">
        <v>114489</v>
      </c>
      <c r="F308" s="4" t="n">
        <v>3</v>
      </c>
      <c r="G308" s="4" t="s">
        <v>1349</v>
      </c>
      <c r="H308" s="4" t="n">
        <v>37.93599</v>
      </c>
      <c r="I308" s="4" t="n">
        <v>-122.34439</v>
      </c>
      <c r="J308" s="4" t="s">
        <v>1350</v>
      </c>
      <c r="K308" s="6" t="str">
        <f aca="false">HYPERLINK("https://www.google.com/search?q=Richmond+Public+Library+Richmond+CA+library+website","Search")</f>
        <v>Search</v>
      </c>
      <c r="L308" s="7"/>
      <c r="M308" s="7"/>
    </row>
    <row r="309" customFormat="false" ht="15" hidden="false" customHeight="true" outlineLevel="0" collapsed="false">
      <c r="A309" s="4" t="s">
        <v>856</v>
      </c>
      <c r="B309" s="4" t="s">
        <v>1351</v>
      </c>
      <c r="C309" s="4" t="s">
        <v>1352</v>
      </c>
      <c r="D309" s="4" t="s">
        <v>898</v>
      </c>
      <c r="E309" s="5" t="n">
        <v>1372743</v>
      </c>
      <c r="F309" s="4" t="n">
        <v>35</v>
      </c>
      <c r="G309" s="4" t="s">
        <v>1353</v>
      </c>
      <c r="H309" s="4" t="n">
        <v>34.0004</v>
      </c>
      <c r="I309" s="4" t="n">
        <v>-117.41402</v>
      </c>
      <c r="J309" s="4" t="s">
        <v>1354</v>
      </c>
      <c r="K309" s="6" t="str">
        <f aca="false">HYPERLINK("https://www.google.com/search?q=Riverside+County+Library+System+Jurupa+Valley+CA+library+website","Search")</f>
        <v>Search</v>
      </c>
      <c r="L309" s="7"/>
      <c r="M309" s="7"/>
    </row>
    <row r="310" customFormat="false" ht="15" hidden="false" customHeight="true" outlineLevel="0" collapsed="false">
      <c r="A310" s="4" t="s">
        <v>856</v>
      </c>
      <c r="B310" s="4" t="s">
        <v>1355</v>
      </c>
      <c r="C310" s="4" t="s">
        <v>898</v>
      </c>
      <c r="D310" s="4" t="s">
        <v>898</v>
      </c>
      <c r="E310" s="5" t="n">
        <v>317847</v>
      </c>
      <c r="F310" s="4" t="n">
        <v>8</v>
      </c>
      <c r="G310" s="4" t="s">
        <v>1356</v>
      </c>
      <c r="H310" s="4" t="n">
        <v>33.98417</v>
      </c>
      <c r="I310" s="4" t="n">
        <v>-117.37654</v>
      </c>
      <c r="J310" s="4" t="s">
        <v>1357</v>
      </c>
      <c r="K310" s="6" t="str">
        <f aca="false">HYPERLINK("https://www.google.com/search?q=Riverside+Public+Library+Riverside+CA+library+website","Search")</f>
        <v>Search</v>
      </c>
      <c r="L310" s="7"/>
      <c r="M310" s="7"/>
    </row>
    <row r="311" customFormat="false" ht="15" hidden="false" customHeight="true" outlineLevel="0" collapsed="false">
      <c r="A311" s="4" t="s">
        <v>856</v>
      </c>
      <c r="B311" s="4" t="s">
        <v>1358</v>
      </c>
      <c r="C311" s="4" t="s">
        <v>1359</v>
      </c>
      <c r="D311" s="4" t="s">
        <v>1132</v>
      </c>
      <c r="E311" s="5" t="n">
        <v>151034</v>
      </c>
      <c r="F311" s="4" t="n">
        <v>3</v>
      </c>
      <c r="G311" s="4" t="s">
        <v>1360</v>
      </c>
      <c r="H311" s="4" t="n">
        <v>38.74582</v>
      </c>
      <c r="I311" s="4" t="n">
        <v>-121.28464</v>
      </c>
      <c r="J311" s="4" t="s">
        <v>1361</v>
      </c>
      <c r="K311" s="6" t="str">
        <f aca="false">HYPERLINK("https://www.google.com/search?q=Roseville+Public+Library+Roseville+CA+library+website","Search")</f>
        <v>Search</v>
      </c>
      <c r="L311" s="7"/>
      <c r="M311" s="7"/>
    </row>
    <row r="312" customFormat="false" ht="15" hidden="false" customHeight="true" outlineLevel="0" collapsed="false">
      <c r="A312" s="4" t="s">
        <v>856</v>
      </c>
      <c r="B312" s="4" t="s">
        <v>1362</v>
      </c>
      <c r="C312" s="4" t="s">
        <v>1050</v>
      </c>
      <c r="D312" s="4" t="s">
        <v>1050</v>
      </c>
      <c r="E312" s="5" t="n">
        <v>1492026</v>
      </c>
      <c r="F312" s="4" t="n">
        <v>28</v>
      </c>
      <c r="G312" s="4" t="s">
        <v>1363</v>
      </c>
      <c r="H312" s="4" t="n">
        <v>38.58166</v>
      </c>
      <c r="I312" s="4" t="n">
        <v>-121.49512</v>
      </c>
      <c r="J312" s="4" t="s">
        <v>1364</v>
      </c>
      <c r="K312" s="6" t="str">
        <f aca="false">HYPERLINK("https://www.google.com/search?q=Sacramento+Public+Library+Sacramento+CA+library+website","Search")</f>
        <v>Search</v>
      </c>
      <c r="L312" s="7"/>
      <c r="M312" s="8" t="str">
        <f aca="false">HYPERLINK("https://saclibrary.overdrive.com","https://saclibrary.overdrive.com")</f>
        <v>https://saclibrary.overdrive.com</v>
      </c>
    </row>
    <row r="313" customFormat="false" ht="15" hidden="false" customHeight="true" outlineLevel="0" collapsed="false">
      <c r="A313" s="4" t="s">
        <v>856</v>
      </c>
      <c r="B313" s="4" t="s">
        <v>1365</v>
      </c>
      <c r="C313" s="4" t="s">
        <v>1366</v>
      </c>
      <c r="D313" s="4" t="s">
        <v>1204</v>
      </c>
      <c r="E313" s="5" t="n">
        <v>159932</v>
      </c>
      <c r="F313" s="4" t="n">
        <v>3</v>
      </c>
      <c r="G313" s="4" t="s">
        <v>1367</v>
      </c>
      <c r="H313" s="4" t="n">
        <v>36.67213</v>
      </c>
      <c r="I313" s="4" t="n">
        <v>-121.65659</v>
      </c>
      <c r="J313" s="4" t="s">
        <v>1368</v>
      </c>
      <c r="K313" s="6" t="str">
        <f aca="false">HYPERLINK("https://www.google.com/search?q=Salinas+Public+Library+Salinas+CA+library+website","Search")</f>
        <v>Search</v>
      </c>
      <c r="L313" s="7"/>
      <c r="M313" s="8" t="str">
        <f aca="false">HYPERLINK("https://salinaspubliclibrary.overdrive.com","https://salinaspubliclibrary.overdrive.com")</f>
        <v>https://salinaspubliclibrary.overdrive.com</v>
      </c>
    </row>
    <row r="314" customFormat="false" ht="15" hidden="false" customHeight="true" outlineLevel="0" collapsed="false">
      <c r="A314" s="4" t="s">
        <v>856</v>
      </c>
      <c r="B314" s="4" t="s">
        <v>1369</v>
      </c>
      <c r="C314" s="4" t="s">
        <v>1370</v>
      </c>
      <c r="D314" s="4" t="s">
        <v>907</v>
      </c>
      <c r="E314" s="5" t="n">
        <v>12645</v>
      </c>
      <c r="F314" s="4" t="n">
        <v>1</v>
      </c>
      <c r="G314" s="4" t="s">
        <v>1371</v>
      </c>
      <c r="H314" s="4" t="n">
        <v>37.97435</v>
      </c>
      <c r="I314" s="4" t="n">
        <v>-122.56279</v>
      </c>
      <c r="J314" s="4" t="s">
        <v>1372</v>
      </c>
      <c r="K314" s="6" t="str">
        <f aca="false">HYPERLINK("https://www.google.com/search?q=San+Anselmo+Public+Library+San+Anselmo+CA+library+website","Search")</f>
        <v>Search</v>
      </c>
      <c r="L314" s="7"/>
      <c r="M314" s="7"/>
    </row>
    <row r="315" customFormat="false" ht="15" hidden="false" customHeight="true" outlineLevel="0" collapsed="false">
      <c r="A315" s="4" t="s">
        <v>856</v>
      </c>
      <c r="B315" s="4" t="s">
        <v>1373</v>
      </c>
      <c r="C315" s="4" t="s">
        <v>1374</v>
      </c>
      <c r="D315" s="4" t="s">
        <v>1375</v>
      </c>
      <c r="E315" s="5" t="n">
        <v>63386</v>
      </c>
      <c r="F315" s="4" t="n">
        <v>1</v>
      </c>
      <c r="G315" s="4" t="s">
        <v>1376</v>
      </c>
      <c r="H315" s="4" t="n">
        <v>36.85153</v>
      </c>
      <c r="I315" s="4" t="n">
        <v>-121.40515</v>
      </c>
      <c r="J315" s="4" t="s">
        <v>1377</v>
      </c>
      <c r="K315" s="6" t="str">
        <f aca="false">HYPERLINK("https://www.google.com/search?q=San+Benito+County+Free+Library+Hollister+CA+library+website","Search")</f>
        <v>Search</v>
      </c>
      <c r="L315" s="7"/>
      <c r="M315" s="7"/>
    </row>
    <row r="316" customFormat="false" ht="15" hidden="false" customHeight="true" outlineLevel="0" collapsed="false">
      <c r="A316" s="4" t="s">
        <v>856</v>
      </c>
      <c r="B316" s="4" t="s">
        <v>1378</v>
      </c>
      <c r="C316" s="4" t="s">
        <v>859</v>
      </c>
      <c r="D316" s="4" t="s">
        <v>859</v>
      </c>
      <c r="E316" s="5" t="n">
        <v>1270931</v>
      </c>
      <c r="F316" s="4" t="n">
        <v>32</v>
      </c>
      <c r="G316" s="4" t="s">
        <v>1379</v>
      </c>
      <c r="H316" s="4" t="n">
        <v>34.10143</v>
      </c>
      <c r="I316" s="4" t="n">
        <v>-117.27052</v>
      </c>
      <c r="J316" s="4" t="s">
        <v>1380</v>
      </c>
      <c r="K316" s="6" t="str">
        <f aca="false">HYPERLINK("https://www.google.com/search?q=San+Bernardino+County+Library+San+Bernardino+CA+library+website","Search")</f>
        <v>Search</v>
      </c>
      <c r="L316" s="7"/>
      <c r="M316" s="8" t="str">
        <f aca="false">HYPERLINK("https://sbcldigital.overdrive.com","https://sbcldigital.overdrive.com")</f>
        <v>https://sbcldigital.overdrive.com</v>
      </c>
    </row>
    <row r="317" customFormat="false" ht="15" hidden="false" customHeight="true" outlineLevel="0" collapsed="false">
      <c r="A317" s="4" t="s">
        <v>856</v>
      </c>
      <c r="B317" s="4" t="s">
        <v>1381</v>
      </c>
      <c r="C317" s="4" t="s">
        <v>859</v>
      </c>
      <c r="D317" s="4" t="s">
        <v>859</v>
      </c>
      <c r="E317" s="5" t="n">
        <v>220840</v>
      </c>
      <c r="F317" s="4" t="n">
        <v>4</v>
      </c>
      <c r="G317" s="4" t="s">
        <v>1382</v>
      </c>
      <c r="H317" s="4" t="n">
        <v>34.11015</v>
      </c>
      <c r="I317" s="4" t="n">
        <v>-117.29537</v>
      </c>
      <c r="J317" s="4" t="s">
        <v>1383</v>
      </c>
      <c r="K317" s="6" t="str">
        <f aca="false">HYPERLINK("https://www.google.com/search?q=San+Bernardino+Public+Library+San+Bernardino+CA+library+website","Search")</f>
        <v>Search</v>
      </c>
      <c r="L317" s="7"/>
      <c r="M317" s="7"/>
    </row>
    <row r="318" customFormat="false" ht="15" hidden="false" customHeight="true" outlineLevel="0" collapsed="false">
      <c r="A318" s="4" t="s">
        <v>856</v>
      </c>
      <c r="B318" s="4" t="s">
        <v>1384</v>
      </c>
      <c r="C318" s="4" t="s">
        <v>1385</v>
      </c>
      <c r="D318" s="4" t="s">
        <v>943</v>
      </c>
      <c r="E318" s="5" t="n">
        <v>42656</v>
      </c>
      <c r="F318" s="4" t="n">
        <v>1</v>
      </c>
      <c r="G318" s="4" t="s">
        <v>1386</v>
      </c>
      <c r="H318" s="4" t="n">
        <v>37.6252</v>
      </c>
      <c r="I318" s="4" t="n">
        <v>-122.41436</v>
      </c>
      <c r="J318" s="4" t="s">
        <v>1387</v>
      </c>
      <c r="K318" s="6" t="str">
        <f aca="false">HYPERLINK("https://www.google.com/search?q=San+Bruno+Public+Library+San+Bruno+CA+library+website","Search")</f>
        <v>Search</v>
      </c>
      <c r="L318" s="7"/>
      <c r="M318" s="7"/>
    </row>
    <row r="319" customFormat="false" ht="15" hidden="false" customHeight="true" outlineLevel="0" collapsed="false">
      <c r="A319" s="4" t="s">
        <v>856</v>
      </c>
      <c r="B319" s="4" t="s">
        <v>1388</v>
      </c>
      <c r="C319" s="4" t="s">
        <v>970</v>
      </c>
      <c r="D319" s="4" t="s">
        <v>970</v>
      </c>
      <c r="E319" s="5" t="n">
        <v>1112671</v>
      </c>
      <c r="F319" s="4" t="n">
        <v>33</v>
      </c>
      <c r="G319" s="4" t="s">
        <v>1389</v>
      </c>
      <c r="H319" s="4" t="n">
        <v>32.83435</v>
      </c>
      <c r="I319" s="4" t="n">
        <v>-117.13051</v>
      </c>
      <c r="J319" s="4" t="s">
        <v>1390</v>
      </c>
      <c r="K319" s="6" t="str">
        <f aca="false">HYPERLINK("https://www.google.com/search?q=San+Diego+County+Library+San+Diego+CA+library+website","Search")</f>
        <v>Search</v>
      </c>
      <c r="L319" s="7"/>
      <c r="M319" s="8" t="str">
        <f aca="false">HYPERLINK("https://sdcl.overdrive.com","https://sdcl.overdrive.com")</f>
        <v>https://sdcl.overdrive.com</v>
      </c>
    </row>
    <row r="320" customFormat="false" ht="15" hidden="false" customHeight="true" outlineLevel="0" collapsed="false">
      <c r="A320" s="4" t="s">
        <v>856</v>
      </c>
      <c r="B320" s="4" t="s">
        <v>1391</v>
      </c>
      <c r="C320" s="4" t="s">
        <v>970</v>
      </c>
      <c r="D320" s="4" t="s">
        <v>970</v>
      </c>
      <c r="E320" s="5" t="n">
        <v>1374790</v>
      </c>
      <c r="F320" s="4" t="n">
        <v>36</v>
      </c>
      <c r="G320" s="4" t="s">
        <v>1392</v>
      </c>
      <c r="H320" s="4" t="n">
        <v>32.70854</v>
      </c>
      <c r="I320" s="4" t="n">
        <v>-117.15397</v>
      </c>
      <c r="J320" s="4" t="s">
        <v>1393</v>
      </c>
      <c r="K320" s="6" t="str">
        <f aca="false">HYPERLINK("https://www.google.com/search?q=San+Diego+Public+Library+San+Diego+CA+library+website","Search")</f>
        <v>Search</v>
      </c>
      <c r="L320" s="7"/>
      <c r="M320" s="7"/>
    </row>
    <row r="321" customFormat="false" ht="15" hidden="false" customHeight="true" outlineLevel="0" collapsed="false">
      <c r="A321" s="4" t="s">
        <v>856</v>
      </c>
      <c r="B321" s="4" t="s">
        <v>1394</v>
      </c>
      <c r="C321" s="4" t="s">
        <v>1395</v>
      </c>
      <c r="D321" s="4" t="s">
        <v>1395</v>
      </c>
      <c r="E321" s="5" t="n">
        <v>842754</v>
      </c>
      <c r="F321" s="4" t="n">
        <v>28</v>
      </c>
      <c r="G321" s="4" t="s">
        <v>1396</v>
      </c>
      <c r="H321" s="4" t="n">
        <v>37.77898</v>
      </c>
      <c r="I321" s="4" t="n">
        <v>-122.41662</v>
      </c>
      <c r="J321" s="4" t="s">
        <v>1397</v>
      </c>
      <c r="K321" s="6" t="str">
        <f aca="false">HYPERLINK("https://www.google.com/search?q=San+Francisco+Public+Library+San+Francisco+CA+library+website","Search")</f>
        <v>Search</v>
      </c>
      <c r="L321" s="7"/>
      <c r="M321" s="8" t="str">
        <f aca="false">HYPERLINK("https://sfpl.overdrive.com","https://sfpl.overdrive.com")</f>
        <v>https://sfpl.overdrive.com</v>
      </c>
    </row>
    <row r="322" customFormat="false" ht="15" hidden="false" customHeight="true" outlineLevel="0" collapsed="false">
      <c r="A322" s="4" t="s">
        <v>856</v>
      </c>
      <c r="B322" s="4" t="s">
        <v>1398</v>
      </c>
      <c r="C322" s="4" t="s">
        <v>1399</v>
      </c>
      <c r="D322" s="4" t="s">
        <v>1157</v>
      </c>
      <c r="E322" s="5" t="n">
        <v>976482</v>
      </c>
      <c r="F322" s="4" t="n">
        <v>25</v>
      </c>
      <c r="G322" s="4" t="s">
        <v>1400</v>
      </c>
      <c r="H322" s="4" t="n">
        <v>37.3372</v>
      </c>
      <c r="I322" s="4" t="n">
        <v>-121.88305</v>
      </c>
      <c r="J322" s="4" t="s">
        <v>1401</v>
      </c>
      <c r="K322" s="6" t="str">
        <f aca="false">HYPERLINK("https://www.google.com/search?q=San+Jose+Public+Library+San+Jose+CA+library+website","Search")</f>
        <v>Search</v>
      </c>
      <c r="L322" s="7"/>
      <c r="M322" s="8" t="str">
        <f aca="false">HYPERLINK("https://sanjose.overdrive.com","https://sanjose.overdrive.com")</f>
        <v>https://sanjose.overdrive.com</v>
      </c>
    </row>
    <row r="323" customFormat="false" ht="15" hidden="false" customHeight="true" outlineLevel="0" collapsed="false">
      <c r="A323" s="4" t="s">
        <v>856</v>
      </c>
      <c r="B323" s="4" t="s">
        <v>1402</v>
      </c>
      <c r="C323" s="4" t="s">
        <v>1403</v>
      </c>
      <c r="D323" s="4" t="s">
        <v>864</v>
      </c>
      <c r="E323" s="5" t="n">
        <v>88404</v>
      </c>
      <c r="F323" s="4" t="n">
        <v>4</v>
      </c>
      <c r="G323" s="4" t="s">
        <v>1404</v>
      </c>
      <c r="H323" s="4" t="n">
        <v>37.72559</v>
      </c>
      <c r="I323" s="4" t="n">
        <v>-122.15392</v>
      </c>
      <c r="J323" s="4" t="s">
        <v>1405</v>
      </c>
      <c r="K323" s="6" t="str">
        <f aca="false">HYPERLINK("https://www.google.com/search?q=San+Leandro+Public+Library+San+Leandro+CA+library+website","Search")</f>
        <v>Search</v>
      </c>
      <c r="L323" s="7"/>
      <c r="M323" s="8" t="str">
        <f aca="false">HYPERLINK("https://sanleandrolibrary.overdrive.com","https://sanleandrolibrary.overdrive.com")</f>
        <v>https://sanleandrolibrary.overdrive.com</v>
      </c>
    </row>
    <row r="324" customFormat="false" ht="15" hidden="false" customHeight="true" outlineLevel="0" collapsed="false">
      <c r="A324" s="4" t="s">
        <v>856</v>
      </c>
      <c r="B324" s="4" t="s">
        <v>1406</v>
      </c>
      <c r="C324" s="4" t="s">
        <v>1303</v>
      </c>
      <c r="D324" s="4" t="s">
        <v>1303</v>
      </c>
      <c r="E324" s="5" t="n">
        <v>249545</v>
      </c>
      <c r="F324" s="4" t="n">
        <v>14</v>
      </c>
      <c r="G324" s="4" t="s">
        <v>1407</v>
      </c>
      <c r="H324" s="4" t="n">
        <v>35.28256</v>
      </c>
      <c r="I324" s="4" t="n">
        <v>-120.66236</v>
      </c>
      <c r="J324" s="4" t="s">
        <v>1408</v>
      </c>
      <c r="K324" s="6" t="str">
        <f aca="false">HYPERLINK("https://www.google.com/search?q=San+Luis+Obispo+City-County+Library+San+Luis+Obispo+CA+library+website","Search")</f>
        <v>Search</v>
      </c>
      <c r="L324" s="7"/>
      <c r="M324" s="7"/>
    </row>
    <row r="325" customFormat="false" ht="15" hidden="false" customHeight="true" outlineLevel="0" collapsed="false">
      <c r="A325" s="4" t="s">
        <v>856</v>
      </c>
      <c r="B325" s="4" t="s">
        <v>1409</v>
      </c>
      <c r="C325" s="4" t="s">
        <v>943</v>
      </c>
      <c r="D325" s="4" t="s">
        <v>943</v>
      </c>
      <c r="E325" s="5" t="n">
        <v>273808</v>
      </c>
      <c r="F325" s="4" t="n">
        <v>13</v>
      </c>
      <c r="G325" s="4" t="s">
        <v>1410</v>
      </c>
      <c r="H325" s="4" t="n">
        <v>37.51123</v>
      </c>
      <c r="I325" s="4" t="n">
        <v>-122.33544</v>
      </c>
      <c r="J325" s="4" t="s">
        <v>1411</v>
      </c>
      <c r="K325" s="6" t="str">
        <f aca="false">HYPERLINK("https://www.google.com/search?q=San+Mateo+County+Libraries+San+Mateo+CA+library+website","Search")</f>
        <v>Search</v>
      </c>
      <c r="L325" s="7"/>
      <c r="M325" s="7"/>
    </row>
    <row r="326" customFormat="false" ht="15" hidden="false" customHeight="true" outlineLevel="0" collapsed="false">
      <c r="A326" s="4" t="s">
        <v>856</v>
      </c>
      <c r="B326" s="4" t="s">
        <v>1412</v>
      </c>
      <c r="C326" s="4" t="s">
        <v>943</v>
      </c>
      <c r="D326" s="4" t="s">
        <v>943</v>
      </c>
      <c r="E326" s="5" t="n">
        <v>107576</v>
      </c>
      <c r="F326" s="4" t="n">
        <v>3</v>
      </c>
      <c r="G326" s="4" t="s">
        <v>1413</v>
      </c>
      <c r="H326" s="4" t="n">
        <v>37.56215</v>
      </c>
      <c r="I326" s="4" t="n">
        <v>-122.32718</v>
      </c>
      <c r="J326" s="4" t="s">
        <v>1414</v>
      </c>
      <c r="K326" s="6" t="str">
        <f aca="false">HYPERLINK("https://www.google.com/search?q=San+Mateo+Public+Library+San+Mateo+CA+library+website","Search")</f>
        <v>Search</v>
      </c>
      <c r="L326" s="7"/>
      <c r="M326" s="7"/>
    </row>
    <row r="327" customFormat="false" ht="15" hidden="false" customHeight="true" outlineLevel="0" collapsed="false">
      <c r="A327" s="4" t="s">
        <v>856</v>
      </c>
      <c r="B327" s="4" t="s">
        <v>1415</v>
      </c>
      <c r="C327" s="4" t="s">
        <v>1165</v>
      </c>
      <c r="D327" s="4" t="s">
        <v>907</v>
      </c>
      <c r="E327" s="5" t="n">
        <v>60560</v>
      </c>
      <c r="F327" s="4" t="n">
        <v>3</v>
      </c>
      <c r="G327" s="4" t="s">
        <v>1416</v>
      </c>
      <c r="H327" s="4" t="n">
        <v>37.9751</v>
      </c>
      <c r="I327" s="4" t="n">
        <v>-122.53301</v>
      </c>
      <c r="J327" s="4" t="s">
        <v>1417</v>
      </c>
      <c r="K327" s="6" t="str">
        <f aca="false">HYPERLINK("https://www.google.com/search?q=San+Rafael+Public+Library+San+Rafael+CA+library+website","Search")</f>
        <v>Search</v>
      </c>
      <c r="L327" s="7"/>
      <c r="M327" s="7"/>
    </row>
    <row r="328" customFormat="false" ht="15" hidden="false" customHeight="true" outlineLevel="0" collapsed="false">
      <c r="A328" s="4" t="s">
        <v>856</v>
      </c>
      <c r="B328" s="4" t="s">
        <v>1418</v>
      </c>
      <c r="C328" s="4" t="s">
        <v>1258</v>
      </c>
      <c r="D328" s="4" t="s">
        <v>885</v>
      </c>
      <c r="E328" s="5" t="n">
        <v>308459</v>
      </c>
      <c r="F328" s="4" t="n">
        <v>6</v>
      </c>
      <c r="G328" s="4" t="s">
        <v>1419</v>
      </c>
      <c r="H328" s="4" t="n">
        <v>33.75148</v>
      </c>
      <c r="I328" s="4" t="n">
        <v>-117.87452</v>
      </c>
      <c r="J328" s="4" t="s">
        <v>1420</v>
      </c>
      <c r="K328" s="6" t="str">
        <f aca="false">HYPERLINK("https://www.google.com/search?q=Santa+Ana+Public+Library+Santa+Ana+CA+library+website","Search")</f>
        <v>Search</v>
      </c>
      <c r="L328" s="7"/>
      <c r="M328" s="8" t="str">
        <f aca="false">HYPERLINK("https://santaanapubliclibrary.overdrive.com","https://santaanapubliclibrary.overdrive.com")</f>
        <v>https://santaanapubliclibrary.overdrive.com</v>
      </c>
    </row>
    <row r="329" customFormat="false" ht="15" hidden="false" customHeight="true" outlineLevel="0" collapsed="false">
      <c r="A329" s="4" t="s">
        <v>856</v>
      </c>
      <c r="B329" s="4" t="s">
        <v>1421</v>
      </c>
      <c r="C329" s="4" t="s">
        <v>1069</v>
      </c>
      <c r="D329" s="4" t="s">
        <v>1069</v>
      </c>
      <c r="E329" s="5" t="n">
        <v>116867</v>
      </c>
      <c r="F329" s="4" t="n">
        <v>4</v>
      </c>
      <c r="G329" s="4" t="s">
        <v>1422</v>
      </c>
      <c r="H329" s="4" t="n">
        <v>34.42418</v>
      </c>
      <c r="I329" s="4" t="n">
        <v>-119.70355</v>
      </c>
      <c r="J329" s="4" t="s">
        <v>1423</v>
      </c>
      <c r="K329" s="6" t="str">
        <f aca="false">HYPERLINK("https://www.google.com/search?q=Santa+Barbara+Public+Library+Santa+Barbara+CA+library+website","Search")</f>
        <v>Search</v>
      </c>
      <c r="L329" s="7"/>
      <c r="M329" s="8" t="str">
        <f aca="false">HYPERLINK("https://santabarbara.overdrive.com","https://santabarbara.overdrive.com")</f>
        <v>https://santabarbara.overdrive.com</v>
      </c>
    </row>
    <row r="330" customFormat="false" ht="15" hidden="false" customHeight="true" outlineLevel="0" collapsed="false">
      <c r="A330" s="4" t="s">
        <v>856</v>
      </c>
      <c r="B330" s="4" t="s">
        <v>1424</v>
      </c>
      <c r="C330" s="4" t="s">
        <v>1157</v>
      </c>
      <c r="D330" s="4" t="s">
        <v>1157</v>
      </c>
      <c r="E330" s="5" t="n">
        <v>130127</v>
      </c>
      <c r="F330" s="4" t="n">
        <v>3</v>
      </c>
      <c r="G330" s="4" t="s">
        <v>1425</v>
      </c>
      <c r="H330" s="4" t="n">
        <v>37.33949</v>
      </c>
      <c r="I330" s="4" t="n">
        <v>-121.97331</v>
      </c>
      <c r="J330" s="4" t="s">
        <v>1426</v>
      </c>
      <c r="K330" s="6" t="str">
        <f aca="false">HYPERLINK("https://www.google.com/search?q=Santa+Clara+City+Library+Santa+Clara+CA+library+website","Search")</f>
        <v>Search</v>
      </c>
      <c r="L330" s="7"/>
      <c r="M330" s="7"/>
    </row>
    <row r="331" customFormat="false" ht="15" hidden="false" customHeight="true" outlineLevel="0" collapsed="false">
      <c r="A331" s="4" t="s">
        <v>856</v>
      </c>
      <c r="B331" s="4" t="s">
        <v>1427</v>
      </c>
      <c r="C331" s="4" t="s">
        <v>1428</v>
      </c>
      <c r="D331" s="4" t="s">
        <v>1157</v>
      </c>
      <c r="E331" s="5" t="n">
        <v>447541</v>
      </c>
      <c r="F331" s="4" t="n">
        <v>8</v>
      </c>
      <c r="G331" s="4" t="s">
        <v>1429</v>
      </c>
      <c r="H331" s="4" t="n">
        <v>37.26661</v>
      </c>
      <c r="I331" s="4" t="n">
        <v>-121.95443</v>
      </c>
      <c r="J331" s="4" t="s">
        <v>1430</v>
      </c>
      <c r="K331" s="6" t="str">
        <f aca="false">HYPERLINK("https://www.google.com/search?q=Santa+Clara+County+Library+Campbell+CA+library+website","Search")</f>
        <v>Search</v>
      </c>
      <c r="L331" s="7"/>
      <c r="M331" s="8" t="str">
        <f aca="false">HYPERLINK("https://santaclara.overdrive.com","https://santaclara.overdrive.com")</f>
        <v>https://santaclara.overdrive.com</v>
      </c>
    </row>
    <row r="332" customFormat="false" ht="15" hidden="false" customHeight="true" outlineLevel="0" collapsed="false">
      <c r="A332" s="4" t="s">
        <v>856</v>
      </c>
      <c r="B332" s="4" t="s">
        <v>1431</v>
      </c>
      <c r="C332" s="4" t="s">
        <v>1432</v>
      </c>
      <c r="D332" s="4" t="s">
        <v>872</v>
      </c>
      <c r="E332" s="5" t="n">
        <v>228835</v>
      </c>
      <c r="F332" s="4" t="n">
        <v>3</v>
      </c>
      <c r="G332" s="4" t="s">
        <v>1433</v>
      </c>
      <c r="H332" s="4" t="n">
        <v>34.41505</v>
      </c>
      <c r="I332" s="4" t="n">
        <v>-118.5503</v>
      </c>
      <c r="J332" s="4" t="s">
        <v>1434</v>
      </c>
      <c r="K332" s="6" t="str">
        <f aca="false">HYPERLINK("https://www.google.com/search?q=Santa+Clarita+Public+Library+Santa+Clarita+CA+library+website","Search")</f>
        <v>Search</v>
      </c>
      <c r="L332" s="7"/>
      <c r="M332" s="8" t="str">
        <f aca="false">HYPERLINK("https://santaclarita.overdrive.com","https://santaclarita.overdrive.com")</f>
        <v>https://santaclarita.overdrive.com</v>
      </c>
    </row>
    <row r="333" customFormat="false" ht="15" hidden="false" customHeight="true" outlineLevel="0" collapsed="false">
      <c r="A333" s="4" t="s">
        <v>856</v>
      </c>
      <c r="B333" s="4" t="s">
        <v>1435</v>
      </c>
      <c r="C333" s="4" t="s">
        <v>788</v>
      </c>
      <c r="D333" s="4" t="s">
        <v>788</v>
      </c>
      <c r="E333" s="5" t="n">
        <v>215895</v>
      </c>
      <c r="F333" s="4" t="n">
        <v>11</v>
      </c>
      <c r="G333" s="4" t="s">
        <v>1436</v>
      </c>
      <c r="H333" s="4" t="n">
        <v>36.97565</v>
      </c>
      <c r="I333" s="4" t="n">
        <v>-122.02862</v>
      </c>
      <c r="J333" s="4" t="s">
        <v>1437</v>
      </c>
      <c r="K333" s="6" t="str">
        <f aca="false">HYPERLINK("https://www.google.com/search?q=Santa+Cruz+Public+Libraries+Santa+Cruz+CA+library+website","Search")</f>
        <v>Search</v>
      </c>
      <c r="L333" s="7"/>
      <c r="M333" s="7"/>
    </row>
    <row r="334" customFormat="false" ht="15" hidden="false" customHeight="true" outlineLevel="0" collapsed="false">
      <c r="A334" s="4" t="s">
        <v>856</v>
      </c>
      <c r="B334" s="4" t="s">
        <v>1438</v>
      </c>
      <c r="C334" s="4" t="s">
        <v>1439</v>
      </c>
      <c r="D334" s="4" t="s">
        <v>872</v>
      </c>
      <c r="E334" s="5" t="n">
        <v>18763</v>
      </c>
      <c r="F334" s="4" t="n">
        <v>2</v>
      </c>
      <c r="G334" s="4" t="s">
        <v>1440</v>
      </c>
      <c r="H334" s="4" t="n">
        <v>33.9464</v>
      </c>
      <c r="I334" s="4" t="n">
        <v>-118.08411</v>
      </c>
      <c r="J334" s="4" t="s">
        <v>1441</v>
      </c>
      <c r="K334" s="6" t="str">
        <f aca="false">HYPERLINK("https://www.google.com/search?q=Santa+Fe+Springs+City+Library+Santa+Fe+Springs+CA+library+website","Search")</f>
        <v>Search</v>
      </c>
      <c r="L334" s="7"/>
      <c r="M334" s="7"/>
    </row>
    <row r="335" customFormat="false" ht="15" hidden="false" customHeight="true" outlineLevel="0" collapsed="false">
      <c r="A335" s="4" t="s">
        <v>856</v>
      </c>
      <c r="B335" s="4" t="s">
        <v>1442</v>
      </c>
      <c r="C335" s="4" t="s">
        <v>1443</v>
      </c>
      <c r="D335" s="4" t="s">
        <v>1069</v>
      </c>
      <c r="E335" s="5" t="n">
        <v>156909</v>
      </c>
      <c r="F335" s="4" t="n">
        <v>5</v>
      </c>
      <c r="G335" s="4" t="s">
        <v>1444</v>
      </c>
      <c r="H335" s="4" t="n">
        <v>34.9489</v>
      </c>
      <c r="I335" s="4" t="n">
        <v>-120.43432</v>
      </c>
      <c r="J335" s="4" t="s">
        <v>1445</v>
      </c>
      <c r="K335" s="6" t="str">
        <f aca="false">HYPERLINK("https://www.google.com/search?q=Santa+Maria+Public+Library+Santa+Maria+CA+library+website","Search")</f>
        <v>Search</v>
      </c>
      <c r="L335" s="7"/>
      <c r="M335" s="7"/>
    </row>
    <row r="336" customFormat="false" ht="15" hidden="false" customHeight="true" outlineLevel="0" collapsed="false">
      <c r="A336" s="4" t="s">
        <v>856</v>
      </c>
      <c r="B336" s="4" t="s">
        <v>1446</v>
      </c>
      <c r="C336" s="4" t="s">
        <v>1447</v>
      </c>
      <c r="D336" s="4" t="s">
        <v>872</v>
      </c>
      <c r="E336" s="5" t="n">
        <v>92408</v>
      </c>
      <c r="F336" s="4" t="n">
        <v>5</v>
      </c>
      <c r="G336" s="4" t="s">
        <v>1448</v>
      </c>
      <c r="H336" s="4" t="n">
        <v>34.01804</v>
      </c>
      <c r="I336" s="4" t="n">
        <v>-118.49331</v>
      </c>
      <c r="J336" s="4" t="s">
        <v>1449</v>
      </c>
      <c r="K336" s="6" t="str">
        <f aca="false">HYPERLINK("https://www.google.com/search?q=Santa+Monica+Public+Library+Santa+Monica+CA+library+website","Search")</f>
        <v>Search</v>
      </c>
      <c r="L336" s="7"/>
      <c r="M336" s="8" t="str">
        <f aca="false">HYPERLINK("https://santamonica.overdrive.com","https://santamonica.overdrive.com")</f>
        <v>https://santamonica.overdrive.com</v>
      </c>
    </row>
    <row r="337" customFormat="false" ht="15" hidden="false" customHeight="true" outlineLevel="0" collapsed="false">
      <c r="A337" s="4" t="s">
        <v>856</v>
      </c>
      <c r="B337" s="4" t="s">
        <v>1450</v>
      </c>
      <c r="C337" s="4" t="s">
        <v>1451</v>
      </c>
      <c r="D337" s="4" t="s">
        <v>1105</v>
      </c>
      <c r="E337" s="5" t="n">
        <v>20486</v>
      </c>
      <c r="F337" s="4" t="n">
        <v>1</v>
      </c>
      <c r="G337" s="4" t="s">
        <v>1452</v>
      </c>
      <c r="H337" s="4" t="n">
        <v>35.50368</v>
      </c>
      <c r="I337" s="4" t="n">
        <v>-119.27767</v>
      </c>
      <c r="J337" s="4" t="s">
        <v>1453</v>
      </c>
      <c r="K337" s="6" t="str">
        <f aca="false">HYPERLINK("https://www.google.com/search?q=Shafter+Library+Shafter+CA+library+website","Search")</f>
        <v>Search</v>
      </c>
      <c r="L337" s="7"/>
      <c r="M337" s="7"/>
    </row>
    <row r="338" customFormat="false" ht="15" hidden="false" customHeight="true" outlineLevel="0" collapsed="false">
      <c r="A338" s="4" t="s">
        <v>856</v>
      </c>
      <c r="B338" s="4" t="s">
        <v>1454</v>
      </c>
      <c r="C338" s="4" t="s">
        <v>1455</v>
      </c>
      <c r="D338" s="4" t="s">
        <v>1456</v>
      </c>
      <c r="E338" s="5" t="n">
        <v>180531</v>
      </c>
      <c r="F338" s="4" t="n">
        <v>3</v>
      </c>
      <c r="G338" s="4" t="s">
        <v>1457</v>
      </c>
      <c r="H338" s="4" t="n">
        <v>40.57315</v>
      </c>
      <c r="I338" s="4" t="n">
        <v>-122.38562</v>
      </c>
      <c r="J338" s="4" t="s">
        <v>1458</v>
      </c>
      <c r="K338" s="6" t="str">
        <f aca="false">HYPERLINK("https://www.google.com/search?q=Shasta+Public+Libraries+Redding+CA+library+website","Search")</f>
        <v>Search</v>
      </c>
      <c r="L338" s="7"/>
      <c r="M338" s="7"/>
    </row>
    <row r="339" customFormat="false" ht="15" hidden="false" customHeight="true" outlineLevel="0" collapsed="false">
      <c r="A339" s="4" t="s">
        <v>856</v>
      </c>
      <c r="B339" s="4" t="s">
        <v>1459</v>
      </c>
      <c r="C339" s="4" t="s">
        <v>1460</v>
      </c>
      <c r="D339" s="4" t="s">
        <v>872</v>
      </c>
      <c r="E339" s="5" t="n">
        <v>10865</v>
      </c>
      <c r="F339" s="4" t="n">
        <v>1</v>
      </c>
      <c r="G339" s="4" t="s">
        <v>1461</v>
      </c>
      <c r="H339" s="4" t="n">
        <v>34.16179</v>
      </c>
      <c r="I339" s="4" t="n">
        <v>-118.06195</v>
      </c>
      <c r="J339" s="4" t="s">
        <v>1462</v>
      </c>
      <c r="K339" s="6" t="str">
        <f aca="false">HYPERLINK("https://www.google.com/search?q=Sierra+Madre+Public+Library+Sierra+Madre+CA+library+website","Search")</f>
        <v>Search</v>
      </c>
      <c r="L339" s="7"/>
      <c r="M339" s="7"/>
    </row>
    <row r="340" customFormat="false" ht="15" hidden="false" customHeight="true" outlineLevel="0" collapsed="false">
      <c r="A340" s="4" t="s">
        <v>856</v>
      </c>
      <c r="B340" s="4" t="s">
        <v>1463</v>
      </c>
      <c r="C340" s="4" t="s">
        <v>1464</v>
      </c>
      <c r="D340" s="4" t="s">
        <v>872</v>
      </c>
      <c r="E340" s="5" t="n">
        <v>11597</v>
      </c>
      <c r="F340" s="4" t="n">
        <v>1</v>
      </c>
      <c r="G340" s="4" t="s">
        <v>1465</v>
      </c>
      <c r="H340" s="4" t="n">
        <v>33.79709</v>
      </c>
      <c r="I340" s="4" t="n">
        <v>-118.16976</v>
      </c>
      <c r="J340" s="4" t="s">
        <v>1466</v>
      </c>
      <c r="K340" s="6" t="str">
        <f aca="false">HYPERLINK("https://www.google.com/search?q=Signal+Hill+Public+Library+Signal+Hill+CA+library+website","Search")</f>
        <v>Search</v>
      </c>
      <c r="L340" s="7"/>
      <c r="M340" s="7"/>
    </row>
    <row r="341" customFormat="false" ht="15" hidden="false" customHeight="true" outlineLevel="0" collapsed="false">
      <c r="A341" s="4" t="s">
        <v>856</v>
      </c>
      <c r="B341" s="4" t="s">
        <v>1467</v>
      </c>
      <c r="C341" s="4" t="s">
        <v>1468</v>
      </c>
      <c r="D341" s="4" t="s">
        <v>925</v>
      </c>
      <c r="E341" s="5" t="n">
        <v>124985</v>
      </c>
      <c r="F341" s="4" t="n">
        <v>1</v>
      </c>
      <c r="G341" s="4" t="s">
        <v>1469</v>
      </c>
      <c r="H341" s="4" t="n">
        <v>34.28925</v>
      </c>
      <c r="I341" s="4" t="n">
        <v>-118.71773</v>
      </c>
      <c r="J341" s="4" t="s">
        <v>1470</v>
      </c>
      <c r="K341" s="6" t="str">
        <f aca="false">HYPERLINK("https://www.google.com/search?q=Simi+Valley+Public+Library+Simi+Valley+CA+library+website","Search")</f>
        <v>Search</v>
      </c>
      <c r="L341" s="7"/>
      <c r="M341" s="7"/>
    </row>
    <row r="342" customFormat="false" ht="15" hidden="false" customHeight="true" outlineLevel="0" collapsed="false">
      <c r="A342" s="4" t="s">
        <v>856</v>
      </c>
      <c r="B342" s="4" t="s">
        <v>1471</v>
      </c>
      <c r="C342" s="4" t="s">
        <v>1472</v>
      </c>
      <c r="D342" s="4" t="s">
        <v>1473</v>
      </c>
      <c r="E342" s="5" t="n">
        <v>43830</v>
      </c>
      <c r="F342" s="4" t="n">
        <v>9</v>
      </c>
      <c r="G342" s="4" t="s">
        <v>1474</v>
      </c>
      <c r="H342" s="4" t="n">
        <v>41.72656</v>
      </c>
      <c r="I342" s="4" t="n">
        <v>-122.63943</v>
      </c>
      <c r="J342" s="4" t="s">
        <v>1475</v>
      </c>
      <c r="K342" s="6" t="str">
        <f aca="false">HYPERLINK("https://www.google.com/search?q=Siskiyou+County+Free+Library+Yreka+CA+library+website","Search")</f>
        <v>Search</v>
      </c>
      <c r="L342" s="7"/>
      <c r="M342" s="7"/>
    </row>
    <row r="343" customFormat="false" ht="15" hidden="false" customHeight="true" outlineLevel="0" collapsed="false">
      <c r="A343" s="4" t="s">
        <v>856</v>
      </c>
      <c r="B343" s="4" t="s">
        <v>1476</v>
      </c>
      <c r="C343" s="4" t="s">
        <v>189</v>
      </c>
      <c r="D343" s="4" t="s">
        <v>912</v>
      </c>
      <c r="E343" s="5" t="n">
        <v>420585</v>
      </c>
      <c r="F343" s="4" t="n">
        <v>9</v>
      </c>
      <c r="G343" s="4" t="s">
        <v>1477</v>
      </c>
      <c r="H343" s="4" t="n">
        <v>38.2515</v>
      </c>
      <c r="I343" s="4" t="n">
        <v>-122.04796</v>
      </c>
      <c r="J343" s="4" t="s">
        <v>1478</v>
      </c>
      <c r="K343" s="6" t="str">
        <f aca="false">HYPERLINK("https://www.google.com/search?q=Solano+County+Library+Fairfield+CA+library+website","Search")</f>
        <v>Search</v>
      </c>
      <c r="L343" s="7"/>
      <c r="M343" s="8" t="str">
        <f aca="false">HYPERLINK("https://solano.overdrive.com","https://solano.overdrive.com")</f>
        <v>https://solano.overdrive.com</v>
      </c>
    </row>
    <row r="344" customFormat="false" ht="15" hidden="false" customHeight="true" outlineLevel="0" collapsed="false">
      <c r="A344" s="4" t="s">
        <v>856</v>
      </c>
      <c r="B344" s="4" t="s">
        <v>1479</v>
      </c>
      <c r="C344" s="4" t="s">
        <v>1480</v>
      </c>
      <c r="D344" s="4" t="s">
        <v>1481</v>
      </c>
      <c r="E344" s="5" t="n">
        <v>482404</v>
      </c>
      <c r="F344" s="4" t="n">
        <v>15</v>
      </c>
      <c r="G344" s="4" t="s">
        <v>1482</v>
      </c>
      <c r="H344" s="4" t="n">
        <v>38.35019</v>
      </c>
      <c r="I344" s="4" t="n">
        <v>-122.70606</v>
      </c>
      <c r="J344" s="4" t="s">
        <v>1483</v>
      </c>
      <c r="K344" s="6" t="str">
        <f aca="false">HYPERLINK("https://www.google.com/search?q=Sonoma+County+Library+Rohnert+Park+CA+library+website","Search")</f>
        <v>Search</v>
      </c>
      <c r="L344" s="7"/>
      <c r="M344" s="8" t="str">
        <f aca="false">HYPERLINK("https://sonoma.overdrive.com","https://sonoma.overdrive.com")</f>
        <v>https://sonoma.overdrive.com</v>
      </c>
    </row>
    <row r="345" customFormat="false" ht="15" hidden="false" customHeight="true" outlineLevel="0" collapsed="false">
      <c r="A345" s="4" t="s">
        <v>856</v>
      </c>
      <c r="B345" s="4" t="s">
        <v>1484</v>
      </c>
      <c r="C345" s="4" t="s">
        <v>1485</v>
      </c>
      <c r="D345" s="4" t="s">
        <v>872</v>
      </c>
      <c r="E345" s="5" t="n">
        <v>26580</v>
      </c>
      <c r="F345" s="4" t="n">
        <v>1</v>
      </c>
      <c r="G345" s="4" t="s">
        <v>1486</v>
      </c>
      <c r="H345" s="4" t="n">
        <v>34.11374</v>
      </c>
      <c r="I345" s="4" t="n">
        <v>-118.15577</v>
      </c>
      <c r="J345" s="4" t="s">
        <v>1487</v>
      </c>
      <c r="K345" s="6" t="str">
        <f aca="false">HYPERLINK("https://www.google.com/search?q=South+Pasadena+Public+Library+South+Pasadena+CA+library+website","Search")</f>
        <v>Search</v>
      </c>
      <c r="L345" s="7"/>
      <c r="M345" s="7"/>
    </row>
    <row r="346" customFormat="false" ht="15" hidden="false" customHeight="true" outlineLevel="0" collapsed="false">
      <c r="A346" s="4" t="s">
        <v>856</v>
      </c>
      <c r="B346" s="4" t="s">
        <v>1488</v>
      </c>
      <c r="C346" s="4" t="s">
        <v>1489</v>
      </c>
      <c r="D346" s="4" t="s">
        <v>943</v>
      </c>
      <c r="E346" s="5" t="n">
        <v>64492</v>
      </c>
      <c r="F346" s="4" t="n">
        <v>3</v>
      </c>
      <c r="G346" s="4" t="s">
        <v>1490</v>
      </c>
      <c r="H346" s="4" t="n">
        <v>37.6526</v>
      </c>
      <c r="I346" s="4" t="n">
        <v>-122.4363</v>
      </c>
      <c r="J346" s="4" t="s">
        <v>1491</v>
      </c>
      <c r="K346" s="6" t="str">
        <f aca="false">HYPERLINK("https://www.google.com/search?q=South+San+Francisco+Public+Library+South+San+Francisco+CA+library+website","Search")</f>
        <v>Search</v>
      </c>
      <c r="L346" s="7"/>
      <c r="M346" s="7"/>
    </row>
    <row r="347" customFormat="false" ht="15" hidden="false" customHeight="true" outlineLevel="0" collapsed="false">
      <c r="A347" s="4" t="s">
        <v>856</v>
      </c>
      <c r="B347" s="4" t="s">
        <v>1492</v>
      </c>
      <c r="C347" s="4" t="s">
        <v>1493</v>
      </c>
      <c r="D347" s="4" t="s">
        <v>1494</v>
      </c>
      <c r="E347" s="5" t="n">
        <v>549466</v>
      </c>
      <c r="F347" s="4" t="n">
        <v>13</v>
      </c>
      <c r="G347" s="4" t="s">
        <v>1495</v>
      </c>
      <c r="H347" s="4" t="n">
        <v>37.64356</v>
      </c>
      <c r="I347" s="4" t="n">
        <v>-120.99383</v>
      </c>
      <c r="J347" s="4" t="s">
        <v>1496</v>
      </c>
      <c r="K347" s="6" t="str">
        <f aca="false">HYPERLINK("https://www.google.com/search?q=Stanislaus+County+Free+Library+Modesto+CA+library+website","Search")</f>
        <v>Search</v>
      </c>
      <c r="L347" s="7"/>
      <c r="M347" s="8" t="str">
        <f aca="false">HYPERLINK("https://stanislauslibrary.overdrive.com","https://stanislauslibrary.overdrive.com")</f>
        <v>https://stanislauslibrary.overdrive.com</v>
      </c>
    </row>
    <row r="348" customFormat="false" ht="15" hidden="false" customHeight="true" outlineLevel="0" collapsed="false">
      <c r="A348" s="4" t="s">
        <v>856</v>
      </c>
      <c r="B348" s="4" t="s">
        <v>1497</v>
      </c>
      <c r="C348" s="4" t="s">
        <v>1498</v>
      </c>
      <c r="D348" s="4" t="s">
        <v>1141</v>
      </c>
      <c r="E348" s="5" t="n">
        <v>717728</v>
      </c>
      <c r="F348" s="4" t="n">
        <v>16</v>
      </c>
      <c r="G348" s="4" t="s">
        <v>1499</v>
      </c>
      <c r="H348" s="4" t="n">
        <v>37.95904</v>
      </c>
      <c r="I348" s="4" t="n">
        <v>-121.29156</v>
      </c>
      <c r="J348" s="4" t="s">
        <v>1500</v>
      </c>
      <c r="K348" s="6" t="str">
        <f aca="false">HYPERLINK("https://www.google.com/search?q=Stockton-San+Joaquin+County+Public+Library+Stockton+CA+library+website","Search")</f>
        <v>Search</v>
      </c>
      <c r="L348" s="7"/>
      <c r="M348" s="8" t="str">
        <f aca="false">HYPERLINK("https://ssjcpl.overdrive.com","https://ssjcpl.overdrive.com")</f>
        <v>https://ssjcpl.overdrive.com</v>
      </c>
    </row>
    <row r="349" customFormat="false" ht="15" hidden="false" customHeight="true" outlineLevel="0" collapsed="false">
      <c r="A349" s="4" t="s">
        <v>856</v>
      </c>
      <c r="B349" s="4" t="s">
        <v>1501</v>
      </c>
      <c r="C349" s="4" t="s">
        <v>1502</v>
      </c>
      <c r="D349" s="4" t="s">
        <v>1157</v>
      </c>
      <c r="E349" s="5" t="n">
        <v>156234</v>
      </c>
      <c r="F349" s="4" t="n">
        <v>1</v>
      </c>
      <c r="G349" s="4" t="s">
        <v>1503</v>
      </c>
      <c r="H349" s="4" t="n">
        <v>37.37141</v>
      </c>
      <c r="I349" s="4" t="n">
        <v>-122.03879</v>
      </c>
      <c r="J349" s="4" t="s">
        <v>1504</v>
      </c>
      <c r="K349" s="6" t="str">
        <f aca="false">HYPERLINK("https://www.google.com/search?q=Sunnyvale+Public+Library+Sunnyvale+CA+library+website","Search")</f>
        <v>Search</v>
      </c>
      <c r="L349" s="7"/>
      <c r="M349" s="8" t="str">
        <f aca="false">HYPERLINK("https://sunnyvale.overdrive.com","https://sunnyvale.overdrive.com")</f>
        <v>https://sunnyvale.overdrive.com</v>
      </c>
    </row>
    <row r="350" customFormat="false" ht="15" hidden="false" customHeight="true" outlineLevel="0" collapsed="false">
      <c r="A350" s="4" t="s">
        <v>856</v>
      </c>
      <c r="B350" s="4" t="s">
        <v>1505</v>
      </c>
      <c r="C350" s="4" t="s">
        <v>1506</v>
      </c>
      <c r="D350" s="4" t="s">
        <v>1507</v>
      </c>
      <c r="E350" s="5" t="n">
        <v>99145</v>
      </c>
      <c r="F350" s="4" t="n">
        <v>3</v>
      </c>
      <c r="G350" s="4" t="s">
        <v>1508</v>
      </c>
      <c r="H350" s="4" t="n">
        <v>39.13785</v>
      </c>
      <c r="I350" s="4" t="n">
        <v>-121.62458</v>
      </c>
      <c r="J350" s="4" t="s">
        <v>1509</v>
      </c>
      <c r="K350" s="6" t="str">
        <f aca="false">HYPERLINK("https://www.google.com/search?q=Sutter+County+Library+Yuba+City+CA+library+website","Search")</f>
        <v>Search</v>
      </c>
      <c r="L350" s="7"/>
      <c r="M350" s="7"/>
    </row>
    <row r="351" customFormat="false" ht="15" hidden="false" customHeight="true" outlineLevel="0" collapsed="false">
      <c r="A351" s="4" t="s">
        <v>856</v>
      </c>
      <c r="B351" s="4" t="s">
        <v>1510</v>
      </c>
      <c r="C351" s="4" t="s">
        <v>1511</v>
      </c>
      <c r="D351" s="4" t="s">
        <v>1512</v>
      </c>
      <c r="E351" s="5" t="n">
        <v>65052</v>
      </c>
      <c r="F351" s="4" t="n">
        <v>3</v>
      </c>
      <c r="G351" s="4" t="s">
        <v>1513</v>
      </c>
      <c r="H351" s="4" t="n">
        <v>40.16358</v>
      </c>
      <c r="I351" s="4" t="n">
        <v>-122.22617</v>
      </c>
      <c r="J351" s="4" t="s">
        <v>1514</v>
      </c>
      <c r="K351" s="6" t="str">
        <f aca="false">HYPERLINK("https://www.google.com/search?q=Tehama+County+Library+Red+Bluff+CA+library+website","Search")</f>
        <v>Search</v>
      </c>
      <c r="L351" s="7"/>
      <c r="M351" s="7"/>
    </row>
    <row r="352" customFormat="false" ht="15" hidden="false" customHeight="true" outlineLevel="0" collapsed="false">
      <c r="A352" s="4" t="s">
        <v>856</v>
      </c>
      <c r="B352" s="4" t="s">
        <v>1515</v>
      </c>
      <c r="C352" s="4" t="s">
        <v>1516</v>
      </c>
      <c r="D352" s="4" t="s">
        <v>925</v>
      </c>
      <c r="E352" s="5" t="n">
        <v>124592</v>
      </c>
      <c r="F352" s="4" t="n">
        <v>2</v>
      </c>
      <c r="G352" s="4" t="s">
        <v>1517</v>
      </c>
      <c r="H352" s="4" t="n">
        <v>34.20228</v>
      </c>
      <c r="I352" s="4" t="n">
        <v>-118.8524</v>
      </c>
      <c r="J352" s="4" t="s">
        <v>1518</v>
      </c>
      <c r="K352" s="6" t="str">
        <f aca="false">HYPERLINK("https://www.google.com/search?q=Thousand+Oaks+Library+Thousand+Oaks+CA+library+website","Search")</f>
        <v>Search</v>
      </c>
      <c r="L352" s="7"/>
      <c r="M352" s="8" t="str">
        <f aca="false">HYPERLINK("https://tolibrary.overdrive.com","https://tolibrary.overdrive.com")</f>
        <v>https://tolibrary.overdrive.com</v>
      </c>
    </row>
    <row r="353" customFormat="false" ht="15" hidden="false" customHeight="true" outlineLevel="0" collapsed="false">
      <c r="A353" s="4" t="s">
        <v>856</v>
      </c>
      <c r="B353" s="4" t="s">
        <v>1519</v>
      </c>
      <c r="C353" s="4" t="s">
        <v>1520</v>
      </c>
      <c r="D353" s="4" t="s">
        <v>872</v>
      </c>
      <c r="E353" s="5" t="n">
        <v>144433</v>
      </c>
      <c r="F353" s="4" t="n">
        <v>6</v>
      </c>
      <c r="G353" s="4" t="s">
        <v>1521</v>
      </c>
      <c r="H353" s="4" t="n">
        <v>33.83717</v>
      </c>
      <c r="I353" s="4" t="n">
        <v>-118.3435</v>
      </c>
      <c r="J353" s="4" t="s">
        <v>1522</v>
      </c>
      <c r="K353" s="6" t="str">
        <f aca="false">HYPERLINK("https://www.google.com/search?q=Torrance+Public+Library+Torrance+CA+library+website","Search")</f>
        <v>Search</v>
      </c>
      <c r="L353" s="7"/>
      <c r="M353" s="8" t="str">
        <f aca="false">HYPERLINK("https://torrance.overdrive.com","https://torrance.overdrive.com")</f>
        <v>https://torrance.overdrive.com</v>
      </c>
    </row>
    <row r="354" customFormat="false" ht="15" hidden="false" customHeight="true" outlineLevel="0" collapsed="false">
      <c r="A354" s="4" t="s">
        <v>856</v>
      </c>
      <c r="B354" s="4" t="s">
        <v>1523</v>
      </c>
      <c r="C354" s="4" t="s">
        <v>1524</v>
      </c>
      <c r="D354" s="4" t="s">
        <v>1525</v>
      </c>
      <c r="E354" s="5" t="n">
        <v>16023</v>
      </c>
      <c r="F354" s="4" t="n">
        <v>3</v>
      </c>
      <c r="G354" s="4" t="s">
        <v>1526</v>
      </c>
      <c r="H354" s="4" t="n">
        <v>40.73507</v>
      </c>
      <c r="I354" s="4" t="n">
        <v>-122.94262</v>
      </c>
      <c r="J354" s="4" t="s">
        <v>1527</v>
      </c>
      <c r="K354" s="6" t="str">
        <f aca="false">HYPERLINK("https://www.google.com/search?q=Trinity+County+Free+Library+Weaverville+CA+library+website","Search")</f>
        <v>Search</v>
      </c>
      <c r="L354" s="7"/>
      <c r="M354" s="7"/>
    </row>
    <row r="355" customFormat="false" ht="15" hidden="false" customHeight="true" outlineLevel="0" collapsed="false">
      <c r="A355" s="4" t="s">
        <v>856</v>
      </c>
      <c r="B355" s="4" t="s">
        <v>1528</v>
      </c>
      <c r="C355" s="4" t="s">
        <v>1529</v>
      </c>
      <c r="D355" s="4" t="s">
        <v>1328</v>
      </c>
      <c r="E355" s="5" t="n">
        <v>343207</v>
      </c>
      <c r="F355" s="4" t="n">
        <v>17</v>
      </c>
      <c r="G355" s="4" t="s">
        <v>1530</v>
      </c>
      <c r="H355" s="4" t="n">
        <v>36.33232</v>
      </c>
      <c r="I355" s="4" t="n">
        <v>-119.29404</v>
      </c>
      <c r="J355" s="4" t="s">
        <v>1531</v>
      </c>
      <c r="K355" s="6" t="str">
        <f aca="false">HYPERLINK("https://www.google.com/search?q=Tulare+County+Free+Library+Visalia+CA+library+website","Search")</f>
        <v>Search</v>
      </c>
      <c r="L355" s="7"/>
      <c r="M355" s="8" t="str">
        <f aca="false">HYPERLINK("https://tularecounty.overdrive.com","https://tularecounty.overdrive.com")</f>
        <v>https://tularecounty.overdrive.com</v>
      </c>
    </row>
    <row r="356" customFormat="false" ht="15" hidden="false" customHeight="true" outlineLevel="0" collapsed="false">
      <c r="A356" s="4" t="s">
        <v>856</v>
      </c>
      <c r="B356" s="4" t="s">
        <v>1532</v>
      </c>
      <c r="C356" s="4" t="s">
        <v>1328</v>
      </c>
      <c r="D356" s="4" t="s">
        <v>1328</v>
      </c>
      <c r="E356" s="5" t="n">
        <v>69462</v>
      </c>
      <c r="F356" s="4" t="n">
        <v>1</v>
      </c>
      <c r="G356" s="4" t="s">
        <v>1533</v>
      </c>
      <c r="H356" s="4" t="n">
        <v>36.21326</v>
      </c>
      <c r="I356" s="4" t="n">
        <v>-119.34465</v>
      </c>
      <c r="J356" s="4" t="s">
        <v>1534</v>
      </c>
      <c r="K356" s="6" t="str">
        <f aca="false">HYPERLINK("https://www.google.com/search?q=Tulare+Public+Library+Tulare+CA+library+website","Search")</f>
        <v>Search</v>
      </c>
      <c r="L356" s="7"/>
      <c r="M356" s="7"/>
    </row>
    <row r="357" customFormat="false" ht="15" hidden="false" customHeight="true" outlineLevel="0" collapsed="false">
      <c r="A357" s="4" t="s">
        <v>856</v>
      </c>
      <c r="B357" s="4" t="s">
        <v>1535</v>
      </c>
      <c r="C357" s="4" t="s">
        <v>1536</v>
      </c>
      <c r="D357" s="4" t="s">
        <v>1537</v>
      </c>
      <c r="E357" s="5" t="n">
        <v>55291</v>
      </c>
      <c r="F357" s="4" t="n">
        <v>4</v>
      </c>
      <c r="G357" s="4" t="s">
        <v>1538</v>
      </c>
      <c r="H357" s="4" t="n">
        <v>37.98189</v>
      </c>
      <c r="I357" s="4" t="n">
        <v>-120.36837</v>
      </c>
      <c r="J357" s="4" t="s">
        <v>1539</v>
      </c>
      <c r="K357" s="6" t="str">
        <f aca="false">HYPERLINK("https://www.google.com/search?q=Tuolumne+County+Library+Sonora+CA+library+website","Search")</f>
        <v>Search</v>
      </c>
      <c r="L357" s="7"/>
      <c r="M357" s="7"/>
    </row>
    <row r="358" customFormat="false" ht="15" hidden="false" customHeight="true" outlineLevel="0" collapsed="false">
      <c r="A358" s="4" t="s">
        <v>856</v>
      </c>
      <c r="B358" s="4" t="s">
        <v>1540</v>
      </c>
      <c r="C358" s="4" t="s">
        <v>1541</v>
      </c>
      <c r="D358" s="4" t="s">
        <v>859</v>
      </c>
      <c r="E358" s="5" t="n">
        <v>79139</v>
      </c>
      <c r="F358" s="4" t="n">
        <v>1</v>
      </c>
      <c r="G358" s="4" t="s">
        <v>1542</v>
      </c>
      <c r="H358" s="4" t="n">
        <v>34.09894</v>
      </c>
      <c r="I358" s="4" t="n">
        <v>-117.65095</v>
      </c>
      <c r="J358" s="4" t="s">
        <v>1543</v>
      </c>
      <c r="K358" s="6" t="str">
        <f aca="false">HYPERLINK("https://www.google.com/search?q=Upland+Public+Library+Upland+CA+library+website","Search")</f>
        <v>Search</v>
      </c>
      <c r="L358" s="7"/>
      <c r="M358" s="7"/>
    </row>
    <row r="359" customFormat="false" ht="15" hidden="false" customHeight="true" outlineLevel="0" collapsed="false">
      <c r="A359" s="4" t="s">
        <v>856</v>
      </c>
      <c r="B359" s="4" t="s">
        <v>1544</v>
      </c>
      <c r="C359" s="4" t="s">
        <v>925</v>
      </c>
      <c r="D359" s="4" t="s">
        <v>925</v>
      </c>
      <c r="E359" s="5" t="n">
        <v>247563</v>
      </c>
      <c r="F359" s="4" t="n">
        <v>13</v>
      </c>
      <c r="G359" s="4" t="s">
        <v>1545</v>
      </c>
      <c r="H359" s="4" t="n">
        <v>34.25904</v>
      </c>
      <c r="I359" s="4" t="n">
        <v>-119.21551</v>
      </c>
      <c r="J359" s="4" t="s">
        <v>1546</v>
      </c>
      <c r="K359" s="6" t="str">
        <f aca="false">HYPERLINK("https://www.google.com/search?q=Ventura+County+Library+Ventura+CA+library+website","Search")</f>
        <v>Search</v>
      </c>
      <c r="L359" s="7"/>
      <c r="M359" s="7"/>
    </row>
    <row r="360" customFormat="false" ht="15" hidden="false" customHeight="true" outlineLevel="0" collapsed="false">
      <c r="A360" s="4" t="s">
        <v>856</v>
      </c>
      <c r="B360" s="4" t="s">
        <v>1547</v>
      </c>
      <c r="C360" s="4" t="s">
        <v>1548</v>
      </c>
      <c r="D360" s="4" t="s">
        <v>859</v>
      </c>
      <c r="E360" s="5" t="n">
        <v>136561</v>
      </c>
      <c r="F360" s="4" t="n">
        <v>1</v>
      </c>
      <c r="G360" s="4" t="s">
        <v>1549</v>
      </c>
      <c r="H360" s="4" t="n">
        <v>34.52355</v>
      </c>
      <c r="I360" s="4" t="n">
        <v>-117.30414</v>
      </c>
      <c r="J360" s="4" t="s">
        <v>1550</v>
      </c>
      <c r="K360" s="6" t="str">
        <f aca="false">HYPERLINK("https://www.google.com/search?q=Victorville+City+Library+Victorville+CA+library+website","Search")</f>
        <v>Search</v>
      </c>
      <c r="L360" s="7"/>
      <c r="M360" s="7"/>
    </row>
    <row r="361" customFormat="false" ht="15" hidden="false" customHeight="true" outlineLevel="0" collapsed="false">
      <c r="A361" s="4" t="s">
        <v>856</v>
      </c>
      <c r="B361" s="4" t="s">
        <v>1551</v>
      </c>
      <c r="C361" s="4" t="s">
        <v>1552</v>
      </c>
      <c r="D361" s="4" t="s">
        <v>788</v>
      </c>
      <c r="E361" s="5" t="n">
        <v>50669</v>
      </c>
      <c r="F361" s="4" t="n">
        <v>2</v>
      </c>
      <c r="G361" s="4" t="s">
        <v>1553</v>
      </c>
      <c r="H361" s="4" t="n">
        <v>36.90884</v>
      </c>
      <c r="I361" s="4" t="n">
        <v>-121.75534</v>
      </c>
      <c r="J361" s="4" t="s">
        <v>1554</v>
      </c>
      <c r="K361" s="6" t="str">
        <f aca="false">HYPERLINK("https://www.google.com/search?q=Watsonville+Public+Library+Watsonville+CA+library+website","Search")</f>
        <v>Search</v>
      </c>
      <c r="L361" s="7"/>
      <c r="M361" s="7"/>
    </row>
    <row r="362" customFormat="false" ht="15" hidden="false" customHeight="true" outlineLevel="0" collapsed="false">
      <c r="A362" s="4" t="s">
        <v>856</v>
      </c>
      <c r="B362" s="4" t="s">
        <v>1555</v>
      </c>
      <c r="C362" s="4" t="s">
        <v>1556</v>
      </c>
      <c r="D362" s="4" t="s">
        <v>872</v>
      </c>
      <c r="E362" s="5" t="n">
        <v>87931</v>
      </c>
      <c r="F362" s="4" t="n">
        <v>3</v>
      </c>
      <c r="G362" s="4" t="s">
        <v>1557</v>
      </c>
      <c r="H362" s="4" t="n">
        <v>33.9741</v>
      </c>
      <c r="I362" s="4" t="n">
        <v>-118.03495</v>
      </c>
      <c r="J362" s="4" t="s">
        <v>1558</v>
      </c>
      <c r="K362" s="6" t="str">
        <f aca="false">HYPERLINK("https://www.google.com/search?q=Whittier+Public+Library+Whittier+CA+library+website","Search")</f>
        <v>Search</v>
      </c>
      <c r="L362" s="7"/>
      <c r="M362" s="8" t="str">
        <f aca="false">HYPERLINK("https://whittierpubliclibrary.overdrive.com","https://whittierpubliclibrary.overdrive.com")</f>
        <v>https://whittierpubliclibrary.overdrive.com</v>
      </c>
    </row>
    <row r="363" customFormat="false" ht="15" hidden="false" customHeight="true" outlineLevel="0" collapsed="false">
      <c r="A363" s="4" t="s">
        <v>856</v>
      </c>
      <c r="B363" s="4" t="s">
        <v>1559</v>
      </c>
      <c r="C363" s="4" t="s">
        <v>1560</v>
      </c>
      <c r="D363" s="4" t="s">
        <v>1266</v>
      </c>
      <c r="E363" s="5" t="n">
        <v>13455</v>
      </c>
      <c r="F363" s="4" t="n">
        <v>3</v>
      </c>
      <c r="G363" s="4" t="s">
        <v>1561</v>
      </c>
      <c r="H363" s="4" t="n">
        <v>39.52193</v>
      </c>
      <c r="I363" s="4" t="n">
        <v>-122.19968</v>
      </c>
      <c r="J363" s="4" t="s">
        <v>1562</v>
      </c>
      <c r="K363" s="6" t="str">
        <f aca="false">HYPERLINK("https://www.google.com/search?q=Willows+Public+Library+Willows+CA+library+website","Search")</f>
        <v>Search</v>
      </c>
      <c r="L363" s="7"/>
      <c r="M363" s="7"/>
    </row>
    <row r="364" customFormat="false" ht="15" hidden="false" customHeight="true" outlineLevel="0" collapsed="false">
      <c r="A364" s="4" t="s">
        <v>856</v>
      </c>
      <c r="B364" s="4" t="s">
        <v>1563</v>
      </c>
      <c r="C364" s="4" t="s">
        <v>1564</v>
      </c>
      <c r="D364" s="4" t="s">
        <v>1565</v>
      </c>
      <c r="E364" s="5" t="n">
        <v>60137</v>
      </c>
      <c r="F364" s="4" t="n">
        <v>1</v>
      </c>
      <c r="G364" s="4" t="s">
        <v>1566</v>
      </c>
      <c r="H364" s="4" t="n">
        <v>38.67918</v>
      </c>
      <c r="I364" s="4" t="n">
        <v>-121.77313</v>
      </c>
      <c r="J364" s="4" t="s">
        <v>1567</v>
      </c>
      <c r="K364" s="6" t="str">
        <f aca="false">HYPERLINK("https://www.google.com/search?q=Woodland+Public+Library+Woodland+CA+library+website","Search")</f>
        <v>Search</v>
      </c>
      <c r="L364" s="7"/>
      <c r="M364" s="7"/>
    </row>
    <row r="365" customFormat="false" ht="15" hidden="false" customHeight="true" outlineLevel="0" collapsed="false">
      <c r="A365" s="4" t="s">
        <v>856</v>
      </c>
      <c r="B365" s="4" t="s">
        <v>1568</v>
      </c>
      <c r="C365" s="4" t="s">
        <v>1564</v>
      </c>
      <c r="D365" s="4" t="s">
        <v>1565</v>
      </c>
      <c r="E365" s="5" t="n">
        <v>161028</v>
      </c>
      <c r="F365" s="4" t="n">
        <v>7</v>
      </c>
      <c r="G365" s="4" t="s">
        <v>1569</v>
      </c>
      <c r="H365" s="4" t="n">
        <v>38.68341</v>
      </c>
      <c r="I365" s="4" t="n">
        <v>-121.79481</v>
      </c>
      <c r="J365" s="4" t="s">
        <v>1570</v>
      </c>
      <c r="K365" s="6" t="str">
        <f aca="false">HYPERLINK("https://www.google.com/search?q=Yolo+County+Library+Woodland+CA+library+website","Search")</f>
        <v>Search</v>
      </c>
      <c r="L365" s="7"/>
      <c r="M365" s="8" t="str">
        <f aca="false">HYPERLINK("https://yolocounty.overdrive.com","https://yolocounty.overdrive.com")</f>
        <v>https://yolocounty.overdrive.com</v>
      </c>
    </row>
    <row r="366" customFormat="false" ht="15" hidden="false" customHeight="true" outlineLevel="0" collapsed="false">
      <c r="A366" s="4" t="s">
        <v>856</v>
      </c>
      <c r="B366" s="4" t="s">
        <v>1571</v>
      </c>
      <c r="C366" s="4" t="s">
        <v>1572</v>
      </c>
      <c r="D366" s="4" t="s">
        <v>885</v>
      </c>
      <c r="E366" s="5" t="n">
        <v>67233</v>
      </c>
      <c r="F366" s="4" t="n">
        <v>1</v>
      </c>
      <c r="G366" s="4" t="s">
        <v>1573</v>
      </c>
      <c r="H366" s="4" t="n">
        <v>33.89081</v>
      </c>
      <c r="I366" s="4" t="n">
        <v>-117.8113</v>
      </c>
      <c r="J366" s="4" t="s">
        <v>1574</v>
      </c>
      <c r="K366" s="6" t="str">
        <f aca="false">HYPERLINK("https://www.google.com/search?q=Yorba+Linda+Public+Library+Yorba+Linda+CA+library+website","Search")</f>
        <v>Search</v>
      </c>
      <c r="L366" s="7"/>
      <c r="M366" s="8" t="str">
        <f aca="false">HYPERLINK("https://ylpl.overdrive.com","https://ylpl.overdrive.com")</f>
        <v>https://ylpl.overdrive.com</v>
      </c>
    </row>
    <row r="367" customFormat="false" ht="15" hidden="false" customHeight="true" outlineLevel="0" collapsed="false">
      <c r="A367" s="4" t="s">
        <v>856</v>
      </c>
      <c r="B367" s="4" t="s">
        <v>1575</v>
      </c>
      <c r="C367" s="4" t="s">
        <v>1576</v>
      </c>
      <c r="D367" s="4" t="s">
        <v>1577</v>
      </c>
      <c r="E367" s="5" t="n">
        <v>82275</v>
      </c>
      <c r="F367" s="4" t="n">
        <v>1</v>
      </c>
      <c r="G367" s="4" t="s">
        <v>1578</v>
      </c>
      <c r="H367" s="4" t="n">
        <v>39.13712</v>
      </c>
      <c r="I367" s="4" t="n">
        <v>-121.58754</v>
      </c>
      <c r="J367" s="4" t="s">
        <v>1579</v>
      </c>
      <c r="K367" s="6" t="str">
        <f aca="false">HYPERLINK("https://www.google.com/search?q=Yuba+County+Library+Marysville+CA+library+website","Search")</f>
        <v>Search</v>
      </c>
      <c r="L367" s="7"/>
      <c r="M367" s="7"/>
    </row>
    <row r="368" customFormat="false" ht="15" hidden="false" customHeight="true" outlineLevel="0" collapsed="false">
      <c r="A368" s="4" t="s">
        <v>1580</v>
      </c>
      <c r="B368" s="4" t="s">
        <v>1581</v>
      </c>
      <c r="C368" s="4" t="s">
        <v>1582</v>
      </c>
      <c r="D368" s="4" t="s">
        <v>1583</v>
      </c>
      <c r="E368" s="5" t="n">
        <v>270772</v>
      </c>
      <c r="F368" s="4" t="n">
        <v>8</v>
      </c>
      <c r="G368" s="4" t="s">
        <v>1584</v>
      </c>
      <c r="H368" s="4" t="n">
        <v>39.57805</v>
      </c>
      <c r="I368" s="4" t="n">
        <v>-104.83999</v>
      </c>
      <c r="J368" s="4" t="s">
        <v>1585</v>
      </c>
      <c r="K368" s="6" t="str">
        <f aca="false">HYPERLINK("https://www.google.com/search?q=Arapahoe+Library+District+Englewood+CO+library+website","Search")</f>
        <v>Search</v>
      </c>
      <c r="L368" s="7"/>
      <c r="M368" s="8" t="str">
        <f aca="false">HYPERLINK("https://arapahoe.overdrive.com","https://arapahoe.overdrive.com")</f>
        <v>https://arapahoe.overdrive.com</v>
      </c>
    </row>
    <row r="369" customFormat="false" ht="15" hidden="false" customHeight="true" outlineLevel="0" collapsed="false">
      <c r="A369" s="4" t="s">
        <v>1580</v>
      </c>
      <c r="B369" s="4" t="s">
        <v>1586</v>
      </c>
      <c r="C369" s="4" t="s">
        <v>1587</v>
      </c>
      <c r="D369" s="4" t="s">
        <v>1583</v>
      </c>
      <c r="E369" s="5" t="n">
        <v>383496</v>
      </c>
      <c r="F369" s="4" t="n">
        <v>7</v>
      </c>
      <c r="G369" s="4" t="s">
        <v>1588</v>
      </c>
      <c r="H369" s="4" t="n">
        <v>39.71047</v>
      </c>
      <c r="I369" s="4" t="n">
        <v>-104.8152</v>
      </c>
      <c r="J369" s="4" t="s">
        <v>1589</v>
      </c>
      <c r="K369" s="6" t="str">
        <f aca="false">HYPERLINK("https://www.google.com/search?q=Aurora+Public+Library+Aurora+CO+library+website","Search")</f>
        <v>Search</v>
      </c>
      <c r="L369" s="7"/>
      <c r="M369" s="7"/>
    </row>
    <row r="370" customFormat="false" ht="15" hidden="false" customHeight="true" outlineLevel="0" collapsed="false">
      <c r="A370" s="4" t="s">
        <v>1580</v>
      </c>
      <c r="B370" s="4" t="s">
        <v>1590</v>
      </c>
      <c r="C370" s="4" t="s">
        <v>1591</v>
      </c>
      <c r="D370" s="4" t="s">
        <v>1592</v>
      </c>
      <c r="E370" s="5" t="n">
        <v>12723</v>
      </c>
      <c r="F370" s="4" t="n">
        <v>1</v>
      </c>
      <c r="G370" s="4" t="s">
        <v>1593</v>
      </c>
      <c r="H370" s="4" t="n">
        <v>39.36642</v>
      </c>
      <c r="I370" s="4" t="n">
        <v>-107.03709</v>
      </c>
      <c r="J370" s="4" t="s">
        <v>1594</v>
      </c>
      <c r="K370" s="6" t="str">
        <f aca="false">HYPERLINK("https://www.google.com/search?q=Basalt+Regional+Library+District+Basalt+CO+library+website","Search")</f>
        <v>Search</v>
      </c>
      <c r="L370" s="7"/>
      <c r="M370" s="7"/>
    </row>
    <row r="371" customFormat="false" ht="15" hidden="false" customHeight="true" outlineLevel="0" collapsed="false">
      <c r="A371" s="4" t="s">
        <v>1580</v>
      </c>
      <c r="B371" s="4" t="s">
        <v>1595</v>
      </c>
      <c r="C371" s="4" t="s">
        <v>1596</v>
      </c>
      <c r="D371" s="4" t="s">
        <v>1597</v>
      </c>
      <c r="E371" s="5" t="n">
        <v>25069</v>
      </c>
      <c r="F371" s="4" t="n">
        <v>1</v>
      </c>
      <c r="G371" s="4" t="s">
        <v>1598</v>
      </c>
      <c r="H371" s="4" t="n">
        <v>40.30424</v>
      </c>
      <c r="I371" s="4" t="n">
        <v>-105.07697</v>
      </c>
      <c r="J371" s="4" t="s">
        <v>1599</v>
      </c>
      <c r="K371" s="6" t="str">
        <f aca="false">HYPERLINK("https://www.google.com/search?q=Berthoud+Community+Library+District+Berthoud+CO+library+website","Search")</f>
        <v>Search</v>
      </c>
      <c r="L371" s="7"/>
      <c r="M371" s="7"/>
    </row>
    <row r="372" customFormat="false" ht="15" hidden="false" customHeight="true" outlineLevel="0" collapsed="false">
      <c r="A372" s="4" t="s">
        <v>1580</v>
      </c>
      <c r="B372" s="4" t="s">
        <v>1600</v>
      </c>
      <c r="C372" s="4" t="s">
        <v>1601</v>
      </c>
      <c r="D372" s="4" t="s">
        <v>1601</v>
      </c>
      <c r="E372" s="5" t="n">
        <v>104930</v>
      </c>
      <c r="F372" s="4" t="n">
        <v>5</v>
      </c>
      <c r="G372" s="4" t="s">
        <v>1602</v>
      </c>
      <c r="H372" s="4" t="n">
        <v>40.01352</v>
      </c>
      <c r="I372" s="4" t="n">
        <v>-105.28166</v>
      </c>
      <c r="J372" s="4" t="s">
        <v>1603</v>
      </c>
      <c r="K372" s="6" t="str">
        <f aca="false">HYPERLINK("https://www.google.com/search?q=Boulder+Public+Library+Boulder+CO+library+website","Search")</f>
        <v>Search</v>
      </c>
      <c r="L372" s="7"/>
      <c r="M372" s="7"/>
    </row>
    <row r="373" customFormat="false" ht="15" hidden="false" customHeight="true" outlineLevel="0" collapsed="false">
      <c r="A373" s="4" t="s">
        <v>1580</v>
      </c>
      <c r="B373" s="4" t="s">
        <v>1604</v>
      </c>
      <c r="C373" s="4" t="s">
        <v>1605</v>
      </c>
      <c r="D373" s="4" t="s">
        <v>1605</v>
      </c>
      <c r="E373" s="5" t="n">
        <v>72697</v>
      </c>
      <c r="F373" s="4" t="n">
        <v>1</v>
      </c>
      <c r="G373" s="4" t="s">
        <v>1606</v>
      </c>
      <c r="H373" s="4" t="n">
        <v>39.91762</v>
      </c>
      <c r="I373" s="4" t="n">
        <v>-105.06871</v>
      </c>
      <c r="J373" s="4" t="s">
        <v>1607</v>
      </c>
      <c r="K373" s="6" t="str">
        <f aca="false">HYPERLINK("https://www.google.com/search?q=Broomfield%2FEisenhower+Public+Library+Broomfield+CO+library+website","Search")</f>
        <v>Search</v>
      </c>
      <c r="L373" s="7"/>
      <c r="M373" s="7"/>
    </row>
    <row r="374" customFormat="false" ht="15" hidden="false" customHeight="true" outlineLevel="0" collapsed="false">
      <c r="A374" s="4" t="s">
        <v>1580</v>
      </c>
      <c r="B374" s="4" t="s">
        <v>1608</v>
      </c>
      <c r="C374" s="4" t="s">
        <v>1609</v>
      </c>
      <c r="D374" s="4" t="s">
        <v>863</v>
      </c>
      <c r="E374" s="5" t="n">
        <v>17157</v>
      </c>
      <c r="F374" s="4" t="n">
        <v>2</v>
      </c>
      <c r="G374" s="4" t="s">
        <v>1610</v>
      </c>
      <c r="H374" s="4" t="n">
        <v>38.44156</v>
      </c>
      <c r="I374" s="4" t="n">
        <v>-105.24073</v>
      </c>
      <c r="J374" s="4" t="s">
        <v>1611</v>
      </c>
      <c r="K374" s="6" t="str">
        <f aca="false">HYPERLINK("https://www.google.com/search?q=Canon+City+Public+Library+Canon+City+CO+library+website","Search")</f>
        <v>Search</v>
      </c>
      <c r="L374" s="7"/>
      <c r="M374" s="7"/>
    </row>
    <row r="375" customFormat="false" ht="15" hidden="false" customHeight="true" outlineLevel="0" collapsed="false">
      <c r="A375" s="4" t="s">
        <v>1580</v>
      </c>
      <c r="B375" s="4" t="s">
        <v>1612</v>
      </c>
      <c r="C375" s="4" t="s">
        <v>1613</v>
      </c>
      <c r="D375" s="4" t="s">
        <v>1614</v>
      </c>
      <c r="E375" s="5" t="n">
        <v>42908</v>
      </c>
      <c r="F375" s="4" t="n">
        <v>1</v>
      </c>
      <c r="G375" s="4" t="s">
        <v>1615</v>
      </c>
      <c r="H375" s="4" t="n">
        <v>40.47193</v>
      </c>
      <c r="I375" s="4" t="n">
        <v>-104.90083</v>
      </c>
      <c r="J375" s="4" t="s">
        <v>1616</v>
      </c>
      <c r="K375" s="6" t="str">
        <f aca="false">HYPERLINK("https://www.google.com/search?q=Clearview+Library+District+Windsor+CO+library+website","Search")</f>
        <v>Search</v>
      </c>
      <c r="L375" s="7"/>
      <c r="M375" s="7"/>
    </row>
    <row r="376" customFormat="false" ht="15" hidden="false" customHeight="true" outlineLevel="0" collapsed="false">
      <c r="A376" s="4" t="s">
        <v>1580</v>
      </c>
      <c r="B376" s="4" t="s">
        <v>1617</v>
      </c>
      <c r="C376" s="4" t="s">
        <v>1618</v>
      </c>
      <c r="D376" s="4" t="s">
        <v>1619</v>
      </c>
      <c r="E376" s="5" t="n">
        <v>31773</v>
      </c>
      <c r="F376" s="4" t="n">
        <v>5</v>
      </c>
      <c r="G376" s="4" t="s">
        <v>1620</v>
      </c>
      <c r="H376" s="4" t="n">
        <v>38.79988</v>
      </c>
      <c r="I376" s="4" t="n">
        <v>-107.72066</v>
      </c>
      <c r="J376" s="4" t="s">
        <v>1621</v>
      </c>
      <c r="K376" s="6" t="str">
        <f aca="false">HYPERLINK("https://www.google.com/search?q=Delta+County+Public+Library+District+Hotchkiss+CO+library+website","Search")</f>
        <v>Search</v>
      </c>
      <c r="L376" s="7"/>
      <c r="M376" s="7"/>
    </row>
    <row r="377" customFormat="false" ht="15" hidden="false" customHeight="true" outlineLevel="0" collapsed="false">
      <c r="A377" s="4" t="s">
        <v>1580</v>
      </c>
      <c r="B377" s="4" t="s">
        <v>1622</v>
      </c>
      <c r="C377" s="4" t="s">
        <v>1623</v>
      </c>
      <c r="D377" s="4" t="s">
        <v>1623</v>
      </c>
      <c r="E377" s="5" t="n">
        <v>706799</v>
      </c>
      <c r="F377" s="4" t="n">
        <v>27</v>
      </c>
      <c r="G377" s="4" t="s">
        <v>1624</v>
      </c>
      <c r="H377" s="4" t="n">
        <v>39.73792</v>
      </c>
      <c r="I377" s="4" t="n">
        <v>-104.98851</v>
      </c>
      <c r="J377" s="4" t="s">
        <v>1625</v>
      </c>
      <c r="K377" s="6" t="str">
        <f aca="false">HYPERLINK("https://www.google.com/search?q=Denver+Public+Library+Denver+CO+library+website","Search")</f>
        <v>Search</v>
      </c>
      <c r="L377" s="7"/>
      <c r="M377" s="8" t="str">
        <f aca="false">HYPERLINK("https://denver.overdrive.com","https://denver.overdrive.com")</f>
        <v>https://denver.overdrive.com</v>
      </c>
    </row>
    <row r="378" customFormat="false" ht="15" hidden="false" customHeight="true" outlineLevel="0" collapsed="false">
      <c r="A378" s="4" t="s">
        <v>1580</v>
      </c>
      <c r="B378" s="4" t="s">
        <v>1626</v>
      </c>
      <c r="C378" s="4" t="s">
        <v>1627</v>
      </c>
      <c r="D378" s="4" t="s">
        <v>719</v>
      </c>
      <c r="E378" s="5" t="n">
        <v>369287</v>
      </c>
      <c r="F378" s="4" t="n">
        <v>7</v>
      </c>
      <c r="G378" s="4" t="s">
        <v>1628</v>
      </c>
      <c r="H378" s="4" t="n">
        <v>39.36855</v>
      </c>
      <c r="I378" s="4" t="n">
        <v>-104.86032</v>
      </c>
      <c r="J378" s="4" t="s">
        <v>1629</v>
      </c>
      <c r="K378" s="6" t="str">
        <f aca="false">HYPERLINK("https://www.google.com/search?q=Douglas+County+Libraries+Castle+Rock+CO+library+website","Search")</f>
        <v>Search</v>
      </c>
      <c r="L378" s="7"/>
      <c r="M378" s="7"/>
    </row>
    <row r="379" customFormat="false" ht="15" hidden="false" customHeight="true" outlineLevel="0" collapsed="false">
      <c r="A379" s="4" t="s">
        <v>1580</v>
      </c>
      <c r="B379" s="4" t="s">
        <v>1630</v>
      </c>
      <c r="C379" s="4" t="s">
        <v>1631</v>
      </c>
      <c r="D379" s="4" t="s">
        <v>1632</v>
      </c>
      <c r="E379" s="5" t="n">
        <v>56280</v>
      </c>
      <c r="F379" s="4" t="n">
        <v>1</v>
      </c>
      <c r="G379" s="4" t="s">
        <v>1633</v>
      </c>
      <c r="H379" s="4" t="n">
        <v>37.28371</v>
      </c>
      <c r="I379" s="4" t="n">
        <v>-107.87458</v>
      </c>
      <c r="J379" s="4" t="s">
        <v>1634</v>
      </c>
      <c r="K379" s="6" t="str">
        <f aca="false">HYPERLINK("https://www.google.com/search?q=Durango+Public+Library+Durango+CO+library+website","Search")</f>
        <v>Search</v>
      </c>
      <c r="L379" s="7"/>
      <c r="M379" s="8" t="str">
        <f aca="false">HYPERLINK("https://durango.overdrive.com","https://durango.overdrive.com")</f>
        <v>https://durango.overdrive.com</v>
      </c>
    </row>
    <row r="380" customFormat="false" ht="15" hidden="false" customHeight="true" outlineLevel="0" collapsed="false">
      <c r="A380" s="4" t="s">
        <v>1580</v>
      </c>
      <c r="B380" s="4" t="s">
        <v>1635</v>
      </c>
      <c r="C380" s="4" t="s">
        <v>1592</v>
      </c>
      <c r="D380" s="4" t="s">
        <v>1592</v>
      </c>
      <c r="E380" s="5" t="n">
        <v>45033</v>
      </c>
      <c r="F380" s="4" t="n">
        <v>3</v>
      </c>
      <c r="G380" s="4" t="s">
        <v>1636</v>
      </c>
      <c r="H380" s="4" t="n">
        <v>39.65066</v>
      </c>
      <c r="I380" s="4" t="n">
        <v>-106.8278</v>
      </c>
      <c r="J380" s="4" t="s">
        <v>1637</v>
      </c>
      <c r="K380" s="6" t="str">
        <f aca="false">HYPERLINK("https://www.google.com/search?q=Eagle+Valley+Library+District+Eagle+CO+library+website","Search")</f>
        <v>Search</v>
      </c>
      <c r="L380" s="7"/>
      <c r="M380" s="7"/>
    </row>
    <row r="381" customFormat="false" ht="15" hidden="false" customHeight="true" outlineLevel="0" collapsed="false">
      <c r="A381" s="4" t="s">
        <v>1580</v>
      </c>
      <c r="B381" s="4" t="s">
        <v>1638</v>
      </c>
      <c r="C381" s="4" t="s">
        <v>1639</v>
      </c>
      <c r="D381" s="4" t="s">
        <v>1640</v>
      </c>
      <c r="E381" s="5" t="n">
        <v>18793</v>
      </c>
      <c r="F381" s="4" t="n">
        <v>1</v>
      </c>
      <c r="G381" s="4" t="s">
        <v>1641</v>
      </c>
      <c r="H381" s="4" t="n">
        <v>40.48921</v>
      </c>
      <c r="I381" s="4" t="n">
        <v>-106.83989</v>
      </c>
      <c r="J381" s="4" t="s">
        <v>1642</v>
      </c>
      <c r="K381" s="6" t="str">
        <f aca="false">HYPERLINK("https://www.google.com/search?q=East+Routt+Library+District+Steamboat+Springs+CO+library+website","Search")</f>
        <v>Search</v>
      </c>
      <c r="L381" s="7"/>
      <c r="M381" s="7"/>
    </row>
    <row r="382" customFormat="false" ht="15" hidden="false" customHeight="true" outlineLevel="0" collapsed="false">
      <c r="A382" s="4" t="s">
        <v>1580</v>
      </c>
      <c r="B382" s="4" t="s">
        <v>1643</v>
      </c>
      <c r="C382" s="4" t="s">
        <v>1644</v>
      </c>
      <c r="D382" s="4" t="s">
        <v>1645</v>
      </c>
      <c r="E382" s="5" t="n">
        <v>27120</v>
      </c>
      <c r="F382" s="4" t="n">
        <v>4</v>
      </c>
      <c r="G382" s="4" t="s">
        <v>1646</v>
      </c>
      <c r="H382" s="4" t="n">
        <v>39.35812</v>
      </c>
      <c r="I382" s="4" t="n">
        <v>-104.61046</v>
      </c>
      <c r="J382" s="4" t="s">
        <v>1647</v>
      </c>
      <c r="K382" s="6" t="str">
        <f aca="false">HYPERLINK("https://www.google.com/search?q=Elbert+County+Library+District+Elizabeth+CO+library+website","Search")</f>
        <v>Search</v>
      </c>
      <c r="L382" s="7"/>
      <c r="M382" s="7"/>
    </row>
    <row r="383" customFormat="false" ht="15" hidden="false" customHeight="true" outlineLevel="0" collapsed="false">
      <c r="A383" s="4" t="s">
        <v>1580</v>
      </c>
      <c r="B383" s="4" t="s">
        <v>1648</v>
      </c>
      <c r="C383" s="4" t="s">
        <v>1582</v>
      </c>
      <c r="D383" s="4" t="s">
        <v>1583</v>
      </c>
      <c r="E383" s="5" t="n">
        <v>33500</v>
      </c>
      <c r="F383" s="4" t="n">
        <v>1</v>
      </c>
      <c r="G383" s="4" t="s">
        <v>1649</v>
      </c>
      <c r="H383" s="4" t="n">
        <v>39.65492</v>
      </c>
      <c r="I383" s="4" t="n">
        <v>-104.9986</v>
      </c>
      <c r="J383" s="4" t="s">
        <v>1650</v>
      </c>
      <c r="K383" s="6" t="str">
        <f aca="false">HYPERLINK("https://www.google.com/search?q=Englewood+Public+Library+Englewood+CO+library+website","Search")</f>
        <v>Search</v>
      </c>
      <c r="L383" s="7"/>
      <c r="M383" s="7"/>
    </row>
    <row r="384" customFormat="false" ht="15" hidden="false" customHeight="true" outlineLevel="0" collapsed="false">
      <c r="A384" s="4" t="s">
        <v>1580</v>
      </c>
      <c r="B384" s="4" t="s">
        <v>1651</v>
      </c>
      <c r="C384" s="4" t="s">
        <v>1652</v>
      </c>
      <c r="D384" s="4" t="s">
        <v>1597</v>
      </c>
      <c r="E384" s="5" t="n">
        <v>11867</v>
      </c>
      <c r="F384" s="4" t="n">
        <v>1</v>
      </c>
      <c r="G384" s="4" t="s">
        <v>1653</v>
      </c>
      <c r="H384" s="4" t="n">
        <v>40.37707</v>
      </c>
      <c r="I384" s="4" t="n">
        <v>-105.51977</v>
      </c>
      <c r="J384" s="4" t="s">
        <v>1654</v>
      </c>
      <c r="K384" s="6" t="str">
        <f aca="false">HYPERLINK("https://www.google.com/search?q=Estes+Valley+Public+Library+District+Estes+Park+CO+library+website","Search")</f>
        <v>Search</v>
      </c>
      <c r="L384" s="7"/>
      <c r="M384" s="7"/>
    </row>
    <row r="385" customFormat="false" ht="15" hidden="false" customHeight="true" outlineLevel="0" collapsed="false">
      <c r="A385" s="4" t="s">
        <v>1580</v>
      </c>
      <c r="B385" s="4" t="s">
        <v>1655</v>
      </c>
      <c r="C385" s="4" t="s">
        <v>1656</v>
      </c>
      <c r="D385" s="4" t="s">
        <v>156</v>
      </c>
      <c r="E385" s="5" t="n">
        <v>11483</v>
      </c>
      <c r="F385" s="4" t="n">
        <v>1</v>
      </c>
      <c r="G385" s="4" t="s">
        <v>1657</v>
      </c>
      <c r="H385" s="4" t="n">
        <v>40.25194</v>
      </c>
      <c r="I385" s="4" t="n">
        <v>-103.80146</v>
      </c>
      <c r="J385" s="4" t="s">
        <v>1658</v>
      </c>
      <c r="K385" s="6" t="str">
        <f aca="false">HYPERLINK("https://www.google.com/search?q=Fort+Morgan+Public+Library+Fort+Morgan+CO+library+website","Search")</f>
        <v>Search</v>
      </c>
      <c r="L385" s="7"/>
      <c r="M385" s="7"/>
    </row>
    <row r="386" customFormat="false" ht="15" hidden="false" customHeight="true" outlineLevel="0" collapsed="false">
      <c r="A386" s="4" t="s">
        <v>1580</v>
      </c>
      <c r="B386" s="4" t="s">
        <v>1659</v>
      </c>
      <c r="C386" s="4" t="s">
        <v>1660</v>
      </c>
      <c r="D386" s="4" t="s">
        <v>1661</v>
      </c>
      <c r="E386" s="5" t="n">
        <v>62151</v>
      </c>
      <c r="F386" s="4" t="n">
        <v>6</v>
      </c>
      <c r="G386" s="4" t="s">
        <v>1662</v>
      </c>
      <c r="H386" s="4" t="n">
        <v>39.53076</v>
      </c>
      <c r="I386" s="4" t="n">
        <v>-107.78206</v>
      </c>
      <c r="J386" s="4" t="s">
        <v>1663</v>
      </c>
      <c r="K386" s="6" t="str">
        <f aca="false">HYPERLINK("https://www.google.com/search?q=Garfield+County+Public+Library+District+Rifle+CO+library+website","Search")</f>
        <v>Search</v>
      </c>
      <c r="L386" s="7"/>
      <c r="M386" s="7"/>
    </row>
    <row r="387" customFormat="false" ht="15" hidden="false" customHeight="true" outlineLevel="0" collapsed="false">
      <c r="A387" s="4" t="s">
        <v>1580</v>
      </c>
      <c r="B387" s="4" t="s">
        <v>1664</v>
      </c>
      <c r="C387" s="4" t="s">
        <v>1665</v>
      </c>
      <c r="D387" s="4" t="s">
        <v>1666</v>
      </c>
      <c r="E387" s="5" t="n">
        <v>15835</v>
      </c>
      <c r="F387" s="4" t="n">
        <v>5</v>
      </c>
      <c r="G387" s="4" t="s">
        <v>1667</v>
      </c>
      <c r="H387" s="4" t="n">
        <v>40.08633</v>
      </c>
      <c r="I387" s="4" t="n">
        <v>-105.9384</v>
      </c>
      <c r="J387" s="4" t="s">
        <v>1668</v>
      </c>
      <c r="K387" s="6" t="str">
        <f aca="false">HYPERLINK("https://www.google.com/search?q=Grand+County+Library+District+Granby+CO+library+website","Search")</f>
        <v>Search</v>
      </c>
      <c r="L387" s="7"/>
      <c r="M387" s="7"/>
    </row>
    <row r="388" customFormat="false" ht="15" hidden="false" customHeight="true" outlineLevel="0" collapsed="false">
      <c r="A388" s="4" t="s">
        <v>1580</v>
      </c>
      <c r="B388" s="4" t="s">
        <v>1669</v>
      </c>
      <c r="C388" s="4" t="s">
        <v>1670</v>
      </c>
      <c r="D388" s="4" t="s">
        <v>1670</v>
      </c>
      <c r="E388" s="5" t="n">
        <v>17293</v>
      </c>
      <c r="F388" s="4" t="n">
        <v>2</v>
      </c>
      <c r="G388" s="4" t="s">
        <v>1671</v>
      </c>
      <c r="H388" s="4" t="n">
        <v>38.54707</v>
      </c>
      <c r="I388" s="4" t="n">
        <v>-106.92824</v>
      </c>
      <c r="J388" s="4" t="s">
        <v>1672</v>
      </c>
      <c r="K388" s="6" t="str">
        <f aca="false">HYPERLINK("https://www.google.com/search?q=Gunnison+County+Library+District+Gunnison+CO+library+website","Search")</f>
        <v>Search</v>
      </c>
      <c r="L388" s="7"/>
      <c r="M388" s="7"/>
    </row>
    <row r="389" customFormat="false" ht="15" hidden="false" customHeight="true" outlineLevel="0" collapsed="false">
      <c r="A389" s="4" t="s">
        <v>1580</v>
      </c>
      <c r="B389" s="4" t="s">
        <v>1673</v>
      </c>
      <c r="C389" s="4" t="s">
        <v>1674</v>
      </c>
      <c r="D389" s="4" t="s">
        <v>1614</v>
      </c>
      <c r="E389" s="5" t="n">
        <v>304265</v>
      </c>
      <c r="F389" s="4" t="n">
        <v>16</v>
      </c>
      <c r="G389" s="4" t="s">
        <v>1675</v>
      </c>
      <c r="H389" s="4" t="n">
        <v>40.39112</v>
      </c>
      <c r="I389" s="4" t="n">
        <v>-104.72431</v>
      </c>
      <c r="J389" s="4" t="s">
        <v>1676</v>
      </c>
      <c r="K389" s="6" t="str">
        <f aca="false">HYPERLINK("https://www.google.com/search?q=High+Plains+Library+District+Greeley+CO+library+website","Search")</f>
        <v>Search</v>
      </c>
      <c r="L389" s="7"/>
      <c r="M389" s="8" t="str">
        <f aca="false">HYPERLINK("https://highplains.overdrive.com","https://highplains.overdrive.com")</f>
        <v>https://highplains.overdrive.com</v>
      </c>
    </row>
    <row r="390" customFormat="false" ht="15" hidden="false" customHeight="true" outlineLevel="0" collapsed="false">
      <c r="A390" s="4" t="s">
        <v>1580</v>
      </c>
      <c r="B390" s="4" t="s">
        <v>1677</v>
      </c>
      <c r="C390" s="4" t="s">
        <v>1678</v>
      </c>
      <c r="D390" s="4" t="s">
        <v>98</v>
      </c>
      <c r="E390" s="5" t="n">
        <v>579651</v>
      </c>
      <c r="F390" s="4" t="n">
        <v>11</v>
      </c>
      <c r="G390" s="4" t="s">
        <v>1679</v>
      </c>
      <c r="H390" s="4" t="n">
        <v>39.74743</v>
      </c>
      <c r="I390" s="4" t="n">
        <v>-105.11328</v>
      </c>
      <c r="J390" s="4" t="s">
        <v>1680</v>
      </c>
      <c r="K390" s="6" t="str">
        <f aca="false">HYPERLINK("https://www.google.com/search?q=Jefferson+County+Public+Library+Lakewood+CO+library+website","Search")</f>
        <v>Search</v>
      </c>
      <c r="L390" s="7"/>
      <c r="M390" s="7"/>
    </row>
    <row r="391" customFormat="false" ht="15" hidden="false" customHeight="true" outlineLevel="0" collapsed="false">
      <c r="A391" s="4" t="s">
        <v>1580</v>
      </c>
      <c r="B391" s="4" t="s">
        <v>1681</v>
      </c>
      <c r="C391" s="4" t="s">
        <v>1682</v>
      </c>
      <c r="D391" s="4" t="s">
        <v>1601</v>
      </c>
      <c r="E391" s="5" t="n">
        <v>30307</v>
      </c>
      <c r="F391" s="4" t="n">
        <v>1</v>
      </c>
      <c r="G391" s="4" t="s">
        <v>1683</v>
      </c>
      <c r="H391" s="4" t="n">
        <v>40.00024</v>
      </c>
      <c r="I391" s="4" t="n">
        <v>-105.09949</v>
      </c>
      <c r="J391" s="4" t="s">
        <v>1684</v>
      </c>
      <c r="K391" s="6" t="str">
        <f aca="false">HYPERLINK("https://www.google.com/search?q=Lafayette+Public+Library+Lafayette+CO+library+website","Search")</f>
        <v>Search</v>
      </c>
      <c r="L391" s="7"/>
      <c r="M391" s="7"/>
    </row>
    <row r="392" customFormat="false" ht="15" hidden="false" customHeight="true" outlineLevel="0" collapsed="false">
      <c r="A392" s="4" t="s">
        <v>1580</v>
      </c>
      <c r="B392" s="4" t="s">
        <v>1685</v>
      </c>
      <c r="C392" s="4" t="s">
        <v>1686</v>
      </c>
      <c r="D392" s="4" t="s">
        <v>1687</v>
      </c>
      <c r="E392" s="5" t="n">
        <v>11978</v>
      </c>
      <c r="F392" s="4" t="n">
        <v>1</v>
      </c>
      <c r="G392" s="4" t="s">
        <v>1688</v>
      </c>
      <c r="H392" s="4" t="n">
        <v>38.08498</v>
      </c>
      <c r="I392" s="4" t="n">
        <v>-102.61887</v>
      </c>
      <c r="J392" s="4" t="s">
        <v>1689</v>
      </c>
      <c r="K392" s="6" t="str">
        <f aca="false">HYPERLINK("https://www.google.com/search?q=Lamar+Public+Library+Lamar+CO+library+website","Search")</f>
        <v>Search</v>
      </c>
      <c r="L392" s="7"/>
      <c r="M392" s="7"/>
    </row>
    <row r="393" customFormat="false" ht="15" hidden="false" customHeight="true" outlineLevel="0" collapsed="false">
      <c r="A393" s="4" t="s">
        <v>1580</v>
      </c>
      <c r="B393" s="4" t="s">
        <v>1690</v>
      </c>
      <c r="C393" s="4" t="s">
        <v>1691</v>
      </c>
      <c r="D393" s="4" t="s">
        <v>1583</v>
      </c>
      <c r="E393" s="5" t="n">
        <v>45465</v>
      </c>
      <c r="F393" s="4" t="n">
        <v>1</v>
      </c>
      <c r="G393" s="4" t="s">
        <v>1692</v>
      </c>
      <c r="H393" s="4" t="n">
        <v>39.60805</v>
      </c>
      <c r="I393" s="4" t="n">
        <v>-105.00388</v>
      </c>
      <c r="J393" s="4" t="s">
        <v>1693</v>
      </c>
      <c r="K393" s="6" t="str">
        <f aca="false">HYPERLINK("https://www.google.com/search?q=Littleton%2FBemis+Public+Library+Littleton+CO+library+website","Search")</f>
        <v>Search</v>
      </c>
      <c r="L393" s="7"/>
      <c r="M393" s="7"/>
    </row>
    <row r="394" customFormat="false" ht="15" hidden="false" customHeight="true" outlineLevel="0" collapsed="false">
      <c r="A394" s="4" t="s">
        <v>1580</v>
      </c>
      <c r="B394" s="4" t="s">
        <v>1694</v>
      </c>
      <c r="C394" s="4" t="s">
        <v>1695</v>
      </c>
      <c r="D394" s="4" t="s">
        <v>1601</v>
      </c>
      <c r="E394" s="5" t="n">
        <v>98789</v>
      </c>
      <c r="F394" s="4" t="n">
        <v>1</v>
      </c>
      <c r="G394" s="4" t="s">
        <v>1696</v>
      </c>
      <c r="H394" s="4" t="n">
        <v>40.16566</v>
      </c>
      <c r="I394" s="4" t="n">
        <v>-105.10001</v>
      </c>
      <c r="J394" s="4" t="s">
        <v>1697</v>
      </c>
      <c r="K394" s="6" t="str">
        <f aca="false">HYPERLINK("https://www.google.com/search?q=Longmont+Public+Library+Longmont+CO+library+website","Search")</f>
        <v>Search</v>
      </c>
      <c r="L394" s="7"/>
      <c r="M394" s="7"/>
    </row>
    <row r="395" customFormat="false" ht="15" hidden="false" customHeight="true" outlineLevel="0" collapsed="false">
      <c r="A395" s="4" t="s">
        <v>1580</v>
      </c>
      <c r="B395" s="4" t="s">
        <v>1698</v>
      </c>
      <c r="C395" s="4" t="s">
        <v>1699</v>
      </c>
      <c r="D395" s="4" t="s">
        <v>1601</v>
      </c>
      <c r="E395" s="5" t="n">
        <v>34374</v>
      </c>
      <c r="F395" s="4" t="n">
        <v>1</v>
      </c>
      <c r="G395" s="4" t="s">
        <v>1700</v>
      </c>
      <c r="H395" s="4" t="n">
        <v>39.97779</v>
      </c>
      <c r="I395" s="4" t="n">
        <v>-105.13115</v>
      </c>
      <c r="J395" s="4" t="s">
        <v>1701</v>
      </c>
      <c r="K395" s="6" t="str">
        <f aca="false">HYPERLINK("https://www.google.com/search?q=Louisville+Public+Library+Louisville+CO+library+website","Search")</f>
        <v>Search</v>
      </c>
      <c r="L395" s="7"/>
      <c r="M395" s="7"/>
    </row>
    <row r="396" customFormat="false" ht="15" hidden="false" customHeight="true" outlineLevel="0" collapsed="false">
      <c r="A396" s="4" t="s">
        <v>1580</v>
      </c>
      <c r="B396" s="4" t="s">
        <v>1702</v>
      </c>
      <c r="C396" s="4" t="s">
        <v>1703</v>
      </c>
      <c r="D396" s="4" t="s">
        <v>1597</v>
      </c>
      <c r="E396" s="5" t="n">
        <v>75938</v>
      </c>
      <c r="F396" s="4" t="n">
        <v>1</v>
      </c>
      <c r="G396" s="4" t="s">
        <v>1704</v>
      </c>
      <c r="H396" s="4" t="n">
        <v>40.39478</v>
      </c>
      <c r="I396" s="4" t="n">
        <v>-105.06929</v>
      </c>
      <c r="J396" s="4" t="s">
        <v>1705</v>
      </c>
      <c r="K396" s="6" t="str">
        <f aca="false">HYPERLINK("https://www.google.com/search?q=Loveland+Public+Library+Loveland+CO+library+website","Search")</f>
        <v>Search</v>
      </c>
      <c r="L396" s="7"/>
      <c r="M396" s="7"/>
    </row>
    <row r="397" customFormat="false" ht="15" hidden="false" customHeight="true" outlineLevel="0" collapsed="false">
      <c r="A397" s="4" t="s">
        <v>1580</v>
      </c>
      <c r="B397" s="4" t="s">
        <v>1706</v>
      </c>
      <c r="C397" s="4" t="s">
        <v>1707</v>
      </c>
      <c r="D397" s="4" t="s">
        <v>770</v>
      </c>
      <c r="E397" s="5" t="n">
        <v>157320</v>
      </c>
      <c r="F397" s="4" t="n">
        <v>8</v>
      </c>
      <c r="G397" s="4" t="s">
        <v>1708</v>
      </c>
      <c r="H397" s="4" t="n">
        <v>39.0711</v>
      </c>
      <c r="I397" s="4" t="n">
        <v>-108.56278</v>
      </c>
      <c r="J397" s="4" t="s">
        <v>1709</v>
      </c>
      <c r="K397" s="6" t="str">
        <f aca="false">HYPERLINK("https://www.google.com/search?q=Mesa+County+Public+Library+District+Grand+Junction+CO+library+website","Search")</f>
        <v>Search</v>
      </c>
      <c r="L397" s="7"/>
      <c r="M397" s="7"/>
    </row>
    <row r="398" customFormat="false" ht="15" hidden="false" customHeight="true" outlineLevel="0" collapsed="false">
      <c r="A398" s="4" t="s">
        <v>1580</v>
      </c>
      <c r="B398" s="4" t="s">
        <v>1710</v>
      </c>
      <c r="C398" s="4" t="s">
        <v>1711</v>
      </c>
      <c r="D398" s="4" t="s">
        <v>1712</v>
      </c>
      <c r="E398" s="5" t="n">
        <v>13160</v>
      </c>
      <c r="F398" s="4" t="n">
        <v>3</v>
      </c>
      <c r="G398" s="4" t="s">
        <v>1713</v>
      </c>
      <c r="H398" s="4" t="n">
        <v>40.5149</v>
      </c>
      <c r="I398" s="4" t="n">
        <v>-107.55563</v>
      </c>
      <c r="J398" s="4" t="s">
        <v>1714</v>
      </c>
      <c r="K398" s="6" t="str">
        <f aca="false">HYPERLINK("https://www.google.com/search?q=Moffat+County+Library+Craig+CO+library+website","Search")</f>
        <v>Search</v>
      </c>
      <c r="L398" s="7"/>
      <c r="M398" s="7"/>
    </row>
    <row r="399" customFormat="false" ht="15" hidden="false" customHeight="true" outlineLevel="0" collapsed="false">
      <c r="A399" s="4" t="s">
        <v>1580</v>
      </c>
      <c r="B399" s="4" t="s">
        <v>1715</v>
      </c>
      <c r="C399" s="4" t="s">
        <v>1716</v>
      </c>
      <c r="D399" s="4" t="s">
        <v>1716</v>
      </c>
      <c r="E399" s="5" t="n">
        <v>42596</v>
      </c>
      <c r="F399" s="4" t="n">
        <v>3</v>
      </c>
      <c r="G399" s="4" t="s">
        <v>1717</v>
      </c>
      <c r="H399" s="4" t="n">
        <v>38.47773</v>
      </c>
      <c r="I399" s="4" t="n">
        <v>-107.87527</v>
      </c>
      <c r="J399" s="4" t="s">
        <v>1718</v>
      </c>
      <c r="K399" s="6" t="str">
        <f aca="false">HYPERLINK("https://www.google.com/search?q=Montrose+Regional+Library+District+Montrose+CO+library+website","Search")</f>
        <v>Search</v>
      </c>
      <c r="L399" s="7"/>
      <c r="M399" s="7"/>
    </row>
    <row r="400" customFormat="false" ht="15" hidden="false" customHeight="true" outlineLevel="0" collapsed="false">
      <c r="A400" s="4" t="s">
        <v>1580</v>
      </c>
      <c r="B400" s="4" t="s">
        <v>1719</v>
      </c>
      <c r="C400" s="4" t="s">
        <v>1720</v>
      </c>
      <c r="D400" s="4" t="s">
        <v>1721</v>
      </c>
      <c r="E400" s="5" t="n">
        <v>17720</v>
      </c>
      <c r="F400" s="4" t="n">
        <v>4</v>
      </c>
      <c r="G400" s="4" t="s">
        <v>1722</v>
      </c>
      <c r="H400" s="4" t="n">
        <v>39.22462</v>
      </c>
      <c r="I400" s="4" t="n">
        <v>-106.00359</v>
      </c>
      <c r="J400" s="4" t="s">
        <v>1723</v>
      </c>
      <c r="K400" s="6" t="str">
        <f aca="false">HYPERLINK("https://www.google.com/search?q=Park+County+Public+Library+Fairplay+CO+library+website","Search")</f>
        <v>Search</v>
      </c>
      <c r="L400" s="7"/>
      <c r="M400" s="7"/>
    </row>
    <row r="401" customFormat="false" ht="15" hidden="false" customHeight="true" outlineLevel="0" collapsed="false">
      <c r="A401" s="4" t="s">
        <v>1580</v>
      </c>
      <c r="B401" s="4" t="s">
        <v>1724</v>
      </c>
      <c r="C401" s="4" t="s">
        <v>1725</v>
      </c>
      <c r="D401" s="4" t="s">
        <v>1726</v>
      </c>
      <c r="E401" s="5" t="n">
        <v>678560</v>
      </c>
      <c r="F401" s="4" t="n">
        <v>15</v>
      </c>
      <c r="G401" s="4" t="s">
        <v>1727</v>
      </c>
      <c r="H401" s="4" t="n">
        <v>38.83516</v>
      </c>
      <c r="I401" s="4" t="n">
        <v>-104.8254</v>
      </c>
      <c r="J401" s="4" t="s">
        <v>1728</v>
      </c>
      <c r="K401" s="6" t="str">
        <f aca="false">HYPERLINK("https://www.google.com/search?q=Pikes+Peak+Library+District+Colorado+Springs+CO+library+website","Search")</f>
        <v>Search</v>
      </c>
      <c r="L401" s="7"/>
      <c r="M401" s="8" t="str">
        <f aca="false">HYPERLINK("https://ppld.overdrive.com","https://ppld.overdrive.com")</f>
        <v>https://ppld.overdrive.com</v>
      </c>
    </row>
    <row r="402" customFormat="false" ht="15" hidden="false" customHeight="true" outlineLevel="0" collapsed="false">
      <c r="A402" s="4" t="s">
        <v>1580</v>
      </c>
      <c r="B402" s="4" t="s">
        <v>1729</v>
      </c>
      <c r="C402" s="4" t="s">
        <v>1730</v>
      </c>
      <c r="D402" s="4" t="s">
        <v>1731</v>
      </c>
      <c r="E402" s="5" t="n">
        <v>13182</v>
      </c>
      <c r="F402" s="4" t="n">
        <v>1</v>
      </c>
      <c r="G402" s="4" t="s">
        <v>1732</v>
      </c>
      <c r="H402" s="4" t="n">
        <v>39.19126</v>
      </c>
      <c r="I402" s="4" t="n">
        <v>-106.81856</v>
      </c>
      <c r="J402" s="4" t="s">
        <v>1733</v>
      </c>
      <c r="K402" s="6" t="str">
        <f aca="false">HYPERLINK("https://www.google.com/search?q=Pitkin+County+Library+Aspen+CO+library+website","Search")</f>
        <v>Search</v>
      </c>
      <c r="L402" s="7"/>
      <c r="M402" s="7"/>
    </row>
    <row r="403" customFormat="false" ht="15" hidden="false" customHeight="true" outlineLevel="0" collapsed="false">
      <c r="A403" s="4" t="s">
        <v>1580</v>
      </c>
      <c r="B403" s="4" t="s">
        <v>1734</v>
      </c>
      <c r="C403" s="4" t="s">
        <v>1735</v>
      </c>
      <c r="D403" s="4" t="s">
        <v>1597</v>
      </c>
      <c r="E403" s="5" t="n">
        <v>209947</v>
      </c>
      <c r="F403" s="4" t="n">
        <v>3</v>
      </c>
      <c r="G403" s="4" t="s">
        <v>1736</v>
      </c>
      <c r="H403" s="4" t="n">
        <v>40.5842</v>
      </c>
      <c r="I403" s="4" t="n">
        <v>-105.07373</v>
      </c>
      <c r="J403" s="4" t="s">
        <v>1737</v>
      </c>
      <c r="K403" s="6" t="str">
        <f aca="false">HYPERLINK("https://www.google.com/search?q=Poudre+River+Public+Library+District+Fort+Collins+CO+library+website","Search")</f>
        <v>Search</v>
      </c>
      <c r="L403" s="7"/>
      <c r="M403" s="8" t="str">
        <f aca="false">HYPERLINK("https://poudre.overdrive.com","https://poudre.overdrive.com")</f>
        <v>https://poudre.overdrive.com</v>
      </c>
    </row>
    <row r="404" customFormat="false" ht="15" hidden="false" customHeight="true" outlineLevel="0" collapsed="false">
      <c r="A404" s="4" t="s">
        <v>1580</v>
      </c>
      <c r="B404" s="4" t="s">
        <v>1738</v>
      </c>
      <c r="C404" s="4" t="s">
        <v>1739</v>
      </c>
      <c r="D404" s="4" t="s">
        <v>1739</v>
      </c>
      <c r="E404" s="5" t="n">
        <v>169503</v>
      </c>
      <c r="F404" s="4" t="n">
        <v>8</v>
      </c>
      <c r="G404" s="4" t="s">
        <v>1740</v>
      </c>
      <c r="H404" s="4" t="n">
        <v>38.25931</v>
      </c>
      <c r="I404" s="4" t="n">
        <v>-104.62054</v>
      </c>
      <c r="J404" s="4" t="s">
        <v>1741</v>
      </c>
      <c r="K404" s="6" t="str">
        <f aca="false">HYPERLINK("https://www.google.com/search?q=Pueblo+City-County+Library+District+Pueblo+CO+library+website","Search")</f>
        <v>Search</v>
      </c>
      <c r="L404" s="7"/>
      <c r="M404" s="8" t="str">
        <f aca="false">HYPERLINK("https://pueblolibrary.overdrive.com","https://pueblolibrary.overdrive.com")</f>
        <v>https://pueblolibrary.overdrive.com</v>
      </c>
    </row>
    <row r="405" customFormat="false" ht="15" hidden="false" customHeight="true" outlineLevel="0" collapsed="false">
      <c r="A405" s="4" t="s">
        <v>1580</v>
      </c>
      <c r="B405" s="4" t="s">
        <v>1742</v>
      </c>
      <c r="C405" s="4" t="s">
        <v>1743</v>
      </c>
      <c r="D405" s="4" t="s">
        <v>1744</v>
      </c>
      <c r="E405" s="5" t="n">
        <v>20131</v>
      </c>
      <c r="F405" s="4" t="n">
        <v>2</v>
      </c>
      <c r="G405" s="4" t="s">
        <v>1745</v>
      </c>
      <c r="H405" s="4" t="n">
        <v>38.99469</v>
      </c>
      <c r="I405" s="4" t="n">
        <v>-105.0501</v>
      </c>
      <c r="J405" s="4" t="s">
        <v>1746</v>
      </c>
      <c r="K405" s="6" t="str">
        <f aca="false">HYPERLINK("https://www.google.com/search?q=Rampart+Regional+Library+District+Woodland+Park+CO+library+website","Search")</f>
        <v>Search</v>
      </c>
      <c r="L405" s="7"/>
      <c r="M405" s="7"/>
    </row>
    <row r="406" customFormat="false" ht="15" hidden="false" customHeight="true" outlineLevel="0" collapsed="false">
      <c r="A406" s="4" t="s">
        <v>1580</v>
      </c>
      <c r="B406" s="4" t="s">
        <v>1747</v>
      </c>
      <c r="C406" s="4" t="s">
        <v>1748</v>
      </c>
      <c r="D406" s="4" t="s">
        <v>1749</v>
      </c>
      <c r="E406" s="5" t="n">
        <v>403027</v>
      </c>
      <c r="F406" s="4" t="n">
        <v>7</v>
      </c>
      <c r="G406" s="4" t="s">
        <v>1750</v>
      </c>
      <c r="H406" s="4" t="n">
        <v>39.91402</v>
      </c>
      <c r="I406" s="4" t="n">
        <v>-104.92068</v>
      </c>
      <c r="J406" s="4" t="s">
        <v>1751</v>
      </c>
      <c r="K406" s="6" t="str">
        <f aca="false">HYPERLINK("https://www.google.com/search?q=Rangeview+Library+District+Thornton+CO+library+website","Search")</f>
        <v>Search</v>
      </c>
      <c r="L406" s="7"/>
      <c r="M406" s="8" t="str">
        <f aca="false">HYPERLINK("https://anythinklibraries.overdrive.com","https://anythinklibraries.overdrive.com")</f>
        <v>https://anythinklibraries.overdrive.com</v>
      </c>
    </row>
    <row r="407" customFormat="false" ht="15" hidden="false" customHeight="true" outlineLevel="0" collapsed="false">
      <c r="A407" s="4" t="s">
        <v>1580</v>
      </c>
      <c r="B407" s="4" t="s">
        <v>1752</v>
      </c>
      <c r="C407" s="4" t="s">
        <v>1753</v>
      </c>
      <c r="D407" s="4" t="s">
        <v>1754</v>
      </c>
      <c r="E407" s="5" t="n">
        <v>11399</v>
      </c>
      <c r="F407" s="4" t="n">
        <v>3</v>
      </c>
      <c r="G407" s="4" t="s">
        <v>1755</v>
      </c>
      <c r="H407" s="4" t="n">
        <v>37.58018</v>
      </c>
      <c r="I407" s="4" t="n">
        <v>-106.14533</v>
      </c>
      <c r="J407" s="4" t="s">
        <v>1756</v>
      </c>
      <c r="K407" s="6" t="str">
        <f aca="false">HYPERLINK("https://www.google.com/search?q=Rio+Grande+County+Library+District+Monte+Vista+CO+library+website","Search")</f>
        <v>Search</v>
      </c>
      <c r="L407" s="7"/>
      <c r="M407" s="7"/>
    </row>
    <row r="408" customFormat="false" ht="15" hidden="false" customHeight="true" outlineLevel="0" collapsed="false">
      <c r="A408" s="4" t="s">
        <v>1580</v>
      </c>
      <c r="B408" s="4" t="s">
        <v>1757</v>
      </c>
      <c r="C408" s="4" t="s">
        <v>1758</v>
      </c>
      <c r="D408" s="4" t="s">
        <v>1726</v>
      </c>
      <c r="E408" s="5" t="n">
        <v>59974</v>
      </c>
      <c r="F408" s="4" t="n">
        <v>1</v>
      </c>
      <c r="G408" s="4" t="s">
        <v>1759</v>
      </c>
      <c r="H408" s="4" t="n">
        <v>38.75236</v>
      </c>
      <c r="I408" s="4" t="n">
        <v>-104.73154</v>
      </c>
      <c r="J408" s="4" t="s">
        <v>1760</v>
      </c>
      <c r="K408" s="6" t="str">
        <f aca="false">HYPERLINK("https://www.google.com/search?q=Security+Public+Library+Security+CO+library+website","Search")</f>
        <v>Search</v>
      </c>
      <c r="L408" s="7"/>
      <c r="M408" s="7"/>
    </row>
    <row r="409" customFormat="false" ht="15" hidden="false" customHeight="true" outlineLevel="0" collapsed="false">
      <c r="A409" s="4" t="s">
        <v>1580</v>
      </c>
      <c r="B409" s="4" t="s">
        <v>1761</v>
      </c>
      <c r="C409" s="4" t="s">
        <v>1762</v>
      </c>
      <c r="D409" s="4" t="s">
        <v>1763</v>
      </c>
      <c r="E409" s="5" t="n">
        <v>13976</v>
      </c>
      <c r="F409" s="4" t="n">
        <v>1</v>
      </c>
      <c r="G409" s="4" t="s">
        <v>1764</v>
      </c>
      <c r="H409" s="4" t="n">
        <v>40.62887</v>
      </c>
      <c r="I409" s="4" t="n">
        <v>-103.20856</v>
      </c>
      <c r="J409" s="4" t="s">
        <v>1765</v>
      </c>
      <c r="K409" s="6" t="str">
        <f aca="false">HYPERLINK("https://www.google.com/search?q=Sterling+Public+Library+Sterling+CO+library+website","Search")</f>
        <v>Search</v>
      </c>
      <c r="L409" s="7"/>
      <c r="M409" s="7"/>
    </row>
    <row r="410" customFormat="false" ht="15" hidden="false" customHeight="true" outlineLevel="0" collapsed="false">
      <c r="A410" s="4" t="s">
        <v>1580</v>
      </c>
      <c r="B410" s="4" t="s">
        <v>1766</v>
      </c>
      <c r="C410" s="4" t="s">
        <v>1767</v>
      </c>
      <c r="D410" s="4" t="s">
        <v>1768</v>
      </c>
      <c r="E410" s="5" t="n">
        <v>30970</v>
      </c>
      <c r="F410" s="4" t="n">
        <v>3</v>
      </c>
      <c r="G410" s="4" t="s">
        <v>1769</v>
      </c>
      <c r="H410" s="4" t="n">
        <v>39.57216</v>
      </c>
      <c r="I410" s="4" t="n">
        <v>-106.08098</v>
      </c>
      <c r="J410" s="4" t="s">
        <v>1770</v>
      </c>
      <c r="K410" s="6" t="str">
        <f aca="false">HYPERLINK("https://www.google.com/search?q=Summit+County+Library+Frisco+CO+library+website","Search")</f>
        <v>Search</v>
      </c>
      <c r="L410" s="7"/>
      <c r="M410" s="7"/>
    </row>
    <row r="411" customFormat="false" ht="15" hidden="false" customHeight="true" outlineLevel="0" collapsed="false">
      <c r="A411" s="4" t="s">
        <v>1580</v>
      </c>
      <c r="B411" s="4" t="s">
        <v>1771</v>
      </c>
      <c r="C411" s="4" t="s">
        <v>1772</v>
      </c>
      <c r="D411" s="4" t="s">
        <v>1773</v>
      </c>
      <c r="E411" s="5" t="n">
        <v>14180</v>
      </c>
      <c r="F411" s="4" t="n">
        <v>1</v>
      </c>
      <c r="G411" s="4" t="s">
        <v>1774</v>
      </c>
      <c r="H411" s="4" t="n">
        <v>37.16812</v>
      </c>
      <c r="I411" s="4" t="n">
        <v>-104.50842</v>
      </c>
      <c r="J411" s="4" t="s">
        <v>1775</v>
      </c>
      <c r="K411" s="6" t="str">
        <f aca="false">HYPERLINK("https://www.google.com/search?q=Trinidad+Carnegie+Public+Library+Trinidad+CO+library+website","Search")</f>
        <v>Search</v>
      </c>
      <c r="L411" s="7"/>
      <c r="M411" s="7"/>
    </row>
    <row r="412" customFormat="false" ht="15" hidden="false" customHeight="true" outlineLevel="0" collapsed="false">
      <c r="A412" s="4" t="s">
        <v>1580</v>
      </c>
      <c r="B412" s="4" t="s">
        <v>1776</v>
      </c>
      <c r="C412" s="4" t="s">
        <v>1777</v>
      </c>
      <c r="D412" s="4" t="s">
        <v>1778</v>
      </c>
      <c r="E412" s="5" t="n">
        <v>12750</v>
      </c>
      <c r="F412" s="4" t="n">
        <v>1</v>
      </c>
      <c r="G412" s="4" t="s">
        <v>1779</v>
      </c>
      <c r="H412" s="4" t="n">
        <v>37.26662</v>
      </c>
      <c r="I412" s="4" t="n">
        <v>-107.01727</v>
      </c>
      <c r="J412" s="4" t="s">
        <v>1780</v>
      </c>
      <c r="K412" s="6" t="str">
        <f aca="false">HYPERLINK("https://www.google.com/search?q=Upper+San+Juan+Library+District+Pagosa+Springs+CO+library+website","Search")</f>
        <v>Search</v>
      </c>
      <c r="L412" s="7"/>
      <c r="M412" s="7"/>
    </row>
    <row r="413" customFormat="false" ht="15" hidden="false" customHeight="true" outlineLevel="0" collapsed="false">
      <c r="A413" s="4" t="s">
        <v>1580</v>
      </c>
      <c r="B413" s="4" t="s">
        <v>1781</v>
      </c>
      <c r="C413" s="4" t="s">
        <v>1782</v>
      </c>
      <c r="D413" s="4" t="s">
        <v>1597</v>
      </c>
      <c r="E413" s="5" t="n">
        <v>10769</v>
      </c>
      <c r="F413" s="4" t="n">
        <v>1</v>
      </c>
      <c r="G413" s="4" t="s">
        <v>1783</v>
      </c>
      <c r="H413" s="4" t="n">
        <v>40.70947</v>
      </c>
      <c r="I413" s="4" t="n">
        <v>-105.0043</v>
      </c>
      <c r="J413" s="4" t="s">
        <v>1784</v>
      </c>
      <c r="K413" s="6" t="str">
        <f aca="false">HYPERLINK("https://www.google.com/search?q=Wellington+Public+Library+Wellington+CO+library+website","Search")</f>
        <v>Search</v>
      </c>
      <c r="L413" s="7"/>
      <c r="M413" s="8" t="str">
        <f aca="false">HYPERLINK("https://wcl.overdrive.com","https://wcl.overdrive.com")</f>
        <v>https://wcl.overdrive.com</v>
      </c>
    </row>
    <row r="414" customFormat="false" ht="15" hidden="false" customHeight="true" outlineLevel="0" collapsed="false">
      <c r="A414" s="4" t="s">
        <v>1580</v>
      </c>
      <c r="B414" s="4" t="s">
        <v>1785</v>
      </c>
      <c r="C414" s="4" t="s">
        <v>1786</v>
      </c>
      <c r="D414" s="4" t="s">
        <v>1749</v>
      </c>
      <c r="E414" s="5" t="n">
        <v>115535</v>
      </c>
      <c r="F414" s="4" t="n">
        <v>2</v>
      </c>
      <c r="G414" s="4" t="s">
        <v>1787</v>
      </c>
      <c r="H414" s="4" t="n">
        <v>39.90178</v>
      </c>
      <c r="I414" s="4" t="n">
        <v>-105.03913</v>
      </c>
      <c r="J414" s="4" t="s">
        <v>1788</v>
      </c>
      <c r="K414" s="6" t="str">
        <f aca="false">HYPERLINK("https://www.google.com/search?q=Westminster+Public+Library+Westminster+CO+library+website","Search")</f>
        <v>Search</v>
      </c>
      <c r="L414" s="7"/>
      <c r="M414" s="7"/>
    </row>
    <row r="415" customFormat="false" ht="15" hidden="false" customHeight="true" outlineLevel="0" collapsed="false">
      <c r="A415" s="4" t="s">
        <v>1789</v>
      </c>
      <c r="B415" s="4" t="s">
        <v>1790</v>
      </c>
      <c r="C415" s="4" t="s">
        <v>1791</v>
      </c>
      <c r="D415" s="4" t="s">
        <v>1792</v>
      </c>
      <c r="E415" s="5" t="n">
        <v>10563</v>
      </c>
      <c r="F415" s="4" t="n">
        <v>1</v>
      </c>
      <c r="G415" s="4" t="s">
        <v>1793</v>
      </c>
      <c r="H415" s="4" t="n">
        <v>41.28811</v>
      </c>
      <c r="I415" s="4" t="n">
        <v>-72.38008</v>
      </c>
      <c r="J415" s="4" t="s">
        <v>1794</v>
      </c>
      <c r="K415" s="6" t="str">
        <f aca="false">HYPERLINK("https://www.google.com/search?q=Acton+Public+Library+Old+Saybrook+CT+library+website","Search")</f>
        <v>Search</v>
      </c>
      <c r="L415" s="7"/>
      <c r="M415" s="7"/>
    </row>
    <row r="416" customFormat="false" ht="15" hidden="false" customHeight="true" outlineLevel="0" collapsed="false">
      <c r="A416" s="4" t="s">
        <v>1789</v>
      </c>
      <c r="B416" s="4" t="s">
        <v>1795</v>
      </c>
      <c r="C416" s="4" t="s">
        <v>1796</v>
      </c>
      <c r="D416" s="4" t="s">
        <v>1797</v>
      </c>
      <c r="E416" s="5" t="n">
        <v>14959</v>
      </c>
      <c r="F416" s="4" t="n">
        <v>1</v>
      </c>
      <c r="G416" s="4" t="s">
        <v>1798</v>
      </c>
      <c r="H416" s="4" t="n">
        <v>41.71901</v>
      </c>
      <c r="I416" s="4" t="n">
        <v>-71.87468</v>
      </c>
      <c r="J416" s="4" t="s">
        <v>1799</v>
      </c>
      <c r="K416" s="6" t="str">
        <f aca="false">HYPERLINK("https://www.google.com/search?q=Aldrich+Free+Public+Library+Moosup+CT+library+website","Search")</f>
        <v>Search</v>
      </c>
      <c r="L416" s="7"/>
      <c r="M416" s="7"/>
    </row>
    <row r="417" customFormat="false" ht="15" hidden="false" customHeight="true" outlineLevel="0" collapsed="false">
      <c r="A417" s="4" t="s">
        <v>1789</v>
      </c>
      <c r="B417" s="4" t="s">
        <v>1800</v>
      </c>
      <c r="C417" s="4" t="s">
        <v>1801</v>
      </c>
      <c r="D417" s="4" t="s">
        <v>1802</v>
      </c>
      <c r="E417" s="5" t="n">
        <v>18815</v>
      </c>
      <c r="F417" s="4" t="n">
        <v>1</v>
      </c>
      <c r="G417" s="4" t="s">
        <v>1803</v>
      </c>
      <c r="H417" s="4" t="n">
        <v>41.34507</v>
      </c>
      <c r="I417" s="4" t="n">
        <v>-73.07686</v>
      </c>
      <c r="J417" s="4" t="s">
        <v>1804</v>
      </c>
      <c r="K417" s="6" t="str">
        <f aca="false">HYPERLINK("https://www.google.com/search?q=Ansonia+Library+Ansonia+CT+library+website","Search")</f>
        <v>Search</v>
      </c>
      <c r="L417" s="7"/>
      <c r="M417" s="7"/>
    </row>
    <row r="418" customFormat="false" ht="15" hidden="false" customHeight="true" outlineLevel="0" collapsed="false">
      <c r="A418" s="4" t="s">
        <v>1789</v>
      </c>
      <c r="B418" s="4" t="s">
        <v>1805</v>
      </c>
      <c r="C418" s="4" t="s">
        <v>1806</v>
      </c>
      <c r="D418" s="4" t="s">
        <v>1807</v>
      </c>
      <c r="E418" s="5" t="n">
        <v>18848</v>
      </c>
      <c r="F418" s="4" t="n">
        <v>1</v>
      </c>
      <c r="G418" s="4" t="s">
        <v>1808</v>
      </c>
      <c r="H418" s="4" t="n">
        <v>41.7902</v>
      </c>
      <c r="I418" s="4" t="n">
        <v>-72.86049</v>
      </c>
      <c r="J418" s="4" t="s">
        <v>1809</v>
      </c>
      <c r="K418" s="6" t="str">
        <f aca="false">HYPERLINK("https://www.google.com/search?q=Avon+Free+Public+Library+Avon+CT+library+website","Search")</f>
        <v>Search</v>
      </c>
      <c r="L418" s="7"/>
      <c r="M418" s="7"/>
    </row>
    <row r="419" customFormat="false" ht="15" hidden="false" customHeight="true" outlineLevel="0" collapsed="false">
      <c r="A419" s="4" t="s">
        <v>1789</v>
      </c>
      <c r="B419" s="4" t="s">
        <v>1810</v>
      </c>
      <c r="C419" s="4" t="s">
        <v>1811</v>
      </c>
      <c r="D419" s="4" t="s">
        <v>1812</v>
      </c>
      <c r="E419" s="5" t="n">
        <v>15221</v>
      </c>
      <c r="F419" s="4" t="n">
        <v>1</v>
      </c>
      <c r="G419" s="4" t="s">
        <v>1813</v>
      </c>
      <c r="H419" s="4" t="n">
        <v>41.92595</v>
      </c>
      <c r="I419" s="4" t="n">
        <v>-73.07577</v>
      </c>
      <c r="J419" s="4" t="s">
        <v>1814</v>
      </c>
      <c r="K419" s="6" t="str">
        <f aca="false">HYPERLINK("https://www.google.com/search?q=Beardsley+%26+Memorial+Library+Winchester+CT+library+website","Search")</f>
        <v>Search</v>
      </c>
      <c r="L419" s="7"/>
      <c r="M419" s="7"/>
    </row>
    <row r="420" customFormat="false" ht="15" hidden="false" customHeight="true" outlineLevel="0" collapsed="false">
      <c r="A420" s="4" t="s">
        <v>1789</v>
      </c>
      <c r="B420" s="4" t="s">
        <v>1815</v>
      </c>
      <c r="C420" s="4" t="s">
        <v>1816</v>
      </c>
      <c r="D420" s="4" t="s">
        <v>1807</v>
      </c>
      <c r="E420" s="5" t="n">
        <v>20113</v>
      </c>
      <c r="F420" s="4" t="n">
        <v>1</v>
      </c>
      <c r="G420" s="4" t="s">
        <v>1817</v>
      </c>
      <c r="H420" s="4" t="n">
        <v>41.62059</v>
      </c>
      <c r="I420" s="4" t="n">
        <v>-72.74605</v>
      </c>
      <c r="J420" s="4" t="s">
        <v>1818</v>
      </c>
      <c r="K420" s="6" t="str">
        <f aca="false">HYPERLINK("https://www.google.com/search?q=Berlin+Free+Library+Association+Berlin+CT+library+website","Search")</f>
        <v>Search</v>
      </c>
      <c r="L420" s="7"/>
      <c r="M420" s="7"/>
    </row>
    <row r="421" customFormat="false" ht="15" hidden="false" customHeight="true" outlineLevel="0" collapsed="false">
      <c r="A421" s="4" t="s">
        <v>1789</v>
      </c>
      <c r="B421" s="4" t="s">
        <v>1819</v>
      </c>
      <c r="C421" s="4" t="s">
        <v>1816</v>
      </c>
      <c r="D421" s="4" t="s">
        <v>1807</v>
      </c>
      <c r="E421" s="5" t="n">
        <v>20113</v>
      </c>
      <c r="F421" s="4" t="n">
        <v>1</v>
      </c>
      <c r="G421" s="4" t="s">
        <v>1820</v>
      </c>
      <c r="H421" s="4" t="n">
        <v>41.62737</v>
      </c>
      <c r="I421" s="4" t="n">
        <v>-72.77329</v>
      </c>
      <c r="J421" s="4" t="s">
        <v>1821</v>
      </c>
      <c r="K421" s="6" t="str">
        <f aca="false">HYPERLINK("https://www.google.com/search?q=Berlin-Peck+Memorial+Library+Berlin+CT+library+website","Search")</f>
        <v>Search</v>
      </c>
      <c r="L421" s="7"/>
      <c r="M421" s="7"/>
    </row>
    <row r="422" customFormat="false" ht="15" hidden="false" customHeight="true" outlineLevel="0" collapsed="false">
      <c r="A422" s="4" t="s">
        <v>1789</v>
      </c>
      <c r="B422" s="4" t="s">
        <v>1822</v>
      </c>
      <c r="C422" s="4" t="s">
        <v>1823</v>
      </c>
      <c r="D422" s="4" t="s">
        <v>189</v>
      </c>
      <c r="E422" s="5" t="n">
        <v>20537</v>
      </c>
      <c r="F422" s="4" t="n">
        <v>1</v>
      </c>
      <c r="G422" s="4" t="s">
        <v>1824</v>
      </c>
      <c r="H422" s="4" t="n">
        <v>41.37107</v>
      </c>
      <c r="I422" s="4" t="n">
        <v>-73.4139</v>
      </c>
      <c r="J422" s="4" t="s">
        <v>1825</v>
      </c>
      <c r="K422" s="6" t="str">
        <f aca="false">HYPERLINK("https://www.google.com/search?q=Bethel+Public+Library+Bethel+CT+library+website","Search")</f>
        <v>Search</v>
      </c>
      <c r="L422" s="7"/>
      <c r="M422" s="7"/>
    </row>
    <row r="423" customFormat="false" ht="15" hidden="false" customHeight="true" outlineLevel="0" collapsed="false">
      <c r="A423" s="4" t="s">
        <v>1789</v>
      </c>
      <c r="B423" s="4" t="s">
        <v>1826</v>
      </c>
      <c r="C423" s="4" t="s">
        <v>1827</v>
      </c>
      <c r="D423" s="4" t="s">
        <v>1828</v>
      </c>
      <c r="E423" s="5" t="n">
        <v>38456</v>
      </c>
      <c r="F423" s="4" t="n">
        <v>1</v>
      </c>
      <c r="G423" s="4" t="s">
        <v>1829</v>
      </c>
      <c r="H423" s="4" t="n">
        <v>41.35567</v>
      </c>
      <c r="I423" s="4" t="n">
        <v>-72.08024</v>
      </c>
      <c r="J423" s="4" t="s">
        <v>1830</v>
      </c>
      <c r="K423" s="6" t="str">
        <f aca="false">HYPERLINK("https://www.google.com/search?q=Bill+Memorial+Library+Groton+CT+library+website","Search")</f>
        <v>Search</v>
      </c>
      <c r="L423" s="7"/>
      <c r="M423" s="7"/>
    </row>
    <row r="424" customFormat="false" ht="15" hidden="false" customHeight="true" outlineLevel="0" collapsed="false">
      <c r="A424" s="4" t="s">
        <v>1789</v>
      </c>
      <c r="B424" s="4" t="s">
        <v>1831</v>
      </c>
      <c r="C424" s="4" t="s">
        <v>1832</v>
      </c>
      <c r="D424" s="4" t="s">
        <v>1807</v>
      </c>
      <c r="E424" s="5" t="n">
        <v>21480</v>
      </c>
      <c r="F424" s="4" t="n">
        <v>2</v>
      </c>
      <c r="G424" s="4" t="s">
        <v>1833</v>
      </c>
      <c r="H424" s="4" t="n">
        <v>41.83134</v>
      </c>
      <c r="I424" s="4" t="n">
        <v>-72.73749</v>
      </c>
      <c r="J424" s="4" t="s">
        <v>1834</v>
      </c>
      <c r="K424" s="6" t="str">
        <f aca="false">HYPERLINK("https://www.google.com/search?q=Bloomfield+Public+Library+Bloomfield+CT+library+website","Search")</f>
        <v>Search</v>
      </c>
      <c r="L424" s="7"/>
      <c r="M424" s="7"/>
    </row>
    <row r="425" customFormat="false" ht="15" hidden="false" customHeight="true" outlineLevel="0" collapsed="false">
      <c r="A425" s="4" t="s">
        <v>1789</v>
      </c>
      <c r="B425" s="4" t="s">
        <v>1835</v>
      </c>
      <c r="C425" s="4" t="s">
        <v>1836</v>
      </c>
      <c r="D425" s="4" t="s">
        <v>1837</v>
      </c>
      <c r="E425" s="5" t="n">
        <v>12205</v>
      </c>
      <c r="F425" s="4" t="n">
        <v>1</v>
      </c>
      <c r="G425" s="4" t="s">
        <v>1838</v>
      </c>
      <c r="H425" s="4" t="n">
        <v>41.76741</v>
      </c>
      <c r="I425" s="4" t="n">
        <v>-72.2977</v>
      </c>
      <c r="J425" s="4" t="s">
        <v>1839</v>
      </c>
      <c r="K425" s="6" t="str">
        <f aca="false">HYPERLINK("https://www.google.com/search?q=Booth+%26+Dimock+Memorial+Library+Coventry+CT+library+website","Search")</f>
        <v>Search</v>
      </c>
      <c r="L425" s="7"/>
      <c r="M425" s="7"/>
    </row>
    <row r="426" customFormat="false" ht="15" hidden="false" customHeight="true" outlineLevel="0" collapsed="false">
      <c r="A426" s="4" t="s">
        <v>1789</v>
      </c>
      <c r="B426" s="4" t="s">
        <v>1840</v>
      </c>
      <c r="C426" s="4" t="s">
        <v>1841</v>
      </c>
      <c r="D426" s="4" t="s">
        <v>189</v>
      </c>
      <c r="E426" s="5" t="n">
        <v>148333</v>
      </c>
      <c r="F426" s="4" t="n">
        <v>5</v>
      </c>
      <c r="G426" s="4" t="s">
        <v>1842</v>
      </c>
      <c r="H426" s="4" t="n">
        <v>41.17601</v>
      </c>
      <c r="I426" s="4" t="n">
        <v>-73.19011</v>
      </c>
      <c r="J426" s="4" t="s">
        <v>1843</v>
      </c>
      <c r="K426" s="6" t="str">
        <f aca="false">HYPERLINK("https://www.google.com/search?q=Bridgeport+Public+Library+Bridgeport+CT+library+website","Search")</f>
        <v>Search</v>
      </c>
      <c r="L426" s="7"/>
      <c r="M426" s="7"/>
    </row>
    <row r="427" customFormat="false" ht="15" hidden="false" customHeight="true" outlineLevel="0" collapsed="false">
      <c r="A427" s="4" t="s">
        <v>1789</v>
      </c>
      <c r="B427" s="4" t="s">
        <v>1844</v>
      </c>
      <c r="C427" s="4" t="s">
        <v>1845</v>
      </c>
      <c r="D427" s="4" t="s">
        <v>1807</v>
      </c>
      <c r="E427" s="5" t="n">
        <v>60661</v>
      </c>
      <c r="F427" s="4" t="n">
        <v>2</v>
      </c>
      <c r="G427" s="4" t="s">
        <v>1846</v>
      </c>
      <c r="H427" s="4" t="n">
        <v>41.67349</v>
      </c>
      <c r="I427" s="4" t="n">
        <v>-72.94202</v>
      </c>
      <c r="J427" s="4" t="s">
        <v>1847</v>
      </c>
      <c r="K427" s="6" t="str">
        <f aca="false">HYPERLINK("https://www.google.com/search?q=Bristol+Public+Library+Bristol+CT+library+website","Search")</f>
        <v>Search</v>
      </c>
      <c r="L427" s="7"/>
      <c r="M427" s="7"/>
    </row>
    <row r="428" customFormat="false" ht="15" hidden="false" customHeight="true" outlineLevel="0" collapsed="false">
      <c r="A428" s="4" t="s">
        <v>1789</v>
      </c>
      <c r="B428" s="4" t="s">
        <v>1848</v>
      </c>
      <c r="C428" s="4" t="s">
        <v>1849</v>
      </c>
      <c r="D428" s="4" t="s">
        <v>189</v>
      </c>
      <c r="E428" s="5" t="n">
        <v>17482</v>
      </c>
      <c r="F428" s="4" t="n">
        <v>1</v>
      </c>
      <c r="G428" s="4" t="s">
        <v>1850</v>
      </c>
      <c r="H428" s="4" t="n">
        <v>41.47</v>
      </c>
      <c r="I428" s="4" t="n">
        <v>-73.38963</v>
      </c>
      <c r="J428" s="4" t="s">
        <v>1851</v>
      </c>
      <c r="K428" s="6" t="str">
        <f aca="false">HYPERLINK("https://www.google.com/search?q=Brookfield+Library+Brookfield+CT+library+website","Search")</f>
        <v>Search</v>
      </c>
      <c r="L428" s="7"/>
      <c r="M428" s="7"/>
    </row>
    <row r="429" customFormat="false" ht="15" hidden="false" customHeight="true" outlineLevel="0" collapsed="false">
      <c r="A429" s="4" t="s">
        <v>1789</v>
      </c>
      <c r="B429" s="4" t="s">
        <v>1852</v>
      </c>
      <c r="C429" s="4" t="s">
        <v>1853</v>
      </c>
      <c r="D429" s="4" t="s">
        <v>1807</v>
      </c>
      <c r="E429" s="5" t="n">
        <v>10083</v>
      </c>
      <c r="F429" s="4" t="n">
        <v>1</v>
      </c>
      <c r="G429" s="4" t="s">
        <v>1854</v>
      </c>
      <c r="H429" s="4" t="n">
        <v>41.82239</v>
      </c>
      <c r="I429" s="4" t="n">
        <v>-72.91992</v>
      </c>
      <c r="J429" s="4" t="s">
        <v>1855</v>
      </c>
      <c r="K429" s="6" t="str">
        <f aca="false">HYPERLINK("https://www.google.com/search?q=Canton+Public+Library+Canton+CT+library+website","Search")</f>
        <v>Search</v>
      </c>
      <c r="L429" s="7"/>
      <c r="M429" s="7"/>
    </row>
    <row r="430" customFormat="false" ht="15" hidden="false" customHeight="true" outlineLevel="0" collapsed="false">
      <c r="A430" s="4" t="s">
        <v>1789</v>
      </c>
      <c r="B430" s="4" t="s">
        <v>1856</v>
      </c>
      <c r="C430" s="4" t="s">
        <v>885</v>
      </c>
      <c r="D430" s="4" t="s">
        <v>1802</v>
      </c>
      <c r="E430" s="5" t="n">
        <v>14246</v>
      </c>
      <c r="F430" s="4" t="n">
        <v>1</v>
      </c>
      <c r="G430" s="4" t="s">
        <v>1857</v>
      </c>
      <c r="H430" s="4" t="n">
        <v>41.27931</v>
      </c>
      <c r="I430" s="4" t="n">
        <v>-73.02416</v>
      </c>
      <c r="J430" s="4" t="s">
        <v>1858</v>
      </c>
      <c r="K430" s="6" t="str">
        <f aca="false">HYPERLINK("https://www.google.com/search?q=Case+Memorial+Library+Orange+CT+library+website","Search")</f>
        <v>Search</v>
      </c>
      <c r="L430" s="7"/>
      <c r="M430" s="7"/>
    </row>
    <row r="431" customFormat="false" ht="15" hidden="false" customHeight="true" outlineLevel="0" collapsed="false">
      <c r="A431" s="4" t="s">
        <v>1789</v>
      </c>
      <c r="B431" s="4" t="s">
        <v>1859</v>
      </c>
      <c r="C431" s="4" t="s">
        <v>1860</v>
      </c>
      <c r="D431" s="4" t="s">
        <v>1802</v>
      </c>
      <c r="E431" s="5" t="n">
        <v>28628</v>
      </c>
      <c r="F431" s="4" t="n">
        <v>1</v>
      </c>
      <c r="G431" s="4" t="s">
        <v>1861</v>
      </c>
      <c r="H431" s="4" t="n">
        <v>41.50179</v>
      </c>
      <c r="I431" s="4" t="n">
        <v>-72.90227</v>
      </c>
      <c r="J431" s="4" t="s">
        <v>1862</v>
      </c>
      <c r="K431" s="6" t="str">
        <f aca="false">HYPERLINK("https://www.google.com/search?q=Cheshire+Public+Library+Cheshire+CT+library+website","Search")</f>
        <v>Search</v>
      </c>
      <c r="L431" s="7"/>
      <c r="M431" s="8" t="str">
        <f aca="false">HYPERLINK("https://cheshire.overdrive.com","https://cheshire.overdrive.com")</f>
        <v>https://cheshire.overdrive.com</v>
      </c>
    </row>
    <row r="432" customFormat="false" ht="15" hidden="false" customHeight="true" outlineLevel="0" collapsed="false">
      <c r="A432" s="4" t="s">
        <v>1789</v>
      </c>
      <c r="B432" s="4" t="s">
        <v>1863</v>
      </c>
      <c r="C432" s="4" t="s">
        <v>1864</v>
      </c>
      <c r="D432" s="4" t="s">
        <v>1807</v>
      </c>
      <c r="E432" s="5" t="n">
        <v>20746</v>
      </c>
      <c r="F432" s="4" t="n">
        <v>1</v>
      </c>
      <c r="G432" s="4" t="s">
        <v>1865</v>
      </c>
      <c r="H432" s="4" t="n">
        <v>41.66738</v>
      </c>
      <c r="I432" s="4" t="n">
        <v>-72.63895</v>
      </c>
      <c r="J432" s="4" t="s">
        <v>1866</v>
      </c>
      <c r="K432" s="6" t="str">
        <f aca="false">HYPERLINK("https://www.google.com/search?q=Cora+J.+Belden+Library+Rocky+Hill+CT+library+website","Search")</f>
        <v>Search</v>
      </c>
      <c r="L432" s="7"/>
      <c r="M432" s="7"/>
    </row>
    <row r="433" customFormat="false" ht="15" hidden="false" customHeight="true" outlineLevel="0" collapsed="false">
      <c r="A433" s="4" t="s">
        <v>1789</v>
      </c>
      <c r="B433" s="4" t="s">
        <v>1867</v>
      </c>
      <c r="C433" s="4" t="s">
        <v>1868</v>
      </c>
      <c r="D433" s="4" t="s">
        <v>1828</v>
      </c>
      <c r="E433" s="5" t="n">
        <v>15501</v>
      </c>
      <c r="F433" s="4" t="n">
        <v>1</v>
      </c>
      <c r="G433" s="4" t="s">
        <v>1869</v>
      </c>
      <c r="H433" s="4" t="n">
        <v>41.5743</v>
      </c>
      <c r="I433" s="4" t="n">
        <v>-72.33306</v>
      </c>
      <c r="J433" s="4" t="s">
        <v>1870</v>
      </c>
      <c r="K433" s="6" t="str">
        <f aca="false">HYPERLINK("https://www.google.com/search?q=Cragin+Memorial+Library+Colchester+CT+library+website","Search")</f>
        <v>Search</v>
      </c>
      <c r="L433" s="7"/>
      <c r="M433" s="7"/>
    </row>
    <row r="434" customFormat="false" ht="15" hidden="false" customHeight="true" outlineLevel="0" collapsed="false">
      <c r="A434" s="4" t="s">
        <v>1789</v>
      </c>
      <c r="B434" s="4" t="s">
        <v>1871</v>
      </c>
      <c r="C434" s="4" t="s">
        <v>1872</v>
      </c>
      <c r="D434" s="4" t="s">
        <v>1792</v>
      </c>
      <c r="E434" s="5" t="n">
        <v>14302</v>
      </c>
      <c r="F434" s="4" t="n">
        <v>1</v>
      </c>
      <c r="G434" s="4" t="s">
        <v>1873</v>
      </c>
      <c r="H434" s="4" t="n">
        <v>41.59836</v>
      </c>
      <c r="I434" s="4" t="n">
        <v>-72.65125</v>
      </c>
      <c r="J434" s="4" t="s">
        <v>1874</v>
      </c>
      <c r="K434" s="6" t="str">
        <f aca="false">HYPERLINK("https://www.google.com/search?q=Cromwell+Belden+Public+Library+Cromwell+CT+library+website","Search")</f>
        <v>Search</v>
      </c>
      <c r="L434" s="7"/>
      <c r="M434" s="7"/>
    </row>
    <row r="435" customFormat="false" ht="15" hidden="false" customHeight="true" outlineLevel="0" collapsed="false">
      <c r="A435" s="4" t="s">
        <v>1789</v>
      </c>
      <c r="B435" s="4" t="s">
        <v>1875</v>
      </c>
      <c r="C435" s="4" t="s">
        <v>1876</v>
      </c>
      <c r="D435" s="4" t="s">
        <v>189</v>
      </c>
      <c r="E435" s="5" t="n">
        <v>27522</v>
      </c>
      <c r="F435" s="4" t="n">
        <v>1</v>
      </c>
      <c r="G435" s="4" t="s">
        <v>1877</v>
      </c>
      <c r="H435" s="4" t="n">
        <v>41.4125</v>
      </c>
      <c r="I435" s="4" t="n">
        <v>-73.30819</v>
      </c>
      <c r="J435" s="4" t="s">
        <v>1878</v>
      </c>
      <c r="K435" s="6" t="str">
        <f aca="false">HYPERLINK("https://www.google.com/search?q=Cyrenius+H.+Booth+Library+Newtown+CT+library+website","Search")</f>
        <v>Search</v>
      </c>
      <c r="L435" s="7"/>
      <c r="M435" s="7"/>
    </row>
    <row r="436" customFormat="false" ht="15" hidden="false" customHeight="true" outlineLevel="0" collapsed="false">
      <c r="A436" s="4" t="s">
        <v>1789</v>
      </c>
      <c r="B436" s="4" t="s">
        <v>1879</v>
      </c>
      <c r="C436" s="4" t="s">
        <v>1880</v>
      </c>
      <c r="D436" s="4" t="s">
        <v>189</v>
      </c>
      <c r="E436" s="5" t="n">
        <v>86759</v>
      </c>
      <c r="F436" s="4" t="n">
        <v>1</v>
      </c>
      <c r="G436" s="4" t="s">
        <v>1881</v>
      </c>
      <c r="H436" s="4" t="n">
        <v>41.39309</v>
      </c>
      <c r="I436" s="4" t="n">
        <v>-73.45085</v>
      </c>
      <c r="J436" s="4" t="s">
        <v>1882</v>
      </c>
      <c r="K436" s="6" t="str">
        <f aca="false">HYPERLINK("https://www.google.com/search?q=Danbury+Public+Library+Danbury+CT+library+website","Search")</f>
        <v>Search</v>
      </c>
      <c r="L436" s="7"/>
      <c r="M436" s="8" t="str">
        <f aca="false">HYPERLINK("https://danburylibrary.overdrive.com","https://danburylibrary.overdrive.com")</f>
        <v>https://danburylibrary.overdrive.com</v>
      </c>
    </row>
    <row r="437" customFormat="false" ht="15" hidden="false" customHeight="true" outlineLevel="0" collapsed="false">
      <c r="A437" s="4" t="s">
        <v>1789</v>
      </c>
      <c r="B437" s="4" t="s">
        <v>1883</v>
      </c>
      <c r="C437" s="4" t="s">
        <v>1884</v>
      </c>
      <c r="D437" s="4" t="s">
        <v>189</v>
      </c>
      <c r="E437" s="5" t="n">
        <v>21500</v>
      </c>
      <c r="F437" s="4" t="n">
        <v>1</v>
      </c>
      <c r="G437" s="4" t="s">
        <v>1885</v>
      </c>
      <c r="H437" s="4" t="n">
        <v>41.06853</v>
      </c>
      <c r="I437" s="4" t="n">
        <v>-73.47797</v>
      </c>
      <c r="J437" s="4" t="s">
        <v>1886</v>
      </c>
      <c r="K437" s="6" t="str">
        <f aca="false">HYPERLINK("https://www.google.com/search?q=Darien+Library+Darien+CT+library+website","Search")</f>
        <v>Search</v>
      </c>
      <c r="L437" s="7"/>
      <c r="M437" s="8" t="str">
        <f aca="false">HYPERLINK("https://darien.overdrive.com","https://darien.overdrive.com")</f>
        <v>https://darien.overdrive.com</v>
      </c>
    </row>
    <row r="438" customFormat="false" ht="15" hidden="false" customHeight="true" outlineLevel="0" collapsed="false">
      <c r="A438" s="4" t="s">
        <v>1789</v>
      </c>
      <c r="B438" s="4" t="s">
        <v>1887</v>
      </c>
      <c r="C438" s="4" t="s">
        <v>1888</v>
      </c>
      <c r="D438" s="4" t="s">
        <v>1802</v>
      </c>
      <c r="E438" s="5" t="n">
        <v>12274</v>
      </c>
      <c r="F438" s="4" t="n">
        <v>1</v>
      </c>
      <c r="G438" s="4" t="s">
        <v>1889</v>
      </c>
      <c r="H438" s="4" t="n">
        <v>41.33076</v>
      </c>
      <c r="I438" s="4" t="n">
        <v>-73.10113</v>
      </c>
      <c r="J438" s="4" t="s">
        <v>1890</v>
      </c>
      <c r="K438" s="6" t="str">
        <f aca="false">HYPERLINK("https://www.google.com/search?q=Derby+Neck+Library+Derby+CT+library+website","Search")</f>
        <v>Search</v>
      </c>
      <c r="L438" s="7"/>
      <c r="M438" s="7"/>
    </row>
    <row r="439" customFormat="false" ht="15" hidden="false" customHeight="true" outlineLevel="0" collapsed="false">
      <c r="A439" s="4" t="s">
        <v>1789</v>
      </c>
      <c r="B439" s="4" t="s">
        <v>1891</v>
      </c>
      <c r="C439" s="4" t="s">
        <v>1888</v>
      </c>
      <c r="D439" s="4" t="s">
        <v>1802</v>
      </c>
      <c r="E439" s="5" t="n">
        <v>12274</v>
      </c>
      <c r="F439" s="4" t="n">
        <v>1</v>
      </c>
      <c r="G439" s="4" t="s">
        <v>1892</v>
      </c>
      <c r="H439" s="4" t="n">
        <v>41.32657</v>
      </c>
      <c r="I439" s="4" t="n">
        <v>-73.08908</v>
      </c>
      <c r="J439" s="4" t="s">
        <v>1893</v>
      </c>
      <c r="K439" s="6" t="str">
        <f aca="false">HYPERLINK("https://www.google.com/search?q=Derby+Public+Library+Derby+CT+library+website","Search")</f>
        <v>Search</v>
      </c>
      <c r="L439" s="7"/>
      <c r="M439" s="7"/>
    </row>
    <row r="440" customFormat="false" ht="15" hidden="false" customHeight="true" outlineLevel="0" collapsed="false">
      <c r="A440" s="4" t="s">
        <v>1789</v>
      </c>
      <c r="B440" s="4" t="s">
        <v>1894</v>
      </c>
      <c r="C440" s="4" t="s">
        <v>261</v>
      </c>
      <c r="D440" s="4" t="s">
        <v>1802</v>
      </c>
      <c r="E440" s="5" t="n">
        <v>17619</v>
      </c>
      <c r="F440" s="4" t="n">
        <v>1</v>
      </c>
      <c r="G440" s="4" t="s">
        <v>1895</v>
      </c>
      <c r="H440" s="4" t="n">
        <v>41.27961</v>
      </c>
      <c r="I440" s="4" t="n">
        <v>-72.59408</v>
      </c>
      <c r="J440" s="4" t="s">
        <v>1896</v>
      </c>
      <c r="K440" s="6" t="str">
        <f aca="false">HYPERLINK("https://www.google.com/search?q=E.C.+Scranton+Memorial+Library+Madison+CT+library+website","Search")</f>
        <v>Search</v>
      </c>
      <c r="L440" s="7"/>
      <c r="M440" s="7"/>
    </row>
    <row r="441" customFormat="false" ht="15" hidden="false" customHeight="true" outlineLevel="0" collapsed="false">
      <c r="A441" s="4" t="s">
        <v>1789</v>
      </c>
      <c r="B441" s="4" t="s">
        <v>1897</v>
      </c>
      <c r="C441" s="4" t="s">
        <v>1816</v>
      </c>
      <c r="D441" s="4" t="s">
        <v>1807</v>
      </c>
      <c r="E441" s="5" t="n">
        <v>20113</v>
      </c>
      <c r="F441" s="4" t="n">
        <v>1</v>
      </c>
      <c r="G441" s="4" t="s">
        <v>1898</v>
      </c>
      <c r="H441" s="4" t="n">
        <v>41.6159</v>
      </c>
      <c r="I441" s="4" t="n">
        <v>-72.71789</v>
      </c>
      <c r="J441" s="4" t="s">
        <v>1899</v>
      </c>
      <c r="K441" s="6" t="str">
        <f aca="false">HYPERLINK("https://www.google.com/search?q=East+Berlin+Library+Association+Berlin+CT+library+website","Search")</f>
        <v>Search</v>
      </c>
      <c r="L441" s="7"/>
      <c r="M441" s="7"/>
    </row>
    <row r="442" customFormat="false" ht="15" hidden="false" customHeight="true" outlineLevel="0" collapsed="false">
      <c r="A442" s="4" t="s">
        <v>1789</v>
      </c>
      <c r="B442" s="4" t="s">
        <v>1900</v>
      </c>
      <c r="C442" s="4" t="s">
        <v>1901</v>
      </c>
      <c r="D442" s="4" t="s">
        <v>1792</v>
      </c>
      <c r="E442" s="5" t="n">
        <v>12874</v>
      </c>
      <c r="F442" s="4" t="n">
        <v>1</v>
      </c>
      <c r="G442" s="4" t="s">
        <v>1902</v>
      </c>
      <c r="H442" s="4" t="n">
        <v>41.57282</v>
      </c>
      <c r="I442" s="4" t="n">
        <v>-72.50109</v>
      </c>
      <c r="J442" s="4" t="s">
        <v>1903</v>
      </c>
      <c r="K442" s="6" t="str">
        <f aca="false">HYPERLINK("https://www.google.com/search?q=East+Hampton+Public+Library+East+Hampton+CT+library+website","Search")</f>
        <v>Search</v>
      </c>
      <c r="L442" s="7"/>
      <c r="M442" s="7"/>
    </row>
    <row r="443" customFormat="false" ht="15" hidden="false" customHeight="true" outlineLevel="0" collapsed="false">
      <c r="A443" s="4" t="s">
        <v>1789</v>
      </c>
      <c r="B443" s="4" t="s">
        <v>1904</v>
      </c>
      <c r="C443" s="4" t="s">
        <v>1905</v>
      </c>
      <c r="D443" s="4" t="s">
        <v>1807</v>
      </c>
      <c r="E443" s="5" t="n">
        <v>50731</v>
      </c>
      <c r="F443" s="4" t="n">
        <v>1</v>
      </c>
      <c r="G443" s="4" t="s">
        <v>1906</v>
      </c>
      <c r="H443" s="4" t="n">
        <v>41.76864</v>
      </c>
      <c r="I443" s="4" t="n">
        <v>-72.64419</v>
      </c>
      <c r="J443" s="4" t="s">
        <v>1907</v>
      </c>
      <c r="K443" s="6" t="str">
        <f aca="false">HYPERLINK("https://www.google.com/search?q=East+Hartford+Public+Library+East+Hartford+CT+library+website","Search")</f>
        <v>Search</v>
      </c>
      <c r="L443" s="7"/>
      <c r="M443" s="7"/>
    </row>
    <row r="444" customFormat="false" ht="15" hidden="false" customHeight="true" outlineLevel="0" collapsed="false">
      <c r="A444" s="4" t="s">
        <v>1789</v>
      </c>
      <c r="B444" s="4" t="s">
        <v>1908</v>
      </c>
      <c r="C444" s="4" t="s">
        <v>1909</v>
      </c>
      <c r="D444" s="4" t="s">
        <v>1828</v>
      </c>
      <c r="E444" s="5" t="n">
        <v>18849</v>
      </c>
      <c r="F444" s="4" t="n">
        <v>1</v>
      </c>
      <c r="G444" s="4" t="s">
        <v>1910</v>
      </c>
      <c r="H444" s="4" t="n">
        <v>41.34708</v>
      </c>
      <c r="I444" s="4" t="n">
        <v>-72.21622</v>
      </c>
      <c r="J444" s="4" t="s">
        <v>1911</v>
      </c>
      <c r="K444" s="6" t="str">
        <f aca="false">HYPERLINK("https://www.google.com/search?q=East+Lyme+Public+Library+Niantic+CT+library+website","Search")</f>
        <v>Search</v>
      </c>
      <c r="L444" s="7"/>
      <c r="M444" s="7"/>
    </row>
    <row r="445" customFormat="false" ht="15" hidden="false" customHeight="true" outlineLevel="0" collapsed="false">
      <c r="A445" s="4" t="s">
        <v>1789</v>
      </c>
      <c r="B445" s="4" t="s">
        <v>1912</v>
      </c>
      <c r="C445" s="4" t="s">
        <v>311</v>
      </c>
      <c r="D445" s="4" t="s">
        <v>189</v>
      </c>
      <c r="E445" s="5" t="n">
        <v>18764</v>
      </c>
      <c r="F445" s="4" t="n">
        <v>1</v>
      </c>
      <c r="G445" s="4" t="s">
        <v>1913</v>
      </c>
      <c r="H445" s="4" t="n">
        <v>41.33071</v>
      </c>
      <c r="I445" s="4" t="n">
        <v>-73.20728</v>
      </c>
      <c r="J445" s="4" t="s">
        <v>1914</v>
      </c>
      <c r="K445" s="6" t="str">
        <f aca="false">HYPERLINK("https://www.google.com/search?q=Edith+Wheeler+Memorial+Library+Monroe+CT+library+website","Search")</f>
        <v>Search</v>
      </c>
      <c r="L445" s="7"/>
      <c r="M445" s="7"/>
    </row>
    <row r="446" customFormat="false" ht="15" hidden="false" customHeight="true" outlineLevel="0" collapsed="false">
      <c r="A446" s="4" t="s">
        <v>1789</v>
      </c>
      <c r="B446" s="4" t="s">
        <v>1915</v>
      </c>
      <c r="C446" s="4" t="s">
        <v>1916</v>
      </c>
      <c r="D446" s="4" t="s">
        <v>1807</v>
      </c>
      <c r="E446" s="5" t="n">
        <v>42031</v>
      </c>
      <c r="F446" s="4" t="n">
        <v>2</v>
      </c>
      <c r="G446" s="4" t="s">
        <v>1917</v>
      </c>
      <c r="H446" s="4" t="n">
        <v>41.98589</v>
      </c>
      <c r="I446" s="4" t="n">
        <v>-72.55423</v>
      </c>
      <c r="J446" s="4" t="s">
        <v>1918</v>
      </c>
      <c r="K446" s="6" t="str">
        <f aca="false">HYPERLINK("https://www.google.com/search?q=Enfield+Public+Library+Enfield+CT+library+website","Search")</f>
        <v>Search</v>
      </c>
      <c r="L446" s="7"/>
      <c r="M446" s="7"/>
    </row>
    <row r="447" customFormat="false" ht="15" hidden="false" customHeight="true" outlineLevel="0" collapsed="false">
      <c r="A447" s="4" t="s">
        <v>1789</v>
      </c>
      <c r="B447" s="4" t="s">
        <v>1919</v>
      </c>
      <c r="C447" s="4" t="s">
        <v>189</v>
      </c>
      <c r="D447" s="4" t="s">
        <v>189</v>
      </c>
      <c r="E447" s="5" t="n">
        <v>61949</v>
      </c>
      <c r="F447" s="4" t="n">
        <v>2</v>
      </c>
      <c r="G447" s="4" t="s">
        <v>1920</v>
      </c>
      <c r="H447" s="4" t="n">
        <v>41.14146</v>
      </c>
      <c r="I447" s="4" t="n">
        <v>-73.25571</v>
      </c>
      <c r="J447" s="4" t="s">
        <v>1921</v>
      </c>
      <c r="K447" s="6" t="str">
        <f aca="false">HYPERLINK("https://www.google.com/search?q=Fairfield+Public+Library+Fairfield+CT+library+website","Search")</f>
        <v>Search</v>
      </c>
      <c r="L447" s="7"/>
      <c r="M447" s="7"/>
    </row>
    <row r="448" customFormat="false" ht="15" hidden="false" customHeight="true" outlineLevel="0" collapsed="false">
      <c r="A448" s="4" t="s">
        <v>1789</v>
      </c>
      <c r="B448" s="4" t="s">
        <v>1922</v>
      </c>
      <c r="C448" s="4" t="s">
        <v>1923</v>
      </c>
      <c r="D448" s="4" t="s">
        <v>1807</v>
      </c>
      <c r="E448" s="5" t="n">
        <v>26645</v>
      </c>
      <c r="F448" s="4" t="n">
        <v>2</v>
      </c>
      <c r="G448" s="4" t="s">
        <v>1924</v>
      </c>
      <c r="H448" s="4" t="n">
        <v>41.74871</v>
      </c>
      <c r="I448" s="4" t="n">
        <v>-72.86814</v>
      </c>
      <c r="J448" s="4" t="s">
        <v>1925</v>
      </c>
      <c r="K448" s="6" t="str">
        <f aca="false">HYPERLINK("https://www.google.com/search?q=Farmington+Libraries+Farmington+CT+library+website","Search")</f>
        <v>Search</v>
      </c>
      <c r="L448" s="7"/>
      <c r="M448" s="7"/>
    </row>
    <row r="449" customFormat="false" ht="15" hidden="false" customHeight="true" outlineLevel="0" collapsed="false">
      <c r="A449" s="4" t="s">
        <v>1789</v>
      </c>
      <c r="B449" s="4" t="s">
        <v>1926</v>
      </c>
      <c r="C449" s="4" t="s">
        <v>1927</v>
      </c>
      <c r="D449" s="4" t="s">
        <v>189</v>
      </c>
      <c r="E449" s="5" t="n">
        <v>136309</v>
      </c>
      <c r="F449" s="4" t="n">
        <v>4</v>
      </c>
      <c r="G449" s="4" t="s">
        <v>1928</v>
      </c>
      <c r="H449" s="4" t="n">
        <v>41.05533</v>
      </c>
      <c r="I449" s="4" t="n">
        <v>-73.53915</v>
      </c>
      <c r="J449" s="4" t="s">
        <v>1929</v>
      </c>
      <c r="K449" s="6" t="str">
        <f aca="false">HYPERLINK("https://www.google.com/search?q=Ferguson+Library+Stamford+CT+library+website","Search")</f>
        <v>Search</v>
      </c>
      <c r="L449" s="7"/>
      <c r="M449" s="8" t="str">
        <f aca="false">HYPERLINK("https://stamford.overdrive.com","https://stamford.overdrive.com")</f>
        <v>https://stamford.overdrive.com</v>
      </c>
    </row>
    <row r="450" customFormat="false" ht="15" hidden="false" customHeight="true" outlineLevel="0" collapsed="false">
      <c r="A450" s="4" t="s">
        <v>1789</v>
      </c>
      <c r="B450" s="4" t="s">
        <v>1930</v>
      </c>
      <c r="C450" s="4" t="s">
        <v>1665</v>
      </c>
      <c r="D450" s="4" t="s">
        <v>1807</v>
      </c>
      <c r="E450" s="5" t="n">
        <v>10953</v>
      </c>
      <c r="F450" s="4" t="n">
        <v>2</v>
      </c>
      <c r="G450" s="4" t="s">
        <v>1931</v>
      </c>
      <c r="H450" s="4" t="n">
        <v>41.95578</v>
      </c>
      <c r="I450" s="4" t="n">
        <v>-72.79247</v>
      </c>
      <c r="J450" s="4" t="s">
        <v>1932</v>
      </c>
      <c r="K450" s="6" t="str">
        <f aca="false">HYPERLINK("https://www.google.com/search?q=Granby+Public+Library+Granby+CT+library+website","Search")</f>
        <v>Search</v>
      </c>
      <c r="L450" s="7"/>
      <c r="M450" s="7"/>
    </row>
    <row r="451" customFormat="false" ht="15" hidden="false" customHeight="true" outlineLevel="0" collapsed="false">
      <c r="A451" s="4" t="s">
        <v>1789</v>
      </c>
      <c r="B451" s="4" t="s">
        <v>1933</v>
      </c>
      <c r="C451" s="4" t="s">
        <v>1934</v>
      </c>
      <c r="D451" s="4" t="s">
        <v>189</v>
      </c>
      <c r="E451" s="5" t="n">
        <v>63514</v>
      </c>
      <c r="F451" s="4" t="n">
        <v>3</v>
      </c>
      <c r="G451" s="4" t="s">
        <v>1935</v>
      </c>
      <c r="H451" s="4" t="n">
        <v>41.02852</v>
      </c>
      <c r="I451" s="4" t="n">
        <v>-73.62913</v>
      </c>
      <c r="J451" s="4" t="s">
        <v>1936</v>
      </c>
      <c r="K451" s="6" t="str">
        <f aca="false">HYPERLINK("https://www.google.com/search?q=Greenwich+Library+Greenwich+CT+library+website","Search")</f>
        <v>Search</v>
      </c>
      <c r="L451" s="7"/>
      <c r="M451" s="8" t="str">
        <f aca="false">HYPERLINK("https://greenwich.overdrive.com","https://greenwich.overdrive.com")</f>
        <v>https://greenwich.overdrive.com</v>
      </c>
    </row>
    <row r="452" customFormat="false" ht="15" hidden="false" customHeight="true" outlineLevel="0" collapsed="false">
      <c r="A452" s="4" t="s">
        <v>1789</v>
      </c>
      <c r="B452" s="4" t="s">
        <v>1937</v>
      </c>
      <c r="C452" s="4" t="s">
        <v>1827</v>
      </c>
      <c r="D452" s="4" t="s">
        <v>1828</v>
      </c>
      <c r="E452" s="5" t="n">
        <v>38456</v>
      </c>
      <c r="F452" s="4" t="n">
        <v>1</v>
      </c>
      <c r="G452" s="4" t="s">
        <v>1938</v>
      </c>
      <c r="H452" s="4" t="n">
        <v>41.34788</v>
      </c>
      <c r="I452" s="4" t="n">
        <v>-72.029</v>
      </c>
      <c r="J452" s="4" t="s">
        <v>1939</v>
      </c>
      <c r="K452" s="6" t="str">
        <f aca="false">HYPERLINK("https://www.google.com/search?q=Groton+Public+Library+Groton+CT+library+website","Search")</f>
        <v>Search</v>
      </c>
      <c r="L452" s="7"/>
      <c r="M452" s="7"/>
    </row>
    <row r="453" customFormat="false" ht="15" hidden="false" customHeight="true" outlineLevel="0" collapsed="false">
      <c r="A453" s="4" t="s">
        <v>1789</v>
      </c>
      <c r="B453" s="4" t="s">
        <v>1940</v>
      </c>
      <c r="C453" s="4" t="s">
        <v>1941</v>
      </c>
      <c r="D453" s="4" t="s">
        <v>1802</v>
      </c>
      <c r="E453" s="5" t="n">
        <v>22031</v>
      </c>
      <c r="F453" s="4" t="n">
        <v>1</v>
      </c>
      <c r="G453" s="4" t="s">
        <v>1942</v>
      </c>
      <c r="H453" s="4" t="n">
        <v>41.28408</v>
      </c>
      <c r="I453" s="4" t="n">
        <v>-72.68137</v>
      </c>
      <c r="J453" s="4" t="s">
        <v>1943</v>
      </c>
      <c r="K453" s="6" t="str">
        <f aca="false">HYPERLINK("https://www.google.com/search?q=Guilford+Free+Library+Guilford+CT+library+website","Search")</f>
        <v>Search</v>
      </c>
      <c r="L453" s="7"/>
      <c r="M453" s="7"/>
    </row>
    <row r="454" customFormat="false" ht="15" hidden="false" customHeight="true" outlineLevel="0" collapsed="false">
      <c r="A454" s="4" t="s">
        <v>1789</v>
      </c>
      <c r="B454" s="4" t="s">
        <v>1944</v>
      </c>
      <c r="C454" s="4" t="s">
        <v>1945</v>
      </c>
      <c r="D454" s="4" t="s">
        <v>1797</v>
      </c>
      <c r="E454" s="5" t="n">
        <v>24362</v>
      </c>
      <c r="F454" s="4" t="n">
        <v>1</v>
      </c>
      <c r="G454" s="4" t="s">
        <v>1946</v>
      </c>
      <c r="H454" s="4" t="n">
        <v>41.67924</v>
      </c>
      <c r="I454" s="4" t="n">
        <v>-72.17044</v>
      </c>
      <c r="J454" s="4" t="s">
        <v>1947</v>
      </c>
      <c r="K454" s="6" t="str">
        <f aca="false">HYPERLINK("https://www.google.com/search?q=Guilford+Smith+Memorial+Library%2C+Inc.+South+Windham+CT+library+website","Search")</f>
        <v>Search</v>
      </c>
      <c r="L454" s="7"/>
      <c r="M454" s="7"/>
    </row>
    <row r="455" customFormat="false" ht="15" hidden="false" customHeight="true" outlineLevel="0" collapsed="false">
      <c r="A455" s="4" t="s">
        <v>1789</v>
      </c>
      <c r="B455" s="4" t="s">
        <v>1948</v>
      </c>
      <c r="C455" s="4" t="s">
        <v>1949</v>
      </c>
      <c r="D455" s="4" t="s">
        <v>1802</v>
      </c>
      <c r="E455" s="5" t="n">
        <v>27804</v>
      </c>
      <c r="F455" s="4" t="n">
        <v>1</v>
      </c>
      <c r="G455" s="4" t="s">
        <v>1950</v>
      </c>
      <c r="H455" s="4" t="n">
        <v>41.27739</v>
      </c>
      <c r="I455" s="4" t="n">
        <v>-72.87039</v>
      </c>
      <c r="J455" s="4" t="s">
        <v>1951</v>
      </c>
      <c r="K455" s="6" t="str">
        <f aca="false">HYPERLINK("https://www.google.com/search?q=Hagaman+Memorial+Library+East+Haven+CT+library+website","Search")</f>
        <v>Search</v>
      </c>
      <c r="L455" s="7"/>
      <c r="M455" s="7"/>
    </row>
    <row r="456" customFormat="false" ht="15" hidden="false" customHeight="true" outlineLevel="0" collapsed="false">
      <c r="A456" s="4" t="s">
        <v>1789</v>
      </c>
      <c r="B456" s="4" t="s">
        <v>1952</v>
      </c>
      <c r="C456" s="4" t="s">
        <v>1953</v>
      </c>
      <c r="D456" s="4" t="s">
        <v>1837</v>
      </c>
      <c r="E456" s="5" t="n">
        <v>16630</v>
      </c>
      <c r="F456" s="4" t="n">
        <v>1</v>
      </c>
      <c r="G456" s="4" t="s">
        <v>1954</v>
      </c>
      <c r="H456" s="4" t="n">
        <v>41.90364</v>
      </c>
      <c r="I456" s="4" t="n">
        <v>-72.47237</v>
      </c>
      <c r="J456" s="4" t="s">
        <v>1955</v>
      </c>
      <c r="K456" s="6" t="str">
        <f aca="false">HYPERLINK("https://www.google.com/search?q=Hall+Memorial+Library+Ellington+CT+library+website","Search")</f>
        <v>Search</v>
      </c>
      <c r="L456" s="7"/>
      <c r="M456" s="7"/>
    </row>
    <row r="457" customFormat="false" ht="15" hidden="false" customHeight="true" outlineLevel="0" collapsed="false">
      <c r="A457" s="4" t="s">
        <v>1789</v>
      </c>
      <c r="B457" s="4" t="s">
        <v>1956</v>
      </c>
      <c r="C457" s="4" t="s">
        <v>1957</v>
      </c>
      <c r="D457" s="4" t="s">
        <v>1802</v>
      </c>
      <c r="E457" s="5" t="n">
        <v>60923</v>
      </c>
      <c r="F457" s="4" t="n">
        <v>3</v>
      </c>
      <c r="G457" s="4" t="s">
        <v>1958</v>
      </c>
      <c r="H457" s="4" t="n">
        <v>41.38358</v>
      </c>
      <c r="I457" s="4" t="n">
        <v>-72.90454</v>
      </c>
      <c r="J457" s="4" t="s">
        <v>1959</v>
      </c>
      <c r="K457" s="6" t="str">
        <f aca="false">HYPERLINK("https://www.google.com/search?q=Hamden+Public+Library+Hamden+CT+library+website","Search")</f>
        <v>Search</v>
      </c>
      <c r="L457" s="7"/>
      <c r="M457" s="7"/>
    </row>
    <row r="458" customFormat="false" ht="15" hidden="false" customHeight="true" outlineLevel="0" collapsed="false">
      <c r="A458" s="4" t="s">
        <v>1789</v>
      </c>
      <c r="B458" s="4" t="s">
        <v>1960</v>
      </c>
      <c r="C458" s="4" t="s">
        <v>1807</v>
      </c>
      <c r="D458" s="4" t="s">
        <v>1807</v>
      </c>
      <c r="E458" s="5" t="n">
        <v>120576</v>
      </c>
      <c r="F458" s="4" t="n">
        <v>7</v>
      </c>
      <c r="G458" s="4" t="s">
        <v>1961</v>
      </c>
      <c r="H458" s="4" t="n">
        <v>41.7623</v>
      </c>
      <c r="I458" s="4" t="n">
        <v>-72.67437</v>
      </c>
      <c r="J458" s="4" t="s">
        <v>1962</v>
      </c>
      <c r="K458" s="6" t="str">
        <f aca="false">HYPERLINK("https://www.google.com/search?q=Hartford+Public+Library+Hartford+CT+library+website","Search")</f>
        <v>Search</v>
      </c>
      <c r="L458" s="7"/>
      <c r="M458" s="8" t="str">
        <f aca="false">HYPERLINK("https://hplct.overdrive.com","https://hplct.overdrive.com")</f>
        <v>https://hplct.overdrive.com</v>
      </c>
    </row>
    <row r="459" customFormat="false" ht="15" hidden="false" customHeight="true" outlineLevel="0" collapsed="false">
      <c r="A459" s="4" t="s">
        <v>1789</v>
      </c>
      <c r="B459" s="4" t="s">
        <v>1963</v>
      </c>
      <c r="C459" s="4" t="s">
        <v>1964</v>
      </c>
      <c r="D459" s="4" t="s">
        <v>1792</v>
      </c>
      <c r="E459" s="5" t="n">
        <v>13400</v>
      </c>
      <c r="F459" s="4" t="n">
        <v>1</v>
      </c>
      <c r="G459" s="4" t="s">
        <v>1965</v>
      </c>
      <c r="H459" s="4" t="n">
        <v>41.29127</v>
      </c>
      <c r="I459" s="4" t="n">
        <v>-72.53017</v>
      </c>
      <c r="J459" s="4" t="s">
        <v>1966</v>
      </c>
      <c r="K459" s="6" t="str">
        <f aca="false">HYPERLINK("https://www.google.com/search?q=Henry+Carter+Hull+Library+Clinton+CT+library+website","Search")</f>
        <v>Search</v>
      </c>
      <c r="L459" s="7"/>
      <c r="M459" s="7"/>
    </row>
    <row r="460" customFormat="false" ht="15" hidden="false" customHeight="true" outlineLevel="0" collapsed="false">
      <c r="A460" s="4" t="s">
        <v>1789</v>
      </c>
      <c r="B460" s="4" t="s">
        <v>1967</v>
      </c>
      <c r="C460" s="4" t="s">
        <v>1968</v>
      </c>
      <c r="D460" s="4" t="s">
        <v>1802</v>
      </c>
      <c r="E460" s="5" t="n">
        <v>31433</v>
      </c>
      <c r="F460" s="4" t="n">
        <v>1</v>
      </c>
      <c r="G460" s="4" t="s">
        <v>1969</v>
      </c>
      <c r="H460" s="4" t="n">
        <v>41.49106</v>
      </c>
      <c r="I460" s="4" t="n">
        <v>-73.05515</v>
      </c>
      <c r="J460" s="4" t="s">
        <v>1970</v>
      </c>
      <c r="K460" s="6" t="str">
        <f aca="false">HYPERLINK("https://www.google.com/search?q=Howard+Whittemore+Memorial+Library+Naugatuck+CT+library+website","Search")</f>
        <v>Search</v>
      </c>
      <c r="L460" s="7"/>
      <c r="M460" s="7"/>
    </row>
    <row r="461" customFormat="false" ht="15" hidden="false" customHeight="true" outlineLevel="0" collapsed="false">
      <c r="A461" s="4" t="s">
        <v>1789</v>
      </c>
      <c r="B461" s="4" t="s">
        <v>1971</v>
      </c>
      <c r="C461" s="4" t="s">
        <v>1972</v>
      </c>
      <c r="D461" s="4" t="s">
        <v>1802</v>
      </c>
      <c r="E461" s="5" t="n">
        <v>28176</v>
      </c>
      <c r="F461" s="4" t="n">
        <v>1</v>
      </c>
      <c r="G461" s="4" t="s">
        <v>1973</v>
      </c>
      <c r="H461" s="4" t="n">
        <v>41.27997</v>
      </c>
      <c r="I461" s="4" t="n">
        <v>-72.81461</v>
      </c>
      <c r="J461" s="4" t="s">
        <v>1974</v>
      </c>
      <c r="K461" s="6" t="str">
        <f aca="false">HYPERLINK("https://www.google.com/search?q=James+Blackstone+Memorial+Library+Branford+CT+library+website","Search")</f>
        <v>Search</v>
      </c>
      <c r="L461" s="7"/>
      <c r="M461" s="7"/>
    </row>
    <row r="462" customFormat="false" ht="15" hidden="false" customHeight="true" outlineLevel="0" collapsed="false">
      <c r="A462" s="4" t="s">
        <v>1789</v>
      </c>
      <c r="B462" s="4" t="s">
        <v>1975</v>
      </c>
      <c r="C462" s="4" t="s">
        <v>1976</v>
      </c>
      <c r="D462" s="4" t="s">
        <v>1807</v>
      </c>
      <c r="E462" s="5" t="n">
        <v>15862</v>
      </c>
      <c r="F462" s="4" t="n">
        <v>1</v>
      </c>
      <c r="G462" s="4" t="s">
        <v>1977</v>
      </c>
      <c r="H462" s="4" t="n">
        <v>41.98219</v>
      </c>
      <c r="I462" s="4" t="n">
        <v>-72.65096</v>
      </c>
      <c r="J462" s="4" t="s">
        <v>1978</v>
      </c>
      <c r="K462" s="6" t="str">
        <f aca="false">HYPERLINK("https://www.google.com/search?q=Kent+Memorial+Library+Suffield+CT+library+website","Search")</f>
        <v>Search</v>
      </c>
      <c r="L462" s="7"/>
      <c r="M462" s="7"/>
    </row>
    <row r="463" customFormat="false" ht="15" hidden="false" customHeight="true" outlineLevel="0" collapsed="false">
      <c r="A463" s="4" t="s">
        <v>1789</v>
      </c>
      <c r="B463" s="4" t="s">
        <v>1979</v>
      </c>
      <c r="C463" s="4" t="s">
        <v>1980</v>
      </c>
      <c r="D463" s="4" t="s">
        <v>1797</v>
      </c>
      <c r="E463" s="5" t="n">
        <v>17742</v>
      </c>
      <c r="F463" s="4" t="n">
        <v>1</v>
      </c>
      <c r="G463" s="4" t="s">
        <v>1981</v>
      </c>
      <c r="H463" s="4" t="n">
        <v>41.80931</v>
      </c>
      <c r="I463" s="4" t="n">
        <v>-71.87788</v>
      </c>
      <c r="J463" s="4" t="s">
        <v>1982</v>
      </c>
      <c r="K463" s="6" t="str">
        <f aca="false">HYPERLINK("https://www.google.com/search?q=Killingly+Public+Library+Danielson+CT+library+website","Search")</f>
        <v>Search</v>
      </c>
      <c r="L463" s="7"/>
      <c r="M463" s="7"/>
    </row>
    <row r="464" customFormat="false" ht="15" hidden="false" customHeight="true" outlineLevel="0" collapsed="false">
      <c r="A464" s="4" t="s">
        <v>1789</v>
      </c>
      <c r="B464" s="4" t="s">
        <v>1983</v>
      </c>
      <c r="C464" s="4" t="s">
        <v>1984</v>
      </c>
      <c r="D464" s="4" t="s">
        <v>1828</v>
      </c>
      <c r="E464" s="5" t="n">
        <v>15336</v>
      </c>
      <c r="F464" s="4" t="n">
        <v>2</v>
      </c>
      <c r="G464" s="4" t="s">
        <v>1985</v>
      </c>
      <c r="H464" s="4" t="n">
        <v>41.43968</v>
      </c>
      <c r="I464" s="4" t="n">
        <v>-72.0155</v>
      </c>
      <c r="J464" s="4" t="s">
        <v>1986</v>
      </c>
      <c r="K464" s="6" t="str">
        <f aca="false">HYPERLINK("https://www.google.com/search?q=Ledyard+Public+Libraries+Ledyard+CT+library+website","Search")</f>
        <v>Search</v>
      </c>
      <c r="L464" s="7"/>
      <c r="M464" s="7"/>
    </row>
    <row r="465" customFormat="false" ht="15" hidden="false" customHeight="true" outlineLevel="0" collapsed="false">
      <c r="A465" s="4" t="s">
        <v>1789</v>
      </c>
      <c r="B465" s="4" t="s">
        <v>1987</v>
      </c>
      <c r="C465" s="4" t="s">
        <v>1988</v>
      </c>
      <c r="D465" s="4" t="s">
        <v>1807</v>
      </c>
      <c r="E465" s="5" t="n">
        <v>11161</v>
      </c>
      <c r="F465" s="4" t="n">
        <v>1</v>
      </c>
      <c r="G465" s="4" t="s">
        <v>1989</v>
      </c>
      <c r="H465" s="4" t="n">
        <v>41.92812</v>
      </c>
      <c r="I465" s="4" t="n">
        <v>-72.61812</v>
      </c>
      <c r="J465" s="4" t="s">
        <v>1990</v>
      </c>
      <c r="K465" s="6" t="str">
        <f aca="false">HYPERLINK("https://www.google.com/search?q=Library+Association+Of+Warehouse+Point+East+Windsor+CT+library+website","Search")</f>
        <v>Search</v>
      </c>
      <c r="L465" s="7"/>
      <c r="M465" s="7"/>
    </row>
    <row r="466" customFormat="false" ht="15" hidden="false" customHeight="true" outlineLevel="0" collapsed="false">
      <c r="A466" s="4" t="s">
        <v>1789</v>
      </c>
      <c r="B466" s="4" t="s">
        <v>1991</v>
      </c>
      <c r="C466" s="4" t="s">
        <v>1992</v>
      </c>
      <c r="D466" s="4" t="s">
        <v>1807</v>
      </c>
      <c r="E466" s="5" t="n">
        <v>30365</v>
      </c>
      <c r="F466" s="4" t="n">
        <v>1</v>
      </c>
      <c r="G466" s="4" t="s">
        <v>1993</v>
      </c>
      <c r="H466" s="4" t="n">
        <v>41.696</v>
      </c>
      <c r="I466" s="4" t="n">
        <v>-72.72959</v>
      </c>
      <c r="J466" s="4" t="s">
        <v>1994</v>
      </c>
      <c r="K466" s="6" t="str">
        <f aca="false">HYPERLINK("https://www.google.com/search?q=Lucy+Robbins+Welles+Library+Newington+CT+library+website","Search")</f>
        <v>Search</v>
      </c>
      <c r="L466" s="7"/>
      <c r="M466" s="7"/>
    </row>
    <row r="467" customFormat="false" ht="15" hidden="false" customHeight="true" outlineLevel="0" collapsed="false">
      <c r="A467" s="4" t="s">
        <v>1789</v>
      </c>
      <c r="B467" s="4" t="s">
        <v>1995</v>
      </c>
      <c r="C467" s="4" t="s">
        <v>1996</v>
      </c>
      <c r="D467" s="4" t="s">
        <v>1807</v>
      </c>
      <c r="E467" s="5" t="n">
        <v>59426</v>
      </c>
      <c r="F467" s="4" t="n">
        <v>2</v>
      </c>
      <c r="G467" s="4" t="s">
        <v>1997</v>
      </c>
      <c r="H467" s="4" t="n">
        <v>41.77467</v>
      </c>
      <c r="I467" s="4" t="n">
        <v>-72.52158</v>
      </c>
      <c r="J467" s="4" t="s">
        <v>1998</v>
      </c>
      <c r="K467" s="6" t="str">
        <f aca="false">HYPERLINK("https://www.google.com/search?q=Manchester+Public+Library+Manchester+CT+library+website","Search")</f>
        <v>Search</v>
      </c>
      <c r="L467" s="7"/>
      <c r="M467" s="7"/>
    </row>
    <row r="468" customFormat="false" ht="15" hidden="false" customHeight="true" outlineLevel="0" collapsed="false">
      <c r="A468" s="4" t="s">
        <v>1789</v>
      </c>
      <c r="B468" s="4" t="s">
        <v>1999</v>
      </c>
      <c r="C468" s="4" t="s">
        <v>2000</v>
      </c>
      <c r="D468" s="4" t="s">
        <v>1837</v>
      </c>
      <c r="E468" s="5" t="n">
        <v>26357</v>
      </c>
      <c r="F468" s="4" t="n">
        <v>3</v>
      </c>
      <c r="G468" s="4" t="s">
        <v>2001</v>
      </c>
      <c r="H468" s="4" t="n">
        <v>41.76852</v>
      </c>
      <c r="I468" s="4" t="n">
        <v>-72.19616</v>
      </c>
      <c r="J468" s="4" t="s">
        <v>2002</v>
      </c>
      <c r="K468" s="6" t="str">
        <f aca="false">HYPERLINK("https://www.google.com/search?q=Mansfield+Public+Library+Mansfield+CT+library+website","Search")</f>
        <v>Search</v>
      </c>
      <c r="L468" s="7"/>
      <c r="M468" s="7"/>
    </row>
    <row r="469" customFormat="false" ht="15" hidden="false" customHeight="true" outlineLevel="0" collapsed="false">
      <c r="A469" s="4" t="s">
        <v>1789</v>
      </c>
      <c r="B469" s="4" t="s">
        <v>2003</v>
      </c>
      <c r="C469" s="4" t="s">
        <v>2004</v>
      </c>
      <c r="D469" s="4" t="s">
        <v>1802</v>
      </c>
      <c r="E469" s="5" t="n">
        <v>60517</v>
      </c>
      <c r="F469" s="4" t="n">
        <v>1</v>
      </c>
      <c r="G469" s="4" t="s">
        <v>2005</v>
      </c>
      <c r="H469" s="4" t="n">
        <v>41.53788</v>
      </c>
      <c r="I469" s="4" t="n">
        <v>-72.79668</v>
      </c>
      <c r="J469" s="4" t="s">
        <v>2006</v>
      </c>
      <c r="K469" s="6" t="str">
        <f aca="false">HYPERLINK("https://www.google.com/search?q=Meriden+Public+Library+Meriden+CT+library+website","Search")</f>
        <v>Search</v>
      </c>
      <c r="L469" s="7"/>
      <c r="M469" s="7"/>
    </row>
    <row r="470" customFormat="false" ht="15" hidden="false" customHeight="true" outlineLevel="0" collapsed="false">
      <c r="A470" s="4" t="s">
        <v>1789</v>
      </c>
      <c r="B470" s="4" t="s">
        <v>2007</v>
      </c>
      <c r="C470" s="4" t="s">
        <v>2008</v>
      </c>
      <c r="D470" s="4" t="s">
        <v>1802</v>
      </c>
      <c r="E470" s="5" t="n">
        <v>52390</v>
      </c>
      <c r="F470" s="4" t="n">
        <v>1</v>
      </c>
      <c r="G470" s="4" t="s">
        <v>2009</v>
      </c>
      <c r="H470" s="4" t="n">
        <v>41.22092</v>
      </c>
      <c r="I470" s="4" t="n">
        <v>-73.05311</v>
      </c>
      <c r="J470" s="4" t="s">
        <v>2010</v>
      </c>
      <c r="K470" s="6" t="str">
        <f aca="false">HYPERLINK("https://www.google.com/search?q=Milford+Public+Library+Milford+CT+library+website","Search")</f>
        <v>Search</v>
      </c>
      <c r="L470" s="7"/>
      <c r="M470" s="7"/>
    </row>
    <row r="471" customFormat="false" ht="15" hidden="false" customHeight="true" outlineLevel="0" collapsed="false">
      <c r="A471" s="4" t="s">
        <v>1789</v>
      </c>
      <c r="B471" s="4" t="s">
        <v>2011</v>
      </c>
      <c r="C471" s="4" t="s">
        <v>2012</v>
      </c>
      <c r="D471" s="4" t="s">
        <v>1828</v>
      </c>
      <c r="E471" s="5" t="n">
        <v>56883</v>
      </c>
      <c r="F471" s="4" t="n">
        <v>1</v>
      </c>
      <c r="G471" s="4" t="s">
        <v>2013</v>
      </c>
      <c r="H471" s="4" t="n">
        <v>41.35397</v>
      </c>
      <c r="I471" s="4" t="n">
        <v>-71.97454</v>
      </c>
      <c r="J471" s="4" t="s">
        <v>2014</v>
      </c>
      <c r="K471" s="6" t="str">
        <f aca="false">HYPERLINK("https://www.google.com/search?q=Mystic+%26+Noank+Library+Mystic+CT+library+website","Search")</f>
        <v>Search</v>
      </c>
      <c r="L471" s="7"/>
      <c r="M471" s="7"/>
    </row>
    <row r="472" customFormat="false" ht="15" hidden="false" customHeight="true" outlineLevel="0" collapsed="false">
      <c r="A472" s="4" t="s">
        <v>1789</v>
      </c>
      <c r="B472" s="4" t="s">
        <v>2015</v>
      </c>
      <c r="C472" s="4" t="s">
        <v>2016</v>
      </c>
      <c r="D472" s="4" t="s">
        <v>1807</v>
      </c>
      <c r="E472" s="5" t="n">
        <v>73841</v>
      </c>
      <c r="F472" s="4" t="n">
        <v>2</v>
      </c>
      <c r="G472" s="4" t="s">
        <v>2017</v>
      </c>
      <c r="H472" s="4" t="n">
        <v>41.66803</v>
      </c>
      <c r="I472" s="4" t="n">
        <v>-72.78531</v>
      </c>
      <c r="J472" s="4" t="s">
        <v>2018</v>
      </c>
      <c r="K472" s="6" t="str">
        <f aca="false">HYPERLINK("https://www.google.com/search?q=New+Britain+Public+Library+New+Britain+CT+library+website","Search")</f>
        <v>Search</v>
      </c>
      <c r="L472" s="7"/>
      <c r="M472" s="7"/>
    </row>
    <row r="473" customFormat="false" ht="15" hidden="false" customHeight="true" outlineLevel="0" collapsed="false">
      <c r="A473" s="4" t="s">
        <v>1789</v>
      </c>
      <c r="B473" s="4" t="s">
        <v>2019</v>
      </c>
      <c r="C473" s="4" t="s">
        <v>2020</v>
      </c>
      <c r="D473" s="4" t="s">
        <v>189</v>
      </c>
      <c r="E473" s="5" t="n">
        <v>20732</v>
      </c>
      <c r="F473" s="4" t="n">
        <v>1</v>
      </c>
      <c r="G473" s="4" t="s">
        <v>2021</v>
      </c>
      <c r="H473" s="4" t="n">
        <v>41.14576</v>
      </c>
      <c r="I473" s="4" t="n">
        <v>-73.49176</v>
      </c>
      <c r="J473" s="4" t="s">
        <v>2022</v>
      </c>
      <c r="K473" s="6" t="str">
        <f aca="false">HYPERLINK("https://www.google.com/search?q=New+Canaan+Library+New+Canaan+CT+library+website","Search")</f>
        <v>Search</v>
      </c>
      <c r="L473" s="7"/>
      <c r="M473" s="8" t="str">
        <f aca="false">HYPERLINK("https://newcanaanlibrary.overdrive.com","https://newcanaanlibrary.overdrive.com")</f>
        <v>https://newcanaanlibrary.overdrive.com</v>
      </c>
    </row>
    <row r="474" customFormat="false" ht="15" hidden="false" customHeight="true" outlineLevel="0" collapsed="false">
      <c r="A474" s="4" t="s">
        <v>1789</v>
      </c>
      <c r="B474" s="4" t="s">
        <v>2023</v>
      </c>
      <c r="C474" s="4" t="s">
        <v>2024</v>
      </c>
      <c r="D474" s="4" t="s">
        <v>189</v>
      </c>
      <c r="E474" s="5" t="n">
        <v>13545</v>
      </c>
      <c r="F474" s="4" t="n">
        <v>1</v>
      </c>
      <c r="G474" s="4" t="s">
        <v>2025</v>
      </c>
      <c r="H474" s="4" t="n">
        <v>41.46556</v>
      </c>
      <c r="I474" s="4" t="n">
        <v>-73.48646</v>
      </c>
      <c r="J474" s="4" t="s">
        <v>2026</v>
      </c>
      <c r="K474" s="6" t="str">
        <f aca="false">HYPERLINK("https://www.google.com/search?q=New+Fairfield+Free+Public+Library+New+Fairfield+CT+library+website","Search")</f>
        <v>Search</v>
      </c>
      <c r="L474" s="7"/>
      <c r="M474" s="7"/>
    </row>
    <row r="475" customFormat="false" ht="15" hidden="false" customHeight="true" outlineLevel="0" collapsed="false">
      <c r="A475" s="4" t="s">
        <v>1789</v>
      </c>
      <c r="B475" s="4" t="s">
        <v>2027</v>
      </c>
      <c r="C475" s="4" t="s">
        <v>1802</v>
      </c>
      <c r="D475" s="4" t="s">
        <v>1802</v>
      </c>
      <c r="E475" s="5" t="n">
        <v>135081</v>
      </c>
      <c r="F475" s="4" t="n">
        <v>5</v>
      </c>
      <c r="G475" s="4" t="s">
        <v>2028</v>
      </c>
      <c r="H475" s="4" t="n">
        <v>41.3086</v>
      </c>
      <c r="I475" s="4" t="n">
        <v>-72.92496</v>
      </c>
      <c r="J475" s="4" t="s">
        <v>2029</v>
      </c>
      <c r="K475" s="6" t="str">
        <f aca="false">HYPERLINK("https://www.google.com/search?q=New+Haven+Free+Public+Library+New+Haven+CT+library+website","Search")</f>
        <v>Search</v>
      </c>
      <c r="L475" s="7"/>
      <c r="M475" s="8" t="str">
        <f aca="false">HYPERLINK("https://nhfpl.overdrive.com","https://nhfpl.overdrive.com")</f>
        <v>https://nhfpl.overdrive.com</v>
      </c>
    </row>
    <row r="476" customFormat="false" ht="15" hidden="false" customHeight="true" outlineLevel="0" collapsed="false">
      <c r="A476" s="4" t="s">
        <v>1789</v>
      </c>
      <c r="B476" s="4" t="s">
        <v>2030</v>
      </c>
      <c r="C476" s="4" t="s">
        <v>2031</v>
      </c>
      <c r="D476" s="4" t="s">
        <v>1812</v>
      </c>
      <c r="E476" s="5" t="n">
        <v>28182</v>
      </c>
      <c r="F476" s="4" t="n">
        <v>1</v>
      </c>
      <c r="G476" s="4" t="s">
        <v>2032</v>
      </c>
      <c r="H476" s="4" t="n">
        <v>41.57825</v>
      </c>
      <c r="I476" s="4" t="n">
        <v>-73.41091</v>
      </c>
      <c r="J476" s="4" t="s">
        <v>2033</v>
      </c>
      <c r="K476" s="6" t="str">
        <f aca="false">HYPERLINK("https://www.google.com/search?q=New+Milford+Public+Library+New+Milford+CT+library+website","Search")</f>
        <v>Search</v>
      </c>
      <c r="L476" s="7"/>
      <c r="M476" s="7"/>
    </row>
    <row r="477" customFormat="false" ht="15" hidden="false" customHeight="true" outlineLevel="0" collapsed="false">
      <c r="A477" s="4" t="s">
        <v>1789</v>
      </c>
      <c r="B477" s="4" t="s">
        <v>2034</v>
      </c>
      <c r="C477" s="4" t="s">
        <v>2035</v>
      </c>
      <c r="D477" s="4" t="s">
        <v>1802</v>
      </c>
      <c r="E477" s="5" t="n">
        <v>13498</v>
      </c>
      <c r="F477" s="4" t="n">
        <v>2</v>
      </c>
      <c r="G477" s="4" t="s">
        <v>2036</v>
      </c>
      <c r="H477" s="4" t="n">
        <v>41.32872</v>
      </c>
      <c r="I477" s="4" t="n">
        <v>-72.7655</v>
      </c>
      <c r="J477" s="4" t="s">
        <v>2037</v>
      </c>
      <c r="K477" s="6" t="str">
        <f aca="false">HYPERLINK("https://www.google.com/search?q=North+Branford+Library+Department+North+Branford+CT+library+website","Search")</f>
        <v>Search</v>
      </c>
      <c r="L477" s="7"/>
      <c r="M477" s="7"/>
    </row>
    <row r="478" customFormat="false" ht="15" hidden="false" customHeight="true" outlineLevel="0" collapsed="false">
      <c r="A478" s="4" t="s">
        <v>1789</v>
      </c>
      <c r="B478" s="4" t="s">
        <v>2038</v>
      </c>
      <c r="C478" s="4" t="s">
        <v>2039</v>
      </c>
      <c r="D478" s="4" t="s">
        <v>1802</v>
      </c>
      <c r="E478" s="5" t="n">
        <v>24169</v>
      </c>
      <c r="F478" s="4" t="n">
        <v>1</v>
      </c>
      <c r="G478" s="4" t="s">
        <v>2040</v>
      </c>
      <c r="H478" s="4" t="n">
        <v>41.38797</v>
      </c>
      <c r="I478" s="4" t="n">
        <v>-72.86359</v>
      </c>
      <c r="J478" s="4" t="s">
        <v>2041</v>
      </c>
      <c r="K478" s="6" t="str">
        <f aca="false">HYPERLINK("https://www.google.com/search?q=North+Haven+Memorial+Library+North+Haven+CT+library+website","Search")</f>
        <v>Search</v>
      </c>
      <c r="L478" s="7"/>
      <c r="M478" s="7"/>
    </row>
    <row r="479" customFormat="false" ht="15" hidden="false" customHeight="true" outlineLevel="0" collapsed="false">
      <c r="A479" s="4" t="s">
        <v>1789</v>
      </c>
      <c r="B479" s="4" t="s">
        <v>2042</v>
      </c>
      <c r="C479" s="4" t="s">
        <v>2043</v>
      </c>
      <c r="D479" s="4" t="s">
        <v>189</v>
      </c>
      <c r="E479" s="5" t="n">
        <v>91194</v>
      </c>
      <c r="F479" s="4" t="n">
        <v>2</v>
      </c>
      <c r="G479" s="4" t="s">
        <v>2044</v>
      </c>
      <c r="H479" s="4" t="n">
        <v>41.11705</v>
      </c>
      <c r="I479" s="4" t="n">
        <v>-73.41523</v>
      </c>
      <c r="J479" s="4" t="s">
        <v>2045</v>
      </c>
      <c r="K479" s="6" t="str">
        <f aca="false">HYPERLINK("https://www.google.com/search?q=Norwalk+Public+Library+Norwalk+CT+library+website","Search")</f>
        <v>Search</v>
      </c>
      <c r="L479" s="7"/>
      <c r="M479" s="7"/>
    </row>
    <row r="480" customFormat="false" ht="15" hidden="false" customHeight="true" outlineLevel="0" collapsed="false">
      <c r="A480" s="4" t="s">
        <v>1789</v>
      </c>
      <c r="B480" s="4" t="s">
        <v>2046</v>
      </c>
      <c r="C480" s="4" t="s">
        <v>2047</v>
      </c>
      <c r="D480" s="4" t="s">
        <v>1828</v>
      </c>
      <c r="E480" s="5" t="n">
        <v>40014</v>
      </c>
      <c r="F480" s="4" t="n">
        <v>1</v>
      </c>
      <c r="G480" s="4" t="s">
        <v>2048</v>
      </c>
      <c r="H480" s="4" t="n">
        <v>41.52452</v>
      </c>
      <c r="I480" s="4" t="n">
        <v>-72.07371</v>
      </c>
      <c r="J480" s="4" t="s">
        <v>2049</v>
      </c>
      <c r="K480" s="6" t="str">
        <f aca="false">HYPERLINK("https://www.google.com/search?q=Otis+Library+Norwich+CT+library+website","Search")</f>
        <v>Search</v>
      </c>
      <c r="L480" s="7"/>
      <c r="M480" s="7"/>
    </row>
    <row r="481" customFormat="false" ht="15" hidden="false" customHeight="true" outlineLevel="0" collapsed="false">
      <c r="A481" s="4" t="s">
        <v>1789</v>
      </c>
      <c r="B481" s="4" t="s">
        <v>351</v>
      </c>
      <c r="C481" s="4" t="s">
        <v>352</v>
      </c>
      <c r="D481" s="4" t="s">
        <v>1802</v>
      </c>
      <c r="E481" s="5" t="n">
        <v>12768</v>
      </c>
      <c r="F481" s="4" t="n">
        <v>1</v>
      </c>
      <c r="G481" s="4" t="s">
        <v>2050</v>
      </c>
      <c r="H481" s="4" t="n">
        <v>41.4229</v>
      </c>
      <c r="I481" s="4" t="n">
        <v>-73.14022</v>
      </c>
      <c r="J481" s="4" t="s">
        <v>2051</v>
      </c>
      <c r="K481" s="6" t="str">
        <f aca="false">HYPERLINK("https://www.google.com/search?q=Oxford+Public+Library+Oxford+CT+library+website","Search")</f>
        <v>Search</v>
      </c>
      <c r="L481" s="7"/>
      <c r="M481" s="7"/>
    </row>
    <row r="482" customFormat="false" ht="15" hidden="false" customHeight="true" outlineLevel="0" collapsed="false">
      <c r="A482" s="4" t="s">
        <v>1789</v>
      </c>
      <c r="B482" s="4" t="s">
        <v>2052</v>
      </c>
      <c r="C482" s="4" t="s">
        <v>2053</v>
      </c>
      <c r="D482" s="4" t="s">
        <v>189</v>
      </c>
      <c r="E482" s="5" t="n">
        <v>61949</v>
      </c>
      <c r="F482" s="4" t="n">
        <v>1</v>
      </c>
      <c r="G482" s="4" t="s">
        <v>2054</v>
      </c>
      <c r="H482" s="4" t="n">
        <v>41.13301</v>
      </c>
      <c r="I482" s="4" t="n">
        <v>-73.28908</v>
      </c>
      <c r="J482" s="4" t="s">
        <v>2055</v>
      </c>
      <c r="K482" s="6" t="str">
        <f aca="false">HYPERLINK("https://www.google.com/search?q=Pequot+Library+Association+Southport+CT+library+website","Search")</f>
        <v>Search</v>
      </c>
      <c r="L482" s="7"/>
      <c r="M482" s="7"/>
    </row>
    <row r="483" customFormat="false" ht="15" hidden="false" customHeight="true" outlineLevel="0" collapsed="false">
      <c r="A483" s="4" t="s">
        <v>1789</v>
      </c>
      <c r="B483" s="4" t="s">
        <v>2056</v>
      </c>
      <c r="C483" s="4" t="s">
        <v>2057</v>
      </c>
      <c r="D483" s="4" t="s">
        <v>189</v>
      </c>
      <c r="E483" s="5" t="n">
        <v>63514</v>
      </c>
      <c r="F483" s="4" t="n">
        <v>1</v>
      </c>
      <c r="G483" s="4" t="s">
        <v>2058</v>
      </c>
      <c r="H483" s="4" t="n">
        <v>41.0382</v>
      </c>
      <c r="I483" s="4" t="n">
        <v>-73.56999</v>
      </c>
      <c r="J483" s="4" t="s">
        <v>2059</v>
      </c>
      <c r="K483" s="6" t="str">
        <f aca="false">HYPERLINK("https://www.google.com/search?q=Perrot+Memorial+Library+Old+Greenwich+CT+library+website","Search")</f>
        <v>Search</v>
      </c>
      <c r="L483" s="7"/>
      <c r="M483" s="7"/>
    </row>
    <row r="484" customFormat="false" ht="15" hidden="false" customHeight="true" outlineLevel="0" collapsed="false">
      <c r="A484" s="4" t="s">
        <v>1789</v>
      </c>
      <c r="B484" s="4" t="s">
        <v>2060</v>
      </c>
      <c r="C484" s="4" t="s">
        <v>2061</v>
      </c>
      <c r="D484" s="4" t="s">
        <v>1807</v>
      </c>
      <c r="E484" s="5" t="n">
        <v>17445</v>
      </c>
      <c r="F484" s="4" t="n">
        <v>1</v>
      </c>
      <c r="G484" s="4" t="s">
        <v>2062</v>
      </c>
      <c r="H484" s="4" t="n">
        <v>41.67174</v>
      </c>
      <c r="I484" s="4" t="n">
        <v>-72.86565</v>
      </c>
      <c r="J484" s="4" t="s">
        <v>2063</v>
      </c>
      <c r="K484" s="6" t="str">
        <f aca="false">HYPERLINK("https://www.google.com/search?q=Plainville+Public+Library+Plainville+CT+library+website","Search")</f>
        <v>Search</v>
      </c>
      <c r="L484" s="7"/>
      <c r="M484" s="7"/>
    </row>
    <row r="485" customFormat="false" ht="15" hidden="false" customHeight="true" outlineLevel="0" collapsed="false">
      <c r="A485" s="4" t="s">
        <v>1789</v>
      </c>
      <c r="B485" s="4" t="s">
        <v>2064</v>
      </c>
      <c r="C485" s="4" t="s">
        <v>2065</v>
      </c>
      <c r="D485" s="4" t="s">
        <v>189</v>
      </c>
      <c r="E485" s="5" t="n">
        <v>41474</v>
      </c>
      <c r="F485" s="4" t="n">
        <v>2</v>
      </c>
      <c r="G485" s="4" t="s">
        <v>2066</v>
      </c>
      <c r="H485" s="4" t="n">
        <v>41.31942</v>
      </c>
      <c r="I485" s="4" t="n">
        <v>-73.0979</v>
      </c>
      <c r="J485" s="4" t="s">
        <v>2067</v>
      </c>
      <c r="K485" s="6" t="str">
        <f aca="false">HYPERLINK("https://www.google.com/search?q=Plumb+Memorial+Library+Shelton+CT+library+website","Search")</f>
        <v>Search</v>
      </c>
      <c r="L485" s="7"/>
      <c r="M485" s="7"/>
    </row>
    <row r="486" customFormat="false" ht="15" hidden="false" customHeight="true" outlineLevel="0" collapsed="false">
      <c r="A486" s="4" t="s">
        <v>1789</v>
      </c>
      <c r="B486" s="4" t="s">
        <v>2068</v>
      </c>
      <c r="C486" s="4" t="s">
        <v>1828</v>
      </c>
      <c r="D486" s="4" t="s">
        <v>1828</v>
      </c>
      <c r="E486" s="5" t="n">
        <v>27635</v>
      </c>
      <c r="F486" s="4" t="n">
        <v>1</v>
      </c>
      <c r="G486" s="4" t="s">
        <v>2069</v>
      </c>
      <c r="H486" s="4" t="n">
        <v>41.35497</v>
      </c>
      <c r="I486" s="4" t="n">
        <v>-72.09954</v>
      </c>
      <c r="J486" s="4" t="s">
        <v>2070</v>
      </c>
      <c r="K486" s="6" t="str">
        <f aca="false">HYPERLINK("https://www.google.com/search?q=Public+Library+Of+New+London+New+London+CT+library+website","Search")</f>
        <v>Search</v>
      </c>
      <c r="L486" s="7"/>
      <c r="M486" s="7"/>
    </row>
    <row r="487" customFormat="false" ht="15" hidden="false" customHeight="true" outlineLevel="0" collapsed="false">
      <c r="A487" s="4" t="s">
        <v>1789</v>
      </c>
      <c r="B487" s="4" t="s">
        <v>2071</v>
      </c>
      <c r="C487" s="4" t="s">
        <v>2072</v>
      </c>
      <c r="D487" s="4" t="s">
        <v>1828</v>
      </c>
      <c r="E487" s="5" t="n">
        <v>18478</v>
      </c>
      <c r="F487" s="4" t="n">
        <v>1</v>
      </c>
      <c r="G487" s="4" t="s">
        <v>2073</v>
      </c>
      <c r="H487" s="4" t="n">
        <v>41.47951</v>
      </c>
      <c r="I487" s="4" t="n">
        <v>-72.15256</v>
      </c>
      <c r="J487" s="4" t="s">
        <v>2074</v>
      </c>
      <c r="K487" s="6" t="str">
        <f aca="false">HYPERLINK("https://www.google.com/search?q=Raymond+Library+Oakdale+CT+library+website","Search")</f>
        <v>Search</v>
      </c>
      <c r="L487" s="7"/>
      <c r="M487" s="7"/>
    </row>
    <row r="488" customFormat="false" ht="15" hidden="false" customHeight="true" outlineLevel="0" collapsed="false">
      <c r="A488" s="4" t="s">
        <v>1789</v>
      </c>
      <c r="B488" s="4" t="s">
        <v>2075</v>
      </c>
      <c r="C488" s="4" t="s">
        <v>2076</v>
      </c>
      <c r="D488" s="4" t="s">
        <v>189</v>
      </c>
      <c r="E488" s="5" t="n">
        <v>25011</v>
      </c>
      <c r="F488" s="4" t="n">
        <v>1</v>
      </c>
      <c r="G488" s="4" t="s">
        <v>2077</v>
      </c>
      <c r="H488" s="4" t="n">
        <v>41.28368</v>
      </c>
      <c r="I488" s="4" t="n">
        <v>-73.49856</v>
      </c>
      <c r="J488" s="4" t="s">
        <v>2078</v>
      </c>
      <c r="K488" s="6" t="str">
        <f aca="false">HYPERLINK("https://www.google.com/search?q=Ridgefield+Library+Ridgefield+CT+library+website","Search")</f>
        <v>Search</v>
      </c>
      <c r="L488" s="7"/>
      <c r="M488" s="7"/>
    </row>
    <row r="489" customFormat="false" ht="15" hidden="false" customHeight="true" outlineLevel="0" collapsed="false">
      <c r="A489" s="4" t="s">
        <v>1789</v>
      </c>
      <c r="B489" s="4" t="s">
        <v>2079</v>
      </c>
      <c r="C489" s="4" t="s">
        <v>2080</v>
      </c>
      <c r="D489" s="4" t="s">
        <v>1837</v>
      </c>
      <c r="E489" s="5" t="n">
        <v>30326</v>
      </c>
      <c r="F489" s="4" t="n">
        <v>1</v>
      </c>
      <c r="G489" s="4" t="s">
        <v>2081</v>
      </c>
      <c r="H489" s="4" t="n">
        <v>41.86695</v>
      </c>
      <c r="I489" s="4" t="n">
        <v>-72.4516</v>
      </c>
      <c r="J489" s="4" t="s">
        <v>2082</v>
      </c>
      <c r="K489" s="6" t="str">
        <f aca="false">HYPERLINK("https://www.google.com/search?q=Rockville+Public+Library%2C+Inc.+Vernon+CT+library+website","Search")</f>
        <v>Search</v>
      </c>
      <c r="L489" s="7"/>
      <c r="M489" s="7"/>
    </row>
    <row r="490" customFormat="false" ht="15" hidden="false" customHeight="true" outlineLevel="0" collapsed="false">
      <c r="A490" s="4" t="s">
        <v>1789</v>
      </c>
      <c r="B490" s="4" t="s">
        <v>2083</v>
      </c>
      <c r="C490" s="4" t="s">
        <v>2043</v>
      </c>
      <c r="D490" s="4" t="s">
        <v>189</v>
      </c>
      <c r="E490" s="5" t="n">
        <v>91194</v>
      </c>
      <c r="F490" s="4" t="n">
        <v>1</v>
      </c>
      <c r="G490" s="4" t="s">
        <v>2084</v>
      </c>
      <c r="H490" s="4" t="n">
        <v>41.0652</v>
      </c>
      <c r="I490" s="4" t="n">
        <v>-73.43659</v>
      </c>
      <c r="J490" s="4" t="s">
        <v>2085</v>
      </c>
      <c r="K490" s="6" t="str">
        <f aca="false">HYPERLINK("https://www.google.com/search?q=Rowayton+Library+Norwalk+CT+library+website","Search")</f>
        <v>Search</v>
      </c>
      <c r="L490" s="7"/>
      <c r="M490" s="7"/>
    </row>
    <row r="491" customFormat="false" ht="15" hidden="false" customHeight="true" outlineLevel="0" collapsed="false">
      <c r="A491" s="4" t="s">
        <v>1789</v>
      </c>
      <c r="B491" s="4" t="s">
        <v>2086</v>
      </c>
      <c r="C491" s="4" t="s">
        <v>2087</v>
      </c>
      <c r="D491" s="4" t="s">
        <v>1792</v>
      </c>
      <c r="E491" s="5" t="n">
        <v>47108</v>
      </c>
      <c r="F491" s="4" t="n">
        <v>1</v>
      </c>
      <c r="G491" s="4" t="s">
        <v>2088</v>
      </c>
      <c r="H491" s="4" t="n">
        <v>41.56003</v>
      </c>
      <c r="I491" s="4" t="n">
        <v>-72.65223</v>
      </c>
      <c r="J491" s="4" t="s">
        <v>2089</v>
      </c>
      <c r="K491" s="6" t="str">
        <f aca="false">HYPERLINK("https://www.google.com/search?q=Russell+Library+Middletown+CT+library+website","Search")</f>
        <v>Search</v>
      </c>
      <c r="L491" s="7"/>
      <c r="M491" s="7"/>
    </row>
    <row r="492" customFormat="false" ht="15" hidden="false" customHeight="true" outlineLevel="0" collapsed="false">
      <c r="A492" s="4" t="s">
        <v>1789</v>
      </c>
      <c r="B492" s="4" t="s">
        <v>2090</v>
      </c>
      <c r="C492" s="4" t="s">
        <v>2091</v>
      </c>
      <c r="D492" s="4" t="s">
        <v>1802</v>
      </c>
      <c r="E492" s="5" t="n">
        <v>16679</v>
      </c>
      <c r="F492" s="4" t="n">
        <v>1</v>
      </c>
      <c r="G492" s="4" t="s">
        <v>2092</v>
      </c>
      <c r="H492" s="4" t="n">
        <v>41.3961</v>
      </c>
      <c r="I492" s="4" t="n">
        <v>-73.07941</v>
      </c>
      <c r="J492" s="4" t="s">
        <v>2093</v>
      </c>
      <c r="K492" s="6" t="str">
        <f aca="false">HYPERLINK("https://www.google.com/search?q=Seymour+Public+Library+Seymour+CT+library+website","Search")</f>
        <v>Search</v>
      </c>
      <c r="L492" s="7"/>
      <c r="M492" s="7"/>
    </row>
    <row r="493" customFormat="false" ht="15" hidden="false" customHeight="true" outlineLevel="0" collapsed="false">
      <c r="A493" s="4" t="s">
        <v>1789</v>
      </c>
      <c r="B493" s="4" t="s">
        <v>2094</v>
      </c>
      <c r="C493" s="4" t="s">
        <v>2095</v>
      </c>
      <c r="D493" s="4" t="s">
        <v>1802</v>
      </c>
      <c r="E493" s="5" t="n">
        <v>113811</v>
      </c>
      <c r="F493" s="4" t="n">
        <v>2</v>
      </c>
      <c r="G493" s="4" t="s">
        <v>2096</v>
      </c>
      <c r="H493" s="4" t="n">
        <v>41.55481</v>
      </c>
      <c r="I493" s="4" t="n">
        <v>-73.04471</v>
      </c>
      <c r="J493" s="4" t="s">
        <v>2097</v>
      </c>
      <c r="K493" s="6" t="str">
        <f aca="false">HYPERLINK("https://www.google.com/search?q=Silas+Bronson+Library+Waterbury+CT+library+website","Search")</f>
        <v>Search</v>
      </c>
      <c r="L493" s="7"/>
      <c r="M493" s="7"/>
    </row>
    <row r="494" customFormat="false" ht="15" hidden="false" customHeight="true" outlineLevel="0" collapsed="false">
      <c r="A494" s="4" t="s">
        <v>1789</v>
      </c>
      <c r="B494" s="4" t="s">
        <v>2098</v>
      </c>
      <c r="C494" s="4" t="s">
        <v>2099</v>
      </c>
      <c r="D494" s="4" t="s">
        <v>1807</v>
      </c>
      <c r="E494" s="5" t="n">
        <v>24807</v>
      </c>
      <c r="F494" s="4" t="n">
        <v>1</v>
      </c>
      <c r="G494" s="4" t="s">
        <v>2100</v>
      </c>
      <c r="H494" s="4" t="n">
        <v>41.87254</v>
      </c>
      <c r="I494" s="4" t="n">
        <v>-72.80274</v>
      </c>
      <c r="J494" s="4" t="s">
        <v>2101</v>
      </c>
      <c r="K494" s="6" t="str">
        <f aca="false">HYPERLINK("https://www.google.com/search?q=Simsbury+Public+Library+Simsbury+CT+library+website","Search")</f>
        <v>Search</v>
      </c>
      <c r="L494" s="7"/>
      <c r="M494" s="7"/>
    </row>
    <row r="495" customFormat="false" ht="15" hidden="false" customHeight="true" outlineLevel="0" collapsed="false">
      <c r="A495" s="4" t="s">
        <v>1789</v>
      </c>
      <c r="B495" s="4" t="s">
        <v>2102</v>
      </c>
      <c r="C495" s="4" t="s">
        <v>2103</v>
      </c>
      <c r="D495" s="4" t="s">
        <v>1828</v>
      </c>
      <c r="E495" s="5" t="n">
        <v>15605</v>
      </c>
      <c r="F495" s="4" t="n">
        <v>1</v>
      </c>
      <c r="G495" s="4" t="s">
        <v>2104</v>
      </c>
      <c r="H495" s="4" t="n">
        <v>41.60471</v>
      </c>
      <c r="I495" s="4" t="n">
        <v>-71.98399</v>
      </c>
      <c r="J495" s="4" t="s">
        <v>2105</v>
      </c>
      <c r="K495" s="6" t="str">
        <f aca="false">HYPERLINK("https://www.google.com/search?q=Slater+Library+Griswold+CT+library+website","Search")</f>
        <v>Search</v>
      </c>
      <c r="L495" s="7"/>
      <c r="M495" s="7"/>
    </row>
    <row r="496" customFormat="false" ht="15" hidden="false" customHeight="true" outlineLevel="0" collapsed="false">
      <c r="A496" s="4" t="s">
        <v>1789</v>
      </c>
      <c r="B496" s="4" t="s">
        <v>2106</v>
      </c>
      <c r="C496" s="4" t="s">
        <v>2107</v>
      </c>
      <c r="D496" s="4" t="s">
        <v>1837</v>
      </c>
      <c r="E496" s="5" t="n">
        <v>10279</v>
      </c>
      <c r="F496" s="4" t="n">
        <v>1</v>
      </c>
      <c r="G496" s="4" t="s">
        <v>2108</v>
      </c>
      <c r="H496" s="4" t="n">
        <v>41.98065</v>
      </c>
      <c r="I496" s="4" t="n">
        <v>-72.46382</v>
      </c>
      <c r="J496" s="4" t="s">
        <v>2109</v>
      </c>
      <c r="K496" s="6" t="str">
        <f aca="false">HYPERLINK("https://www.google.com/search?q=Somers+Public+Library+Somers+CT+library+website","Search")</f>
        <v>Search</v>
      </c>
      <c r="L496" s="7"/>
      <c r="M496" s="7"/>
    </row>
    <row r="497" customFormat="false" ht="15" hidden="false" customHeight="true" outlineLevel="0" collapsed="false">
      <c r="A497" s="4" t="s">
        <v>1789</v>
      </c>
      <c r="B497" s="4" t="s">
        <v>2110</v>
      </c>
      <c r="C497" s="4" t="s">
        <v>2111</v>
      </c>
      <c r="D497" s="4" t="s">
        <v>1807</v>
      </c>
      <c r="E497" s="5" t="n">
        <v>26767</v>
      </c>
      <c r="F497" s="4" t="n">
        <v>1</v>
      </c>
      <c r="G497" s="4" t="s">
        <v>2112</v>
      </c>
      <c r="H497" s="4" t="n">
        <v>41.82883</v>
      </c>
      <c r="I497" s="4" t="n">
        <v>-72.55287</v>
      </c>
      <c r="J497" s="4" t="s">
        <v>2113</v>
      </c>
      <c r="K497" s="6" t="str">
        <f aca="false">HYPERLINK("https://www.google.com/search?q=South+Windsor+Public+Library+South+Windsor+CT+library+website","Search")</f>
        <v>Search</v>
      </c>
      <c r="L497" s="7"/>
      <c r="M497" s="7"/>
    </row>
    <row r="498" customFormat="false" ht="15" hidden="false" customHeight="true" outlineLevel="0" collapsed="false">
      <c r="A498" s="4" t="s">
        <v>1789</v>
      </c>
      <c r="B498" s="4" t="s">
        <v>2114</v>
      </c>
      <c r="C498" s="4" t="s">
        <v>2115</v>
      </c>
      <c r="D498" s="4" t="s">
        <v>1802</v>
      </c>
      <c r="E498" s="5" t="n">
        <v>19796</v>
      </c>
      <c r="F498" s="4" t="n">
        <v>1</v>
      </c>
      <c r="G498" s="4" t="s">
        <v>2116</v>
      </c>
      <c r="H498" s="4" t="n">
        <v>41.47946</v>
      </c>
      <c r="I498" s="4" t="n">
        <v>-73.2204</v>
      </c>
      <c r="J498" s="4" t="s">
        <v>2117</v>
      </c>
      <c r="K498" s="6" t="str">
        <f aca="false">HYPERLINK("https://www.google.com/search?q=Southbury+Public+Library+Southbury+CT+library+website","Search")</f>
        <v>Search</v>
      </c>
      <c r="L498" s="7"/>
      <c r="M498" s="7"/>
    </row>
    <row r="499" customFormat="false" ht="15" hidden="false" customHeight="true" outlineLevel="0" collapsed="false">
      <c r="A499" s="4" t="s">
        <v>1789</v>
      </c>
      <c r="B499" s="4" t="s">
        <v>2118</v>
      </c>
      <c r="C499" s="4" t="s">
        <v>2119</v>
      </c>
      <c r="D499" s="4" t="s">
        <v>1807</v>
      </c>
      <c r="E499" s="5" t="n">
        <v>43500</v>
      </c>
      <c r="F499" s="4" t="n">
        <v>1</v>
      </c>
      <c r="G499" s="4" t="s">
        <v>2120</v>
      </c>
      <c r="H499" s="4" t="n">
        <v>41.59637</v>
      </c>
      <c r="I499" s="4" t="n">
        <v>-72.87779</v>
      </c>
      <c r="J499" s="4" t="s">
        <v>2121</v>
      </c>
      <c r="K499" s="6" t="str">
        <f aca="false">HYPERLINK("https://www.google.com/search?q=Southington+Public+Library+Southington+CT+library+website","Search")</f>
        <v>Search</v>
      </c>
      <c r="L499" s="7"/>
      <c r="M499" s="7"/>
    </row>
    <row r="500" customFormat="false" ht="15" hidden="false" customHeight="true" outlineLevel="0" collapsed="false">
      <c r="A500" s="4" t="s">
        <v>1789</v>
      </c>
      <c r="B500" s="4" t="s">
        <v>2122</v>
      </c>
      <c r="C500" s="4" t="s">
        <v>2123</v>
      </c>
      <c r="D500" s="4" t="s">
        <v>1837</v>
      </c>
      <c r="E500" s="5" t="n">
        <v>11412</v>
      </c>
      <c r="F500" s="4" t="n">
        <v>1</v>
      </c>
      <c r="G500" s="4" t="s">
        <v>2124</v>
      </c>
      <c r="H500" s="4" t="n">
        <v>41.97135</v>
      </c>
      <c r="I500" s="4" t="n">
        <v>-72.30257</v>
      </c>
      <c r="J500" s="4" t="s">
        <v>2125</v>
      </c>
      <c r="K500" s="6" t="str">
        <f aca="false">HYPERLINK("https://www.google.com/search?q=Stafford+Library+Stafford+Springs+CT+library+website","Search")</f>
        <v>Search</v>
      </c>
      <c r="L500" s="7"/>
      <c r="M500" s="7"/>
    </row>
    <row r="501" customFormat="false" ht="15" hidden="false" customHeight="true" outlineLevel="0" collapsed="false">
      <c r="A501" s="4" t="s">
        <v>1789</v>
      </c>
      <c r="B501" s="4" t="s">
        <v>2126</v>
      </c>
      <c r="C501" s="4" t="s">
        <v>2127</v>
      </c>
      <c r="D501" s="4" t="s">
        <v>1828</v>
      </c>
      <c r="E501" s="5" t="n">
        <v>18427</v>
      </c>
      <c r="F501" s="4" t="n">
        <v>1</v>
      </c>
      <c r="G501" s="4" t="s">
        <v>2128</v>
      </c>
      <c r="H501" s="4" t="n">
        <v>41.33595</v>
      </c>
      <c r="I501" s="4" t="n">
        <v>-71.90645</v>
      </c>
      <c r="J501" s="4" t="s">
        <v>2129</v>
      </c>
      <c r="K501" s="6" t="str">
        <f aca="false">HYPERLINK("https://www.google.com/search?q=Stonington+Free+Library+Stonington+CT+library+website","Search")</f>
        <v>Search</v>
      </c>
      <c r="L501" s="7"/>
      <c r="M501" s="8" t="str">
        <f aca="false">HYPERLINK("https://stonington.overdrive.com","https://stonington.overdrive.com")</f>
        <v>https://stonington.overdrive.com</v>
      </c>
    </row>
    <row r="502" customFormat="false" ht="15" hidden="false" customHeight="true" outlineLevel="0" collapsed="false">
      <c r="A502" s="4" t="s">
        <v>1789</v>
      </c>
      <c r="B502" s="4" t="s">
        <v>2130</v>
      </c>
      <c r="C502" s="4" t="s">
        <v>2131</v>
      </c>
      <c r="D502" s="4" t="s">
        <v>189</v>
      </c>
      <c r="E502" s="5" t="n">
        <v>52268</v>
      </c>
      <c r="F502" s="4" t="n">
        <v>1</v>
      </c>
      <c r="G502" s="4" t="s">
        <v>2132</v>
      </c>
      <c r="H502" s="4" t="n">
        <v>41.19052</v>
      </c>
      <c r="I502" s="4" t="n">
        <v>-73.13055</v>
      </c>
      <c r="J502" s="4" t="s">
        <v>2133</v>
      </c>
      <c r="K502" s="6" t="str">
        <f aca="false">HYPERLINK("https://www.google.com/search?q=Stratford+Library+Association+Stratford+CT+library+website","Search")</f>
        <v>Search</v>
      </c>
      <c r="L502" s="7"/>
      <c r="M502" s="8" t="str">
        <f aca="false">HYPERLINK("https://stratford.overdrive.com","https://stratford.overdrive.com")</f>
        <v>https://stratford.overdrive.com</v>
      </c>
    </row>
    <row r="503" customFormat="false" ht="15" hidden="false" customHeight="true" outlineLevel="0" collapsed="false">
      <c r="A503" s="4" t="s">
        <v>1789</v>
      </c>
      <c r="B503" s="4" t="s">
        <v>2134</v>
      </c>
      <c r="C503" s="4" t="s">
        <v>2135</v>
      </c>
      <c r="D503" s="4" t="s">
        <v>1812</v>
      </c>
      <c r="E503" s="5" t="n">
        <v>11659</v>
      </c>
      <c r="F503" s="4" t="n">
        <v>1</v>
      </c>
      <c r="G503" s="4" t="s">
        <v>2136</v>
      </c>
      <c r="H503" s="4" t="n">
        <v>41.67914</v>
      </c>
      <c r="I503" s="4" t="n">
        <v>-73.01311</v>
      </c>
      <c r="J503" s="4" t="s">
        <v>2137</v>
      </c>
      <c r="K503" s="6" t="str">
        <f aca="false">HYPERLINK("https://www.google.com/search?q=Terryville+Public+Library+Terryville+CT+library+website","Search")</f>
        <v>Search</v>
      </c>
      <c r="L503" s="7"/>
      <c r="M503" s="7"/>
    </row>
    <row r="504" customFormat="false" ht="15" hidden="false" customHeight="true" outlineLevel="0" collapsed="false">
      <c r="A504" s="4" t="s">
        <v>1789</v>
      </c>
      <c r="B504" s="4" t="s">
        <v>2138</v>
      </c>
      <c r="C504" s="4" t="s">
        <v>1837</v>
      </c>
      <c r="D504" s="4" t="s">
        <v>1837</v>
      </c>
      <c r="E504" s="5" t="n">
        <v>14511</v>
      </c>
      <c r="F504" s="4" t="n">
        <v>1</v>
      </c>
      <c r="G504" s="4" t="s">
        <v>2139</v>
      </c>
      <c r="H504" s="4" t="n">
        <v>41.87063</v>
      </c>
      <c r="I504" s="4" t="n">
        <v>-72.37325</v>
      </c>
      <c r="J504" s="4" t="s">
        <v>2140</v>
      </c>
      <c r="K504" s="6" t="str">
        <f aca="false">HYPERLINK("https://www.google.com/search?q=Tolland+Public+Library+Tolland+CT+library+website","Search")</f>
        <v>Search</v>
      </c>
      <c r="L504" s="7"/>
      <c r="M504" s="7"/>
    </row>
    <row r="505" customFormat="false" ht="15" hidden="false" customHeight="true" outlineLevel="0" collapsed="false">
      <c r="A505" s="4" t="s">
        <v>1789</v>
      </c>
      <c r="B505" s="4" t="s">
        <v>2141</v>
      </c>
      <c r="C505" s="4" t="s">
        <v>2142</v>
      </c>
      <c r="D505" s="4" t="s">
        <v>1812</v>
      </c>
      <c r="E505" s="5" t="n">
        <v>35357</v>
      </c>
      <c r="F505" s="4" t="n">
        <v>1</v>
      </c>
      <c r="G505" s="4" t="s">
        <v>2143</v>
      </c>
      <c r="H505" s="4" t="n">
        <v>41.79977</v>
      </c>
      <c r="I505" s="4" t="n">
        <v>-73.1223</v>
      </c>
      <c r="J505" s="4" t="s">
        <v>2144</v>
      </c>
      <c r="K505" s="6" t="str">
        <f aca="false">HYPERLINK("https://www.google.com/search?q=Torrington+Library+Torrington+CT+library+website","Search")</f>
        <v>Search</v>
      </c>
      <c r="L505" s="7"/>
      <c r="M505" s="7"/>
    </row>
    <row r="506" customFormat="false" ht="15" hidden="false" customHeight="true" outlineLevel="0" collapsed="false">
      <c r="A506" s="4" t="s">
        <v>1789</v>
      </c>
      <c r="B506" s="4" t="s">
        <v>2145</v>
      </c>
      <c r="C506" s="4" t="s">
        <v>2146</v>
      </c>
      <c r="D506" s="4" t="s">
        <v>189</v>
      </c>
      <c r="E506" s="5" t="n">
        <v>36950</v>
      </c>
      <c r="F506" s="4" t="n">
        <v>2</v>
      </c>
      <c r="G506" s="4" t="s">
        <v>2147</v>
      </c>
      <c r="H506" s="4" t="n">
        <v>41.25611</v>
      </c>
      <c r="I506" s="4" t="n">
        <v>-73.21717</v>
      </c>
      <c r="J506" s="4" t="s">
        <v>2148</v>
      </c>
      <c r="K506" s="6" t="str">
        <f aca="false">HYPERLINK("https://www.google.com/search?q=Trumbull+Library+Trumbull+CT+library+website","Search")</f>
        <v>Search</v>
      </c>
      <c r="L506" s="7"/>
      <c r="M506" s="7"/>
    </row>
    <row r="507" customFormat="false" ht="15" hidden="false" customHeight="true" outlineLevel="0" collapsed="false">
      <c r="A507" s="4" t="s">
        <v>1789</v>
      </c>
      <c r="B507" s="4" t="s">
        <v>2149</v>
      </c>
      <c r="C507" s="4" t="s">
        <v>2150</v>
      </c>
      <c r="D507" s="4" t="s">
        <v>1802</v>
      </c>
      <c r="E507" s="5" t="n">
        <v>44194</v>
      </c>
      <c r="F507" s="4" t="n">
        <v>1</v>
      </c>
      <c r="G507" s="4" t="s">
        <v>2151</v>
      </c>
      <c r="H507" s="4" t="n">
        <v>41.45689</v>
      </c>
      <c r="I507" s="4" t="n">
        <v>-72.81637</v>
      </c>
      <c r="J507" s="4" t="s">
        <v>2152</v>
      </c>
      <c r="K507" s="6" t="str">
        <f aca="false">HYPERLINK("https://www.google.com/search?q=Wallingford+Public+Library+Wallingford+CT+library+website","Search")</f>
        <v>Search</v>
      </c>
      <c r="L507" s="7"/>
      <c r="M507" s="7"/>
    </row>
    <row r="508" customFormat="false" ht="15" hidden="false" customHeight="true" outlineLevel="0" collapsed="false">
      <c r="A508" s="4" t="s">
        <v>1789</v>
      </c>
      <c r="B508" s="4" t="s">
        <v>2153</v>
      </c>
      <c r="C508" s="4" t="s">
        <v>2154</v>
      </c>
      <c r="D508" s="4" t="s">
        <v>1828</v>
      </c>
      <c r="E508" s="5" t="n">
        <v>19553</v>
      </c>
      <c r="F508" s="4" t="n">
        <v>1</v>
      </c>
      <c r="G508" s="4" t="s">
        <v>2155</v>
      </c>
      <c r="H508" s="4" t="n">
        <v>41.34144</v>
      </c>
      <c r="I508" s="4" t="n">
        <v>-72.13591</v>
      </c>
      <c r="J508" s="4" t="s">
        <v>2156</v>
      </c>
      <c r="K508" s="6" t="str">
        <f aca="false">HYPERLINK("https://www.google.com/search?q=Waterford+Public+Library+Waterford+CT+library+website","Search")</f>
        <v>Search</v>
      </c>
      <c r="L508" s="7"/>
      <c r="M508" s="7"/>
    </row>
    <row r="509" customFormat="false" ht="15" hidden="false" customHeight="true" outlineLevel="0" collapsed="false">
      <c r="A509" s="4" t="s">
        <v>1789</v>
      </c>
      <c r="B509" s="4" t="s">
        <v>2157</v>
      </c>
      <c r="C509" s="4" t="s">
        <v>2158</v>
      </c>
      <c r="D509" s="4" t="s">
        <v>1812</v>
      </c>
      <c r="E509" s="5" t="n">
        <v>22110</v>
      </c>
      <c r="F509" s="4" t="n">
        <v>2</v>
      </c>
      <c r="G509" s="4" t="s">
        <v>2159</v>
      </c>
      <c r="H509" s="4" t="n">
        <v>41.60395</v>
      </c>
      <c r="I509" s="4" t="n">
        <v>-73.11713</v>
      </c>
      <c r="J509" s="4" t="s">
        <v>2160</v>
      </c>
      <c r="K509" s="6" t="str">
        <f aca="false">HYPERLINK("https://www.google.com/search?q=Watertown+Library+Association+Watertown+CT+library+website","Search")</f>
        <v>Search</v>
      </c>
      <c r="L509" s="7"/>
      <c r="M509" s="7"/>
    </row>
    <row r="510" customFormat="false" ht="15" hidden="false" customHeight="true" outlineLevel="0" collapsed="false">
      <c r="A510" s="4" t="s">
        <v>1789</v>
      </c>
      <c r="B510" s="4" t="s">
        <v>2161</v>
      </c>
      <c r="C510" s="4" t="s">
        <v>2162</v>
      </c>
      <c r="D510" s="4" t="s">
        <v>1807</v>
      </c>
      <c r="E510" s="5" t="n">
        <v>35054</v>
      </c>
      <c r="F510" s="4" t="n">
        <v>1</v>
      </c>
      <c r="G510" s="4" t="s">
        <v>2163</v>
      </c>
      <c r="H510" s="4" t="n">
        <v>41.71317</v>
      </c>
      <c r="I510" s="4" t="n">
        <v>-72.60916</v>
      </c>
      <c r="J510" s="4" t="s">
        <v>2164</v>
      </c>
      <c r="K510" s="6" t="str">
        <f aca="false">HYPERLINK("https://www.google.com/search?q=Welles-Turner+Memorial+Library+Glastonbury+CT+library+website","Search")</f>
        <v>Search</v>
      </c>
      <c r="L510" s="7"/>
      <c r="M510" s="7"/>
    </row>
    <row r="511" customFormat="false" ht="15" hidden="false" customHeight="true" outlineLevel="0" collapsed="false">
      <c r="A511" s="4" t="s">
        <v>1789</v>
      </c>
      <c r="B511" s="4" t="s">
        <v>2165</v>
      </c>
      <c r="C511" s="4" t="s">
        <v>2166</v>
      </c>
      <c r="D511" s="4" t="s">
        <v>1807</v>
      </c>
      <c r="E511" s="5" t="n">
        <v>63973</v>
      </c>
      <c r="F511" s="4" t="n">
        <v>3</v>
      </c>
      <c r="G511" s="4" t="s">
        <v>2167</v>
      </c>
      <c r="H511" s="4" t="n">
        <v>41.76067</v>
      </c>
      <c r="I511" s="4" t="n">
        <v>-72.74197</v>
      </c>
      <c r="J511" s="4" t="s">
        <v>2168</v>
      </c>
      <c r="K511" s="6" t="str">
        <f aca="false">HYPERLINK("https://www.google.com/search?q=West+Hartford+Public+Library+West+Hartford+CT+library+website","Search")</f>
        <v>Search</v>
      </c>
      <c r="L511" s="7"/>
      <c r="M511" s="7"/>
    </row>
    <row r="512" customFormat="false" ht="15" hidden="false" customHeight="true" outlineLevel="0" collapsed="false">
      <c r="A512" s="4" t="s">
        <v>1789</v>
      </c>
      <c r="B512" s="4" t="s">
        <v>2169</v>
      </c>
      <c r="C512" s="4" t="s">
        <v>2170</v>
      </c>
      <c r="D512" s="4" t="s">
        <v>1802</v>
      </c>
      <c r="E512" s="5" t="n">
        <v>55294</v>
      </c>
      <c r="F512" s="4" t="n">
        <v>2</v>
      </c>
      <c r="G512" s="4" t="s">
        <v>2171</v>
      </c>
      <c r="H512" s="4" t="n">
        <v>41.27577</v>
      </c>
      <c r="I512" s="4" t="n">
        <v>-72.95213</v>
      </c>
      <c r="J512" s="4" t="s">
        <v>2172</v>
      </c>
      <c r="K512" s="6" t="str">
        <f aca="false">HYPERLINK("https://www.google.com/search?q=West+Haven+Public+Library+West+Haven+CT+library+website","Search")</f>
        <v>Search</v>
      </c>
      <c r="L512" s="7"/>
      <c r="M512" s="7"/>
    </row>
    <row r="513" customFormat="false" ht="15" hidden="false" customHeight="true" outlineLevel="0" collapsed="false">
      <c r="A513" s="4" t="s">
        <v>1789</v>
      </c>
      <c r="B513" s="4" t="s">
        <v>2173</v>
      </c>
      <c r="C513" s="4" t="s">
        <v>2174</v>
      </c>
      <c r="D513" s="4" t="s">
        <v>189</v>
      </c>
      <c r="E513" s="5" t="n">
        <v>10336</v>
      </c>
      <c r="F513" s="4" t="n">
        <v>1</v>
      </c>
      <c r="G513" s="4" t="s">
        <v>2175</v>
      </c>
      <c r="H513" s="4" t="n">
        <v>41.20139</v>
      </c>
      <c r="I513" s="4" t="n">
        <v>-73.37928</v>
      </c>
      <c r="J513" s="4" t="s">
        <v>2176</v>
      </c>
      <c r="K513" s="6" t="str">
        <f aca="false">HYPERLINK("https://www.google.com/search?q=Weston+Public+Library+Weston+CT+library+website","Search")</f>
        <v>Search</v>
      </c>
      <c r="L513" s="7"/>
      <c r="M513" s="7"/>
    </row>
    <row r="514" customFormat="false" ht="15" hidden="false" customHeight="true" outlineLevel="0" collapsed="false">
      <c r="A514" s="4" t="s">
        <v>1789</v>
      </c>
      <c r="B514" s="4" t="s">
        <v>2177</v>
      </c>
      <c r="C514" s="4" t="s">
        <v>2178</v>
      </c>
      <c r="D514" s="4" t="s">
        <v>189</v>
      </c>
      <c r="E514" s="5" t="n">
        <v>27279</v>
      </c>
      <c r="F514" s="4" t="n">
        <v>1</v>
      </c>
      <c r="G514" s="4" t="s">
        <v>2179</v>
      </c>
      <c r="H514" s="4" t="n">
        <v>41.14059</v>
      </c>
      <c r="I514" s="4" t="n">
        <v>-73.36099</v>
      </c>
      <c r="J514" s="4" t="s">
        <v>2180</v>
      </c>
      <c r="K514" s="6" t="str">
        <f aca="false">HYPERLINK("https://www.google.com/search?q=Westport+Library+Westport+CT+library+website","Search")</f>
        <v>Search</v>
      </c>
      <c r="L514" s="7"/>
      <c r="M514" s="7"/>
    </row>
    <row r="515" customFormat="false" ht="15" hidden="false" customHeight="true" outlineLevel="0" collapsed="false">
      <c r="A515" s="4" t="s">
        <v>1789</v>
      </c>
      <c r="B515" s="4" t="s">
        <v>2181</v>
      </c>
      <c r="C515" s="4" t="s">
        <v>2182</v>
      </c>
      <c r="D515" s="4" t="s">
        <v>1807</v>
      </c>
      <c r="E515" s="5" t="n">
        <v>27124</v>
      </c>
      <c r="F515" s="4" t="n">
        <v>1</v>
      </c>
      <c r="G515" s="4" t="s">
        <v>2183</v>
      </c>
      <c r="H515" s="4" t="n">
        <v>41.71174</v>
      </c>
      <c r="I515" s="4" t="n">
        <v>-72.66347</v>
      </c>
      <c r="J515" s="4" t="s">
        <v>2184</v>
      </c>
      <c r="K515" s="6" t="str">
        <f aca="false">HYPERLINK("https://www.google.com/search?q=Wethersfield+Public+Library+Wethersfield+CT+library+website","Search")</f>
        <v>Search</v>
      </c>
      <c r="L515" s="7"/>
      <c r="M515" s="7"/>
    </row>
    <row r="516" customFormat="false" ht="15" hidden="false" customHeight="true" outlineLevel="0" collapsed="false">
      <c r="A516" s="4" t="s">
        <v>1789</v>
      </c>
      <c r="B516" s="4" t="s">
        <v>2185</v>
      </c>
      <c r="C516" s="4" t="s">
        <v>2186</v>
      </c>
      <c r="D516" s="4" t="s">
        <v>1797</v>
      </c>
      <c r="E516" s="5" t="n">
        <v>24362</v>
      </c>
      <c r="F516" s="4" t="n">
        <v>2</v>
      </c>
      <c r="G516" s="4" t="s">
        <v>2187</v>
      </c>
      <c r="H516" s="4" t="n">
        <v>41.71265</v>
      </c>
      <c r="I516" s="4" t="n">
        <v>-72.21602</v>
      </c>
      <c r="J516" s="4" t="s">
        <v>2188</v>
      </c>
      <c r="K516" s="6" t="str">
        <f aca="false">HYPERLINK("https://www.google.com/search?q=Willimantic+Public+Library+Willimantic+CT+library+website","Search")</f>
        <v>Search</v>
      </c>
      <c r="L516" s="7"/>
      <c r="M516" s="7"/>
    </row>
    <row r="517" customFormat="false" ht="15" hidden="false" customHeight="true" outlineLevel="0" collapsed="false">
      <c r="A517" s="4" t="s">
        <v>1789</v>
      </c>
      <c r="B517" s="4" t="s">
        <v>2189</v>
      </c>
      <c r="C517" s="4" t="s">
        <v>2190</v>
      </c>
      <c r="D517" s="4" t="s">
        <v>1802</v>
      </c>
      <c r="E517" s="5" t="n">
        <v>28176</v>
      </c>
      <c r="F517" s="4" t="n">
        <v>1</v>
      </c>
      <c r="G517" s="4" t="s">
        <v>2191</v>
      </c>
      <c r="H517" s="4" t="n">
        <v>41.26845</v>
      </c>
      <c r="I517" s="4" t="n">
        <v>-72.752</v>
      </c>
      <c r="J517" s="4" t="s">
        <v>2192</v>
      </c>
      <c r="K517" s="6" t="str">
        <f aca="false">HYPERLINK("https://www.google.com/search?q=Willoughby+Wallace+Memorial+Library+Stony+Creek+CT+library+website","Search")</f>
        <v>Search</v>
      </c>
      <c r="L517" s="7"/>
      <c r="M517" s="7"/>
    </row>
    <row r="518" customFormat="false" ht="15" hidden="false" customHeight="true" outlineLevel="0" collapsed="false">
      <c r="A518" s="4" t="s">
        <v>1789</v>
      </c>
      <c r="B518" s="4" t="s">
        <v>2193</v>
      </c>
      <c r="C518" s="4" t="s">
        <v>2194</v>
      </c>
      <c r="D518" s="4" t="s">
        <v>189</v>
      </c>
      <c r="E518" s="5" t="n">
        <v>18460</v>
      </c>
      <c r="F518" s="4" t="n">
        <v>1</v>
      </c>
      <c r="G518" s="4" t="s">
        <v>2195</v>
      </c>
      <c r="H518" s="4" t="n">
        <v>41.19289</v>
      </c>
      <c r="I518" s="4" t="n">
        <v>-73.43108</v>
      </c>
      <c r="J518" s="4" t="s">
        <v>2196</v>
      </c>
      <c r="K518" s="6" t="str">
        <f aca="false">HYPERLINK("https://www.google.com/search?q=Wilton+Library+Association+Wilton+CT+library+website","Search")</f>
        <v>Search</v>
      </c>
      <c r="L518" s="7"/>
      <c r="M518" s="7"/>
    </row>
    <row r="519" customFormat="false" ht="15" hidden="false" customHeight="true" outlineLevel="0" collapsed="false">
      <c r="A519" s="4" t="s">
        <v>1789</v>
      </c>
      <c r="B519" s="4" t="s">
        <v>2197</v>
      </c>
      <c r="C519" s="4" t="s">
        <v>1797</v>
      </c>
      <c r="D519" s="4" t="s">
        <v>1797</v>
      </c>
      <c r="E519" s="5" t="n">
        <v>24362</v>
      </c>
      <c r="F519" s="4" t="n">
        <v>1</v>
      </c>
      <c r="G519" s="4" t="s">
        <v>2198</v>
      </c>
      <c r="H519" s="4" t="n">
        <v>41.69947</v>
      </c>
      <c r="I519" s="4" t="n">
        <v>-72.15815</v>
      </c>
      <c r="J519" s="4" t="s">
        <v>2199</v>
      </c>
      <c r="K519" s="6" t="str">
        <f aca="false">HYPERLINK("https://www.google.com/search?q=Windham+Free+Library+Windham+CT+library+website","Search")</f>
        <v>Search</v>
      </c>
      <c r="L519" s="7"/>
      <c r="M519" s="7"/>
    </row>
    <row r="520" customFormat="false" ht="15" hidden="false" customHeight="true" outlineLevel="0" collapsed="false">
      <c r="A520" s="4" t="s">
        <v>1789</v>
      </c>
      <c r="B520" s="4" t="s">
        <v>2200</v>
      </c>
      <c r="C520" s="4" t="s">
        <v>2201</v>
      </c>
      <c r="D520" s="4" t="s">
        <v>1807</v>
      </c>
      <c r="E520" s="5" t="n">
        <v>12531</v>
      </c>
      <c r="F520" s="4" t="n">
        <v>1</v>
      </c>
      <c r="G520" s="4" t="s">
        <v>2202</v>
      </c>
      <c r="H520" s="4" t="n">
        <v>41.92821</v>
      </c>
      <c r="I520" s="4" t="n">
        <v>-72.62739</v>
      </c>
      <c r="J520" s="4" t="s">
        <v>2203</v>
      </c>
      <c r="K520" s="6" t="str">
        <f aca="false">HYPERLINK("https://www.google.com/search?q=Windsor+Locks+Public+Library+Windsor+Locks+CT+library+website","Search")</f>
        <v>Search</v>
      </c>
      <c r="L520" s="7"/>
      <c r="M520" s="7"/>
    </row>
    <row r="521" customFormat="false" ht="15" hidden="false" customHeight="true" outlineLevel="0" collapsed="false">
      <c r="A521" s="4" t="s">
        <v>1789</v>
      </c>
      <c r="B521" s="4" t="s">
        <v>2204</v>
      </c>
      <c r="C521" s="4" t="s">
        <v>1613</v>
      </c>
      <c r="D521" s="4" t="s">
        <v>1807</v>
      </c>
      <c r="E521" s="5" t="n">
        <v>29413</v>
      </c>
      <c r="F521" s="4" t="n">
        <v>2</v>
      </c>
      <c r="G521" s="4" t="s">
        <v>2205</v>
      </c>
      <c r="H521" s="4" t="n">
        <v>41.84918</v>
      </c>
      <c r="I521" s="4" t="n">
        <v>-72.64455</v>
      </c>
      <c r="J521" s="4" t="s">
        <v>2206</v>
      </c>
      <c r="K521" s="6" t="str">
        <f aca="false">HYPERLINK("https://www.google.com/search?q=Windsor+Public+Library+Windsor+CT+library+website","Search")</f>
        <v>Search</v>
      </c>
      <c r="L521" s="7"/>
      <c r="M521" s="8" t="str">
        <f aca="false">HYPERLINK("https://windsorca.overdrive.com","https://windsorca.overdrive.com")</f>
        <v>https://windsorca.overdrive.com</v>
      </c>
    </row>
    <row r="522" customFormat="false" ht="15" hidden="false" customHeight="true" outlineLevel="0" collapsed="false">
      <c r="A522" s="4" t="s">
        <v>1789</v>
      </c>
      <c r="B522" s="4" t="s">
        <v>2207</v>
      </c>
      <c r="C522" s="4" t="s">
        <v>2208</v>
      </c>
      <c r="D522" s="4" t="s">
        <v>1802</v>
      </c>
      <c r="E522" s="5" t="n">
        <v>16160</v>
      </c>
      <c r="F522" s="4" t="n">
        <v>1</v>
      </c>
      <c r="G522" s="4" t="s">
        <v>2209</v>
      </c>
      <c r="H522" s="4" t="n">
        <v>41.60722</v>
      </c>
      <c r="I522" s="4" t="n">
        <v>-72.97641</v>
      </c>
      <c r="J522" s="4" t="s">
        <v>2210</v>
      </c>
      <c r="K522" s="6" t="str">
        <f aca="false">HYPERLINK("https://www.google.com/search?q=Wolcott+Public+Library+Wolcott+CT+library+website","Search")</f>
        <v>Search</v>
      </c>
      <c r="L522" s="7"/>
      <c r="M522" s="7"/>
    </row>
    <row r="523" customFormat="false" ht="15" hidden="false" customHeight="true" outlineLevel="0" collapsed="false">
      <c r="A523" s="4" t="s">
        <v>1789</v>
      </c>
      <c r="B523" s="4" t="s">
        <v>2211</v>
      </c>
      <c r="C523" s="4" t="s">
        <v>2111</v>
      </c>
      <c r="D523" s="4" t="s">
        <v>1807</v>
      </c>
      <c r="E523" s="5" t="n">
        <v>26767</v>
      </c>
      <c r="F523" s="4" t="n">
        <v>1</v>
      </c>
      <c r="G523" s="4" t="s">
        <v>2212</v>
      </c>
      <c r="H523" s="4" t="n">
        <v>41.82361</v>
      </c>
      <c r="I523" s="4" t="n">
        <v>-72.62138</v>
      </c>
      <c r="J523" s="4" t="s">
        <v>2213</v>
      </c>
      <c r="K523" s="6" t="str">
        <f aca="false">HYPERLINK("https://www.google.com/search?q=Wood+Memorial+Library+And+Museum+South+Windsor+CT+library+website","Search")</f>
        <v>Search</v>
      </c>
      <c r="L523" s="7"/>
      <c r="M523" s="7"/>
    </row>
    <row r="524" customFormat="false" ht="15" hidden="false" customHeight="true" outlineLevel="0" collapsed="false">
      <c r="A524" s="4" t="s">
        <v>2214</v>
      </c>
      <c r="B524" s="4" t="s">
        <v>2215</v>
      </c>
      <c r="C524" s="4" t="s">
        <v>441</v>
      </c>
      <c r="D524" s="4" t="s">
        <v>2216</v>
      </c>
      <c r="E524" s="5" t="n">
        <v>671803</v>
      </c>
      <c r="F524" s="4" t="n">
        <v>26</v>
      </c>
      <c r="G524" s="4" t="s">
        <v>2217</v>
      </c>
      <c r="H524" s="4" t="n">
        <v>38.8987</v>
      </c>
      <c r="I524" s="4" t="n">
        <v>-77.02477</v>
      </c>
      <c r="J524" s="4" t="s">
        <v>2218</v>
      </c>
      <c r="K524" s="6" t="str">
        <f aca="false">HYPERLINK("https://www.google.com/search?q=District+Of+Columbia+Public+Library+Washington+DC+library+website","Search")</f>
        <v>Search</v>
      </c>
      <c r="L524" s="7"/>
      <c r="M524" s="7"/>
    </row>
    <row r="525" customFormat="false" ht="15" hidden="false" customHeight="true" outlineLevel="0" collapsed="false">
      <c r="A525" s="4" t="s">
        <v>2219</v>
      </c>
      <c r="B525" s="4" t="s">
        <v>2220</v>
      </c>
      <c r="C525" s="4" t="s">
        <v>2221</v>
      </c>
      <c r="D525" s="4" t="s">
        <v>2222</v>
      </c>
      <c r="E525" s="5" t="n">
        <v>17553</v>
      </c>
      <c r="F525" s="4" t="n">
        <v>1</v>
      </c>
      <c r="G525" s="4" t="s">
        <v>2223</v>
      </c>
      <c r="H525" s="4" t="n">
        <v>39.45472</v>
      </c>
      <c r="I525" s="4" t="n">
        <v>-75.65562</v>
      </c>
      <c r="J525" s="4" t="s">
        <v>2224</v>
      </c>
      <c r="K525" s="6" t="str">
        <f aca="false">HYPERLINK("https://www.google.com/search?q=Corbit-Calloway+Memorial+Library+Odessa+DE+library+website","Search")</f>
        <v>Search</v>
      </c>
      <c r="L525" s="7"/>
      <c r="M525" s="7"/>
    </row>
    <row r="526" customFormat="false" ht="15" hidden="false" customHeight="true" outlineLevel="0" collapsed="false">
      <c r="A526" s="4" t="s">
        <v>2219</v>
      </c>
      <c r="B526" s="4" t="s">
        <v>2225</v>
      </c>
      <c r="C526" s="4" t="s">
        <v>2222</v>
      </c>
      <c r="D526" s="4" t="s">
        <v>2222</v>
      </c>
      <c r="E526" s="5" t="n">
        <v>481815</v>
      </c>
      <c r="F526" s="4" t="n">
        <v>10</v>
      </c>
      <c r="G526" s="4" t="s">
        <v>2226</v>
      </c>
      <c r="H526" s="4" t="n">
        <v>39.68762</v>
      </c>
      <c r="I526" s="4" t="n">
        <v>-75.61249</v>
      </c>
      <c r="J526" s="4" t="s">
        <v>2227</v>
      </c>
      <c r="K526" s="6" t="str">
        <f aca="false">HYPERLINK("https://www.google.com/search?q=Department+Of+Community+Services+New+Castle+DE+library+website","Search")</f>
        <v>Search</v>
      </c>
      <c r="L526" s="7"/>
      <c r="M526" s="7"/>
    </row>
    <row r="527" customFormat="false" ht="15" hidden="false" customHeight="true" outlineLevel="0" collapsed="false">
      <c r="A527" s="4" t="s">
        <v>2219</v>
      </c>
      <c r="B527" s="4" t="s">
        <v>2228</v>
      </c>
      <c r="C527" s="4" t="s">
        <v>2229</v>
      </c>
      <c r="D527" s="4" t="s">
        <v>2230</v>
      </c>
      <c r="E527" s="5" t="n">
        <v>64577</v>
      </c>
      <c r="F527" s="4" t="n">
        <v>1</v>
      </c>
      <c r="G527" s="4" t="s">
        <v>2231</v>
      </c>
      <c r="H527" s="4" t="n">
        <v>39.15859</v>
      </c>
      <c r="I527" s="4" t="n">
        <v>-75.52257</v>
      </c>
      <c r="J527" s="4" t="s">
        <v>2232</v>
      </c>
      <c r="K527" s="6" t="str">
        <f aca="false">HYPERLINK("https://www.google.com/search?q=Dover+Public+Library+Dover+DE+library+website","Search")</f>
        <v>Search</v>
      </c>
      <c r="L527" s="7"/>
      <c r="M527" s="7"/>
    </row>
    <row r="528" customFormat="false" ht="15" hidden="false" customHeight="true" outlineLevel="0" collapsed="false">
      <c r="A528" s="4" t="s">
        <v>2219</v>
      </c>
      <c r="B528" s="4" t="s">
        <v>2233</v>
      </c>
      <c r="C528" s="4" t="s">
        <v>2234</v>
      </c>
      <c r="D528" s="4" t="s">
        <v>2235</v>
      </c>
      <c r="E528" s="5" t="n">
        <v>17453</v>
      </c>
      <c r="F528" s="4" t="n">
        <v>1</v>
      </c>
      <c r="G528" s="4" t="s">
        <v>2236</v>
      </c>
      <c r="H528" s="4" t="n">
        <v>38.68678</v>
      </c>
      <c r="I528" s="4" t="n">
        <v>-75.38777</v>
      </c>
      <c r="J528" s="4" t="s">
        <v>2237</v>
      </c>
      <c r="K528" s="6" t="str">
        <f aca="false">HYPERLINK("https://www.google.com/search?q=Georgetown+Public+Library+Georgetown+DE+library+website","Search")</f>
        <v>Search</v>
      </c>
      <c r="L528" s="7"/>
      <c r="M528" s="7"/>
    </row>
    <row r="529" customFormat="false" ht="15" hidden="false" customHeight="true" outlineLevel="0" collapsed="false">
      <c r="A529" s="4" t="s">
        <v>2219</v>
      </c>
      <c r="B529" s="4" t="s">
        <v>2238</v>
      </c>
      <c r="C529" s="4" t="s">
        <v>2239</v>
      </c>
      <c r="D529" s="4" t="s">
        <v>2230</v>
      </c>
      <c r="E529" s="5" t="n">
        <v>13537</v>
      </c>
      <c r="F529" s="4" t="n">
        <v>1</v>
      </c>
      <c r="G529" s="4" t="s">
        <v>2240</v>
      </c>
      <c r="H529" s="4" t="n">
        <v>38.92844</v>
      </c>
      <c r="I529" s="4" t="n">
        <v>-75.57549</v>
      </c>
      <c r="J529" s="4" t="s">
        <v>2241</v>
      </c>
      <c r="K529" s="6" t="str">
        <f aca="false">HYPERLINK("https://www.google.com/search?q=Harrington+Public+Library+Harrington+DE+library+website","Search")</f>
        <v>Search</v>
      </c>
      <c r="L529" s="7"/>
      <c r="M529" s="7"/>
    </row>
    <row r="530" customFormat="false" ht="15" hidden="false" customHeight="true" outlineLevel="0" collapsed="false">
      <c r="A530" s="4" t="s">
        <v>2219</v>
      </c>
      <c r="B530" s="4" t="s">
        <v>2242</v>
      </c>
      <c r="C530" s="4" t="s">
        <v>2229</v>
      </c>
      <c r="D530" s="4" t="s">
        <v>2230</v>
      </c>
      <c r="E530" s="5" t="n">
        <v>61207</v>
      </c>
      <c r="F530" s="4" t="n">
        <v>1</v>
      </c>
      <c r="G530" s="4" t="s">
        <v>2243</v>
      </c>
      <c r="H530" s="4" t="n">
        <v>39.07955</v>
      </c>
      <c r="I530" s="4" t="n">
        <v>-75.55067</v>
      </c>
      <c r="J530" s="4" t="s">
        <v>2244</v>
      </c>
      <c r="K530" s="6" t="str">
        <f aca="false">HYPERLINK("https://www.google.com/search?q=Kent+County+Public+Library+Dover+DE+library+website","Search")</f>
        <v>Search</v>
      </c>
      <c r="L530" s="7"/>
      <c r="M530" s="7"/>
    </row>
    <row r="531" customFormat="false" ht="15" hidden="false" customHeight="true" outlineLevel="0" collapsed="false">
      <c r="A531" s="4" t="s">
        <v>2219</v>
      </c>
      <c r="B531" s="4" t="s">
        <v>2245</v>
      </c>
      <c r="C531" s="4" t="s">
        <v>2246</v>
      </c>
      <c r="D531" s="4" t="s">
        <v>2235</v>
      </c>
      <c r="E531" s="5" t="n">
        <v>16547</v>
      </c>
      <c r="F531" s="4" t="n">
        <v>1</v>
      </c>
      <c r="G531" s="4" t="s">
        <v>2247</v>
      </c>
      <c r="H531" s="4" t="n">
        <v>38.55611</v>
      </c>
      <c r="I531" s="4" t="n">
        <v>-75.57077</v>
      </c>
      <c r="J531" s="4" t="s">
        <v>2248</v>
      </c>
      <c r="K531" s="6" t="str">
        <f aca="false">HYPERLINK("https://www.google.com/search?q=Laurel+Public+Library+Laurel+DE+library+website","Search")</f>
        <v>Search</v>
      </c>
      <c r="L531" s="7"/>
      <c r="M531" s="7"/>
    </row>
    <row r="532" customFormat="false" ht="15" hidden="false" customHeight="true" outlineLevel="0" collapsed="false">
      <c r="A532" s="4" t="s">
        <v>2219</v>
      </c>
      <c r="B532" s="4" t="s">
        <v>2249</v>
      </c>
      <c r="C532" s="4" t="s">
        <v>2250</v>
      </c>
      <c r="D532" s="4" t="s">
        <v>2235</v>
      </c>
      <c r="E532" s="5" t="n">
        <v>19139</v>
      </c>
      <c r="F532" s="4" t="n">
        <v>1</v>
      </c>
      <c r="G532" s="4" t="s">
        <v>2251</v>
      </c>
      <c r="H532" s="4" t="n">
        <v>38.76746</v>
      </c>
      <c r="I532" s="4" t="n">
        <v>-75.14112</v>
      </c>
      <c r="J532" s="4" t="s">
        <v>2252</v>
      </c>
      <c r="K532" s="6" t="str">
        <f aca="false">HYPERLINK("https://www.google.com/search?q=Lewes+Public+Library+Lewes+DE+library+website","Search")</f>
        <v>Search</v>
      </c>
      <c r="L532" s="7"/>
      <c r="M532" s="7"/>
    </row>
    <row r="533" customFormat="false" ht="15" hidden="false" customHeight="true" outlineLevel="0" collapsed="false">
      <c r="A533" s="4" t="s">
        <v>2219</v>
      </c>
      <c r="B533" s="4" t="s">
        <v>2007</v>
      </c>
      <c r="C533" s="4" t="s">
        <v>2008</v>
      </c>
      <c r="D533" s="4" t="s">
        <v>2235</v>
      </c>
      <c r="E533" s="5" t="n">
        <v>27615</v>
      </c>
      <c r="F533" s="4" t="n">
        <v>1</v>
      </c>
      <c r="G533" s="4" t="s">
        <v>2253</v>
      </c>
      <c r="H533" s="4" t="n">
        <v>38.9125</v>
      </c>
      <c r="I533" s="4" t="n">
        <v>-75.42748</v>
      </c>
      <c r="J533" s="4" t="s">
        <v>2254</v>
      </c>
      <c r="K533" s="6" t="str">
        <f aca="false">HYPERLINK("https://www.google.com/search?q=Milford+Public+Library+Milford+DE+library+website","Search")</f>
        <v>Search</v>
      </c>
      <c r="L533" s="7"/>
      <c r="M533" s="7"/>
    </row>
    <row r="534" customFormat="false" ht="15" hidden="false" customHeight="true" outlineLevel="0" collapsed="false">
      <c r="A534" s="4" t="s">
        <v>2219</v>
      </c>
      <c r="B534" s="4" t="s">
        <v>2255</v>
      </c>
      <c r="C534" s="4" t="s">
        <v>2256</v>
      </c>
      <c r="D534" s="4" t="s">
        <v>2235</v>
      </c>
      <c r="E534" s="5" t="n">
        <v>18687</v>
      </c>
      <c r="F534" s="4" t="n">
        <v>1</v>
      </c>
      <c r="G534" s="4" t="s">
        <v>2257</v>
      </c>
      <c r="H534" s="4" t="n">
        <v>38.59329</v>
      </c>
      <c r="I534" s="4" t="n">
        <v>-75.2964</v>
      </c>
      <c r="J534" s="4" t="s">
        <v>2258</v>
      </c>
      <c r="K534" s="6" t="str">
        <f aca="false">HYPERLINK("https://www.google.com/search?q=Millsboro+Public+Library+Millsboro+DE+library+website","Search")</f>
        <v>Search</v>
      </c>
      <c r="L534" s="7"/>
      <c r="M534" s="7"/>
    </row>
    <row r="535" customFormat="false" ht="15" hidden="false" customHeight="true" outlineLevel="0" collapsed="false">
      <c r="A535" s="4" t="s">
        <v>2219</v>
      </c>
      <c r="B535" s="4" t="s">
        <v>2259</v>
      </c>
      <c r="C535" s="4" t="s">
        <v>2222</v>
      </c>
      <c r="D535" s="4" t="s">
        <v>2222</v>
      </c>
      <c r="E535" s="5" t="n">
        <v>24363</v>
      </c>
      <c r="F535" s="4" t="n">
        <v>1</v>
      </c>
      <c r="G535" s="4" t="s">
        <v>2260</v>
      </c>
      <c r="H535" s="4" t="n">
        <v>39.66112</v>
      </c>
      <c r="I535" s="4" t="n">
        <v>-75.56567</v>
      </c>
      <c r="J535" s="4" t="s">
        <v>2261</v>
      </c>
      <c r="K535" s="6" t="str">
        <f aca="false">HYPERLINK("https://www.google.com/search?q=New+Castle+Public+Library+New+Castle+DE+library+website","Search")</f>
        <v>Search</v>
      </c>
      <c r="L535" s="7"/>
      <c r="M535" s="7"/>
    </row>
    <row r="536" customFormat="false" ht="15" hidden="false" customHeight="true" outlineLevel="0" collapsed="false">
      <c r="A536" s="4" t="s">
        <v>2219</v>
      </c>
      <c r="B536" s="4" t="s">
        <v>2262</v>
      </c>
      <c r="C536" s="4" t="s">
        <v>2263</v>
      </c>
      <c r="D536" s="4" t="s">
        <v>2235</v>
      </c>
      <c r="E536" s="5" t="n">
        <v>15834</v>
      </c>
      <c r="F536" s="4" t="n">
        <v>1</v>
      </c>
      <c r="G536" s="4" t="s">
        <v>2264</v>
      </c>
      <c r="H536" s="4" t="n">
        <v>38.71582</v>
      </c>
      <c r="I536" s="4" t="n">
        <v>-75.08291</v>
      </c>
      <c r="J536" s="4" t="s">
        <v>2265</v>
      </c>
      <c r="K536" s="6" t="str">
        <f aca="false">HYPERLINK("https://www.google.com/search?q=Rehoboth+Beach+Public+Library+Rehoboth+Beach+DE+library+website","Search")</f>
        <v>Search</v>
      </c>
      <c r="L536" s="7"/>
      <c r="M536" s="7"/>
    </row>
    <row r="537" customFormat="false" ht="15" hidden="false" customHeight="true" outlineLevel="0" collapsed="false">
      <c r="A537" s="4" t="s">
        <v>2219</v>
      </c>
      <c r="B537" s="4" t="s">
        <v>2266</v>
      </c>
      <c r="C537" s="4" t="s">
        <v>2267</v>
      </c>
      <c r="D537" s="4" t="s">
        <v>2235</v>
      </c>
      <c r="E537" s="5" t="n">
        <v>24531</v>
      </c>
      <c r="F537" s="4" t="n">
        <v>1</v>
      </c>
      <c r="G537" s="4" t="s">
        <v>2268</v>
      </c>
      <c r="H537" s="4" t="n">
        <v>38.65651</v>
      </c>
      <c r="I537" s="4" t="n">
        <v>-75.62002</v>
      </c>
      <c r="J537" s="4" t="s">
        <v>2269</v>
      </c>
      <c r="K537" s="6" t="str">
        <f aca="false">HYPERLINK("https://www.google.com/search?q=Seaford+District+Library+Seaford+DE+library+website","Search")</f>
        <v>Search</v>
      </c>
      <c r="L537" s="7"/>
      <c r="M537" s="7"/>
    </row>
    <row r="538" customFormat="false" ht="15" hidden="false" customHeight="true" outlineLevel="0" collapsed="false">
      <c r="A538" s="4" t="s">
        <v>2219</v>
      </c>
      <c r="B538" s="4" t="s">
        <v>2270</v>
      </c>
      <c r="C538" s="4" t="s">
        <v>2271</v>
      </c>
      <c r="D538" s="4" t="s">
        <v>2230</v>
      </c>
      <c r="E538" s="5" t="n">
        <v>35266</v>
      </c>
      <c r="F538" s="4" t="n">
        <v>1</v>
      </c>
      <c r="G538" s="4" t="s">
        <v>2272</v>
      </c>
      <c r="H538" s="4" t="n">
        <v>39.29958</v>
      </c>
      <c r="I538" s="4" t="n">
        <v>-75.60464</v>
      </c>
      <c r="J538" s="4" t="s">
        <v>2273</v>
      </c>
      <c r="K538" s="6" t="str">
        <f aca="false">HYPERLINK("https://www.google.com/search?q=Smyrna+Public+Library+Smyrna+DE+library+website","Search")</f>
        <v>Search</v>
      </c>
      <c r="L538" s="7"/>
      <c r="M538" s="7"/>
    </row>
    <row r="539" customFormat="false" ht="15" hidden="false" customHeight="true" outlineLevel="0" collapsed="false">
      <c r="A539" s="4" t="s">
        <v>2219</v>
      </c>
      <c r="B539" s="4" t="s">
        <v>2274</v>
      </c>
      <c r="C539" s="4" t="s">
        <v>2234</v>
      </c>
      <c r="D539" s="4" t="s">
        <v>2235</v>
      </c>
      <c r="E539" s="5" t="n">
        <v>60036</v>
      </c>
      <c r="F539" s="4" t="n">
        <v>3</v>
      </c>
      <c r="G539" s="4" t="s">
        <v>2275</v>
      </c>
      <c r="H539" s="4" t="n">
        <v>38.68083</v>
      </c>
      <c r="I539" s="4" t="n">
        <v>-75.39474</v>
      </c>
      <c r="J539" s="4" t="s">
        <v>2276</v>
      </c>
      <c r="K539" s="6" t="str">
        <f aca="false">HYPERLINK("https://www.google.com/search?q=Sussex+County+Dept.+Of+Libraries+Georgetown+DE+library+website","Search")</f>
        <v>Search</v>
      </c>
      <c r="L539" s="7"/>
      <c r="M539" s="7"/>
    </row>
    <row r="540" customFormat="false" ht="15" hidden="false" customHeight="true" outlineLevel="0" collapsed="false">
      <c r="A540" s="4" t="s">
        <v>2219</v>
      </c>
      <c r="B540" s="4" t="s">
        <v>2277</v>
      </c>
      <c r="C540" s="4" t="s">
        <v>2278</v>
      </c>
      <c r="D540" s="4" t="s">
        <v>2222</v>
      </c>
      <c r="E540" s="5" t="n">
        <v>59462</v>
      </c>
      <c r="F540" s="4" t="n">
        <v>2</v>
      </c>
      <c r="G540" s="4" t="s">
        <v>2279</v>
      </c>
      <c r="H540" s="4" t="n">
        <v>39.74537</v>
      </c>
      <c r="I540" s="4" t="n">
        <v>-75.5474</v>
      </c>
      <c r="J540" s="4" t="s">
        <v>2280</v>
      </c>
      <c r="K540" s="6" t="str">
        <f aca="false">HYPERLINK("https://www.google.com/search?q=Wilmington+Institute+Library+Wilmington+DE+library+website","Search")</f>
        <v>Search</v>
      </c>
      <c r="L540" s="7"/>
      <c r="M540" s="7"/>
    </row>
    <row r="541" customFormat="false" ht="15" hidden="false" customHeight="true" outlineLevel="0" collapsed="false">
      <c r="A541" s="4" t="s">
        <v>2281</v>
      </c>
      <c r="B541" s="4" t="s">
        <v>2282</v>
      </c>
      <c r="C541" s="4" t="s">
        <v>2283</v>
      </c>
      <c r="D541" s="4" t="s">
        <v>2284</v>
      </c>
      <c r="E541" s="5" t="n">
        <v>46735</v>
      </c>
      <c r="F541" s="4" t="n">
        <v>1</v>
      </c>
      <c r="G541" s="4" t="s">
        <v>2285</v>
      </c>
      <c r="H541" s="4" t="n">
        <v>28.65866</v>
      </c>
      <c r="I541" s="4" t="n">
        <v>-81.36585</v>
      </c>
      <c r="J541" s="4" t="s">
        <v>2286</v>
      </c>
      <c r="K541" s="6" t="str">
        <f aca="false">HYPERLINK("https://www.google.com/search?q=Altamonte+Springs+City+Library+Altamonte+Springs+FL+library+website","Search")</f>
        <v>Search</v>
      </c>
      <c r="L541" s="7"/>
      <c r="M541" s="8" t="str">
        <f aca="false">HYPERLINK("https://altamonte.overdrive.com","https://altamonte.overdrive.com")</f>
        <v>https://altamonte.overdrive.com</v>
      </c>
    </row>
    <row r="542" customFormat="false" ht="15" hidden="false" customHeight="true" outlineLevel="0" collapsed="false">
      <c r="A542" s="4" t="s">
        <v>2281</v>
      </c>
      <c r="B542" s="4" t="s">
        <v>2287</v>
      </c>
      <c r="C542" s="4" t="s">
        <v>2288</v>
      </c>
      <c r="D542" s="4" t="s">
        <v>2289</v>
      </c>
      <c r="E542" s="5" t="n">
        <v>98046</v>
      </c>
      <c r="F542" s="4" t="n">
        <v>2</v>
      </c>
      <c r="G542" s="4" t="s">
        <v>2290</v>
      </c>
      <c r="H542" s="4" t="n">
        <v>26.38668</v>
      </c>
      <c r="I542" s="4" t="n">
        <v>-80.11423</v>
      </c>
      <c r="J542" s="4" t="s">
        <v>2291</v>
      </c>
      <c r="K542" s="6" t="str">
        <f aca="false">HYPERLINK("https://www.google.com/search?q=Boca+Raton+Public+Library+Boca+Raton+FL+library+website","Search")</f>
        <v>Search</v>
      </c>
      <c r="L542" s="7"/>
      <c r="M542" s="8" t="str">
        <f aca="false">HYPERLINK("https://bocalibrary.overdrive.com","https://bocalibrary.overdrive.com")</f>
        <v>https://bocalibrary.overdrive.com</v>
      </c>
    </row>
    <row r="543" customFormat="false" ht="15" hidden="false" customHeight="true" outlineLevel="0" collapsed="false">
      <c r="A543" s="4" t="s">
        <v>2281</v>
      </c>
      <c r="B543" s="4" t="s">
        <v>2292</v>
      </c>
      <c r="C543" s="4" t="s">
        <v>2293</v>
      </c>
      <c r="D543" s="4" t="s">
        <v>2289</v>
      </c>
      <c r="E543" s="5" t="n">
        <v>81011</v>
      </c>
      <c r="F543" s="4" t="n">
        <v>1</v>
      </c>
      <c r="G543" s="4" t="s">
        <v>2294</v>
      </c>
      <c r="H543" s="4" t="n">
        <v>26.52708</v>
      </c>
      <c r="I543" s="4" t="n">
        <v>-80.06322</v>
      </c>
      <c r="J543" s="4" t="s">
        <v>2295</v>
      </c>
      <c r="K543" s="6" t="str">
        <f aca="false">HYPERLINK("https://www.google.com/search?q=Boynton+Beach+City+Library+Boynton+Beach+FL+library+website","Search")</f>
        <v>Search</v>
      </c>
      <c r="L543" s="7"/>
      <c r="M543" s="7"/>
    </row>
    <row r="544" customFormat="false" ht="15" hidden="false" customHeight="true" outlineLevel="0" collapsed="false">
      <c r="A544" s="4" t="s">
        <v>2281</v>
      </c>
      <c r="B544" s="4" t="s">
        <v>2296</v>
      </c>
      <c r="C544" s="4" t="s">
        <v>2297</v>
      </c>
      <c r="D544" s="4" t="s">
        <v>2298</v>
      </c>
      <c r="E544" s="5" t="n">
        <v>616742</v>
      </c>
      <c r="F544" s="4" t="n">
        <v>17</v>
      </c>
      <c r="G544" s="4" t="s">
        <v>2299</v>
      </c>
      <c r="H544" s="4" t="n">
        <v>28.35986</v>
      </c>
      <c r="I544" s="4" t="n">
        <v>-80.73033</v>
      </c>
      <c r="J544" s="4" t="s">
        <v>2300</v>
      </c>
      <c r="K544" s="6" t="str">
        <f aca="false">HYPERLINK("https://www.google.com/search?q=Brevard+County+Library+System+Cocoa+FL+library+website","Search")</f>
        <v>Search</v>
      </c>
      <c r="L544" s="7"/>
      <c r="M544" s="8" t="str">
        <f aca="false">HYPERLINK("https://brevard.overdrive.com","https://brevard.overdrive.com")</f>
        <v>https://brevard.overdrive.com</v>
      </c>
    </row>
    <row r="545" customFormat="false" ht="15" hidden="false" customHeight="true" outlineLevel="0" collapsed="false">
      <c r="A545" s="4" t="s">
        <v>2281</v>
      </c>
      <c r="B545" s="4" t="s">
        <v>2301</v>
      </c>
      <c r="C545" s="4" t="s">
        <v>2302</v>
      </c>
      <c r="D545" s="4" t="s">
        <v>2303</v>
      </c>
      <c r="E545" s="5" t="n">
        <v>11548</v>
      </c>
      <c r="F545" s="4" t="n">
        <v>1</v>
      </c>
      <c r="G545" s="4" t="s">
        <v>2304</v>
      </c>
      <c r="H545" s="4" t="n">
        <v>25.86746</v>
      </c>
      <c r="I545" s="4" t="n">
        <v>-80.19357</v>
      </c>
      <c r="J545" s="4" t="s">
        <v>2305</v>
      </c>
      <c r="K545" s="6" t="str">
        <f aca="false">HYPERLINK("https://www.google.com/search?q=Brockway+Memorial+Library+Miami+Shores+FL+library+website","Search")</f>
        <v>Search</v>
      </c>
      <c r="L545" s="7"/>
      <c r="M545" s="7"/>
    </row>
    <row r="546" customFormat="false" ht="15" hidden="false" customHeight="true" outlineLevel="0" collapsed="false">
      <c r="A546" s="4" t="s">
        <v>2281</v>
      </c>
      <c r="B546" s="4" t="s">
        <v>2306</v>
      </c>
      <c r="C546" s="4" t="s">
        <v>2307</v>
      </c>
      <c r="D546" s="4" t="s">
        <v>2308</v>
      </c>
      <c r="E546" s="5" t="n">
        <v>1955375</v>
      </c>
      <c r="F546" s="4" t="n">
        <v>38</v>
      </c>
      <c r="G546" s="4" t="s">
        <v>2309</v>
      </c>
      <c r="H546" s="4" t="n">
        <v>26.1209</v>
      </c>
      <c r="I546" s="4" t="n">
        <v>-80.14343</v>
      </c>
      <c r="J546" s="4" t="s">
        <v>2310</v>
      </c>
      <c r="K546" s="6" t="str">
        <f aca="false">HYPERLINK("https://www.google.com/search?q=Broward+County+Libraries+Division+Fort+Lauderdale+FL+library+website","Search")</f>
        <v>Search</v>
      </c>
      <c r="L546" s="7"/>
      <c r="M546" s="7"/>
    </row>
    <row r="547" customFormat="false" ht="15" hidden="false" customHeight="true" outlineLevel="0" collapsed="false">
      <c r="A547" s="4" t="s">
        <v>2281</v>
      </c>
      <c r="B547" s="4" t="s">
        <v>2311</v>
      </c>
      <c r="C547" s="4" t="s">
        <v>2312</v>
      </c>
      <c r="D547" s="4" t="s">
        <v>2313</v>
      </c>
      <c r="E547" s="5" t="n">
        <v>190570</v>
      </c>
      <c r="F547" s="4" t="n">
        <v>4</v>
      </c>
      <c r="G547" s="4" t="s">
        <v>2314</v>
      </c>
      <c r="H547" s="4" t="n">
        <v>27.0015</v>
      </c>
      <c r="I547" s="4" t="n">
        <v>-82.12311</v>
      </c>
      <c r="J547" s="4" t="s">
        <v>2315</v>
      </c>
      <c r="K547" s="6" t="str">
        <f aca="false">HYPERLINK("https://www.google.com/search?q=Charlotte+County+Public+Library+Port+Charlotte+FL+library+website","Search")</f>
        <v>Search</v>
      </c>
      <c r="L547" s="7"/>
      <c r="M547" s="7"/>
    </row>
    <row r="548" customFormat="false" ht="15" hidden="false" customHeight="true" outlineLevel="0" collapsed="false">
      <c r="A548" s="4" t="s">
        <v>2281</v>
      </c>
      <c r="B548" s="4" t="s">
        <v>2316</v>
      </c>
      <c r="C548" s="4" t="s">
        <v>920</v>
      </c>
      <c r="D548" s="4" t="s">
        <v>2317</v>
      </c>
      <c r="E548" s="5" t="n">
        <v>155615</v>
      </c>
      <c r="F548" s="4" t="n">
        <v>5</v>
      </c>
      <c r="G548" s="4" t="s">
        <v>2318</v>
      </c>
      <c r="H548" s="4" t="n">
        <v>28.91036</v>
      </c>
      <c r="I548" s="4" t="n">
        <v>-82.44212</v>
      </c>
      <c r="J548" s="4" t="s">
        <v>2319</v>
      </c>
      <c r="K548" s="6" t="str">
        <f aca="false">HYPERLINK("https://www.google.com/search?q=Citrus+County+Library+System+Beverly+Hills+FL+library+website","Search")</f>
        <v>Search</v>
      </c>
      <c r="L548" s="7"/>
      <c r="M548" s="8" t="str">
        <f aca="false">HYPERLINK("https://citrus.overdrive.com","https://citrus.overdrive.com")</f>
        <v>https://citrus.overdrive.com</v>
      </c>
    </row>
    <row r="549" customFormat="false" ht="15" hidden="false" customHeight="true" outlineLevel="0" collapsed="false">
      <c r="A549" s="4" t="s">
        <v>2281</v>
      </c>
      <c r="B549" s="4" t="s">
        <v>2320</v>
      </c>
      <c r="C549" s="4" t="s">
        <v>2321</v>
      </c>
      <c r="D549" s="4" t="s">
        <v>2322</v>
      </c>
      <c r="E549" s="5" t="n">
        <v>221440</v>
      </c>
      <c r="F549" s="4" t="n">
        <v>5</v>
      </c>
      <c r="G549" s="4" t="s">
        <v>2323</v>
      </c>
      <c r="H549" s="4" t="n">
        <v>30.09247</v>
      </c>
      <c r="I549" s="4" t="n">
        <v>-81.71181</v>
      </c>
      <c r="J549" s="4" t="s">
        <v>2324</v>
      </c>
      <c r="K549" s="6" t="str">
        <f aca="false">HYPERLINK("https://www.google.com/search?q=Clay+County+Public+Library+System+Fleming+Island+FL+library+website","Search")</f>
        <v>Search</v>
      </c>
      <c r="L549" s="7"/>
      <c r="M549" s="7"/>
    </row>
    <row r="550" customFormat="false" ht="15" hidden="false" customHeight="true" outlineLevel="0" collapsed="false">
      <c r="A550" s="4" t="s">
        <v>2281</v>
      </c>
      <c r="B550" s="4" t="s">
        <v>2325</v>
      </c>
      <c r="C550" s="4" t="s">
        <v>2326</v>
      </c>
      <c r="D550" s="4" t="s">
        <v>2327</v>
      </c>
      <c r="E550" s="5" t="n">
        <v>382680</v>
      </c>
      <c r="F550" s="4" t="n">
        <v>10</v>
      </c>
      <c r="G550" s="4" t="s">
        <v>2328</v>
      </c>
      <c r="H550" s="4" t="n">
        <v>26.23279</v>
      </c>
      <c r="I550" s="4" t="n">
        <v>-81.77019</v>
      </c>
      <c r="J550" s="4" t="s">
        <v>2329</v>
      </c>
      <c r="K550" s="6" t="str">
        <f aca="false">HYPERLINK("https://www.google.com/search?q=Collier+County+Public+Library+Naples+FL+library+website","Search")</f>
        <v>Search</v>
      </c>
      <c r="L550" s="7"/>
      <c r="M550" s="8" t="str">
        <f aca="false">HYPERLINK("https://collier.overdrive.com","https://collier.overdrive.com")</f>
        <v>https://collier.overdrive.com</v>
      </c>
    </row>
    <row r="551" customFormat="false" ht="15" hidden="false" customHeight="true" outlineLevel="0" collapsed="false">
      <c r="A551" s="4" t="s">
        <v>2281</v>
      </c>
      <c r="B551" s="4" t="s">
        <v>2330</v>
      </c>
      <c r="C551" s="4" t="s">
        <v>2331</v>
      </c>
      <c r="D551" s="4" t="s">
        <v>506</v>
      </c>
      <c r="E551" s="5" t="n">
        <v>69809</v>
      </c>
      <c r="F551" s="4" t="n">
        <v>3</v>
      </c>
      <c r="G551" s="4" t="s">
        <v>2332</v>
      </c>
      <c r="H551" s="4" t="n">
        <v>30.19244</v>
      </c>
      <c r="I551" s="4" t="n">
        <v>-82.63798</v>
      </c>
      <c r="J551" s="4" t="s">
        <v>2333</v>
      </c>
      <c r="K551" s="6" t="str">
        <f aca="false">HYPERLINK("https://www.google.com/search?q=Columbia+County+Public+Library+Lake+City+FL+library+website","Search")</f>
        <v>Search</v>
      </c>
      <c r="L551" s="7"/>
      <c r="M551" s="7"/>
    </row>
    <row r="552" customFormat="false" ht="15" hidden="false" customHeight="true" outlineLevel="0" collapsed="false">
      <c r="A552" s="4" t="s">
        <v>2281</v>
      </c>
      <c r="B552" s="4" t="s">
        <v>2334</v>
      </c>
      <c r="C552" s="4" t="s">
        <v>2335</v>
      </c>
      <c r="D552" s="4" t="s">
        <v>2289</v>
      </c>
      <c r="E552" s="5" t="n">
        <v>66948</v>
      </c>
      <c r="F552" s="4" t="n">
        <v>1</v>
      </c>
      <c r="G552" s="4" t="s">
        <v>2336</v>
      </c>
      <c r="H552" s="4" t="n">
        <v>26.46154</v>
      </c>
      <c r="I552" s="4" t="n">
        <v>-80.07462</v>
      </c>
      <c r="J552" s="4" t="s">
        <v>2337</v>
      </c>
      <c r="K552" s="6" t="str">
        <f aca="false">HYPERLINK("https://www.google.com/search?q=Delray+Beach+Library+Delray+Beach+FL+library+website","Search")</f>
        <v>Search</v>
      </c>
      <c r="L552" s="7"/>
      <c r="M552" s="7"/>
    </row>
    <row r="553" customFormat="false" ht="15" hidden="false" customHeight="true" outlineLevel="0" collapsed="false">
      <c r="A553" s="4" t="s">
        <v>2281</v>
      </c>
      <c r="B553" s="4" t="s">
        <v>2338</v>
      </c>
      <c r="C553" s="4" t="s">
        <v>2339</v>
      </c>
      <c r="D553" s="4" t="s">
        <v>2308</v>
      </c>
      <c r="E553" s="5" t="n">
        <v>10499</v>
      </c>
      <c r="F553" s="4" t="n">
        <v>1</v>
      </c>
      <c r="G553" s="4" t="s">
        <v>2340</v>
      </c>
      <c r="H553" s="4" t="n">
        <v>26.27767</v>
      </c>
      <c r="I553" s="4" t="n">
        <v>-80.09378</v>
      </c>
      <c r="J553" s="4" t="s">
        <v>2341</v>
      </c>
      <c r="K553" s="6" t="str">
        <f aca="false">HYPERLINK("https://www.google.com/search?q=Doreen+Gauthier+Lighthouse+Point+Library+Lighthouse+Point+FL+library+website","Search")</f>
        <v>Search</v>
      </c>
      <c r="L553" s="7"/>
      <c r="M553" s="7"/>
    </row>
    <row r="554" customFormat="false" ht="15" hidden="false" customHeight="true" outlineLevel="0" collapsed="false">
      <c r="A554" s="4" t="s">
        <v>2281</v>
      </c>
      <c r="B554" s="4" t="s">
        <v>2342</v>
      </c>
      <c r="C554" s="4" t="s">
        <v>2343</v>
      </c>
      <c r="D554" s="4" t="s">
        <v>2308</v>
      </c>
      <c r="E554" s="5" t="n">
        <v>44296</v>
      </c>
      <c r="F554" s="4" t="n">
        <v>1</v>
      </c>
      <c r="G554" s="4" t="s">
        <v>2344</v>
      </c>
      <c r="H554" s="4" t="n">
        <v>26.17316</v>
      </c>
      <c r="I554" s="4" t="n">
        <v>-80.12971</v>
      </c>
      <c r="J554" s="4" t="s">
        <v>2345</v>
      </c>
      <c r="K554" s="6" t="str">
        <f aca="false">HYPERLINK("https://www.google.com/search?q=Ethel+M.+Gordon+Oakland+Park+Library+Oakland+Park+FL+library+website","Search")</f>
        <v>Search</v>
      </c>
      <c r="L554" s="7"/>
      <c r="M554" s="7"/>
    </row>
    <row r="555" customFormat="false" ht="15" hidden="false" customHeight="true" outlineLevel="0" collapsed="false">
      <c r="A555" s="4" t="s">
        <v>2281</v>
      </c>
      <c r="B555" s="4" t="s">
        <v>2346</v>
      </c>
      <c r="C555" s="4" t="s">
        <v>2347</v>
      </c>
      <c r="D555" s="4" t="s">
        <v>2348</v>
      </c>
      <c r="E555" s="5" t="n">
        <v>119662</v>
      </c>
      <c r="F555" s="4" t="n">
        <v>2</v>
      </c>
      <c r="G555" s="4" t="s">
        <v>2349</v>
      </c>
      <c r="H555" s="4" t="n">
        <v>29.55336</v>
      </c>
      <c r="I555" s="4" t="n">
        <v>-81.23813</v>
      </c>
      <c r="J555" s="4" t="s">
        <v>2350</v>
      </c>
      <c r="K555" s="6" t="str">
        <f aca="false">HYPERLINK("https://www.google.com/search?q=Flagler+County+Public+Library+Palm+Coast+FL+library+website","Search")</f>
        <v>Search</v>
      </c>
      <c r="L555" s="7"/>
      <c r="M555" s="7"/>
    </row>
    <row r="556" customFormat="false" ht="15" hidden="false" customHeight="true" outlineLevel="0" collapsed="false">
      <c r="A556" s="4" t="s">
        <v>2281</v>
      </c>
      <c r="B556" s="4" t="s">
        <v>2351</v>
      </c>
      <c r="C556" s="4" t="s">
        <v>2352</v>
      </c>
      <c r="D556" s="4" t="s">
        <v>83</v>
      </c>
      <c r="E556" s="5" t="n">
        <v>42797</v>
      </c>
      <c r="F556" s="4" t="n">
        <v>1</v>
      </c>
      <c r="G556" s="4" t="s">
        <v>2353</v>
      </c>
      <c r="H556" s="4" t="n">
        <v>26.4475</v>
      </c>
      <c r="I556" s="4" t="n">
        <v>-81.93936</v>
      </c>
      <c r="J556" s="4" t="s">
        <v>2354</v>
      </c>
      <c r="K556" s="6" t="str">
        <f aca="false">HYPERLINK("https://www.google.com/search?q=Fort+Myers+Beach+Public+Library+Fort+Myers+Beach+FL+library+website","Search")</f>
        <v>Search</v>
      </c>
      <c r="L556" s="7"/>
      <c r="M556" s="8" t="str">
        <f aca="false">HYPERLINK("https://fmb.overdrive.com","https://fmb.overdrive.com")</f>
        <v>https://fmb.overdrive.com</v>
      </c>
    </row>
    <row r="557" customFormat="false" ht="15" hidden="false" customHeight="true" outlineLevel="0" collapsed="false">
      <c r="A557" s="4" t="s">
        <v>2281</v>
      </c>
      <c r="B557" s="4" t="s">
        <v>2355</v>
      </c>
      <c r="C557" s="4" t="s">
        <v>1318</v>
      </c>
      <c r="D557" s="4" t="s">
        <v>215</v>
      </c>
      <c r="E557" s="5" t="n">
        <v>43813</v>
      </c>
      <c r="F557" s="4" t="n">
        <v>3</v>
      </c>
      <c r="G557" s="4" t="s">
        <v>2356</v>
      </c>
      <c r="H557" s="4" t="n">
        <v>30.57655</v>
      </c>
      <c r="I557" s="4" t="n">
        <v>-84.59251</v>
      </c>
      <c r="J557" s="4" t="s">
        <v>2357</v>
      </c>
      <c r="K557" s="6" t="str">
        <f aca="false">HYPERLINK("https://www.google.com/search?q=Gadsden+County+Public+Library+Quincy+FL+library+website","Search")</f>
        <v>Search</v>
      </c>
      <c r="L557" s="7"/>
      <c r="M557" s="7"/>
    </row>
    <row r="558" customFormat="false" ht="15" hidden="false" customHeight="true" outlineLevel="0" collapsed="false">
      <c r="A558" s="4" t="s">
        <v>2281</v>
      </c>
      <c r="B558" s="4" t="s">
        <v>2358</v>
      </c>
      <c r="C558" s="4" t="s">
        <v>2359</v>
      </c>
      <c r="D558" s="4" t="s">
        <v>2360</v>
      </c>
      <c r="E558" s="5" t="n">
        <v>212643</v>
      </c>
      <c r="F558" s="4" t="n">
        <v>7</v>
      </c>
      <c r="G558" s="4" t="s">
        <v>2361</v>
      </c>
      <c r="H558" s="4" t="n">
        <v>27.49496</v>
      </c>
      <c r="I558" s="4" t="n">
        <v>-81.44379</v>
      </c>
      <c r="J558" s="4" t="s">
        <v>2362</v>
      </c>
      <c r="K558" s="6" t="str">
        <f aca="false">HYPERLINK("https://www.google.com/search?q=Heartland+Library+Cooperative+Sebring+FL+library+website","Search")</f>
        <v>Search</v>
      </c>
      <c r="L558" s="7"/>
      <c r="M558" s="7"/>
    </row>
    <row r="559" customFormat="false" ht="15" hidden="false" customHeight="true" outlineLevel="0" collapsed="false">
      <c r="A559" s="4" t="s">
        <v>2281</v>
      </c>
      <c r="B559" s="4" t="s">
        <v>2363</v>
      </c>
      <c r="C559" s="4" t="s">
        <v>2364</v>
      </c>
      <c r="D559" s="4" t="s">
        <v>2308</v>
      </c>
      <c r="E559" s="5" t="n">
        <v>92628</v>
      </c>
      <c r="F559" s="4" t="n">
        <v>1</v>
      </c>
      <c r="G559" s="4" t="s">
        <v>2365</v>
      </c>
      <c r="H559" s="4" t="n">
        <v>26.12863</v>
      </c>
      <c r="I559" s="4" t="n">
        <v>-80.22768</v>
      </c>
      <c r="J559" s="4" t="s">
        <v>2366</v>
      </c>
      <c r="K559" s="6" t="str">
        <f aca="false">HYPERLINK("https://www.google.com/search?q=Helen+B.+Hoffman+Plantation+Library+Plantation+FL+library+website","Search")</f>
        <v>Search</v>
      </c>
      <c r="L559" s="7"/>
      <c r="M559" s="7"/>
    </row>
    <row r="560" customFormat="false" ht="15" hidden="false" customHeight="true" outlineLevel="0" collapsed="false">
      <c r="A560" s="4" t="s">
        <v>2281</v>
      </c>
      <c r="B560" s="4" t="s">
        <v>2367</v>
      </c>
      <c r="C560" s="4" t="s">
        <v>2368</v>
      </c>
      <c r="D560" s="4" t="s">
        <v>2369</v>
      </c>
      <c r="E560" s="5" t="n">
        <v>40540</v>
      </c>
      <c r="F560" s="4" t="n">
        <v>3</v>
      </c>
      <c r="G560" s="4" t="s">
        <v>2370</v>
      </c>
      <c r="H560" s="4" t="n">
        <v>26.75576</v>
      </c>
      <c r="I560" s="4" t="n">
        <v>-80.93414</v>
      </c>
      <c r="J560" s="4" t="s">
        <v>2371</v>
      </c>
      <c r="K560" s="6" t="str">
        <f aca="false">HYPERLINK("https://www.google.com/search?q=Hendry+County+Library+System+Clewiston+FL+library+website","Search")</f>
        <v>Search</v>
      </c>
      <c r="L560" s="7"/>
      <c r="M560" s="7"/>
    </row>
    <row r="561" customFormat="false" ht="15" hidden="false" customHeight="true" outlineLevel="0" collapsed="false">
      <c r="A561" s="4" t="s">
        <v>2281</v>
      </c>
      <c r="B561" s="4" t="s">
        <v>2372</v>
      </c>
      <c r="C561" s="4" t="s">
        <v>2373</v>
      </c>
      <c r="D561" s="4" t="s">
        <v>2374</v>
      </c>
      <c r="E561" s="5" t="n">
        <v>196540</v>
      </c>
      <c r="F561" s="4" t="n">
        <v>4</v>
      </c>
      <c r="G561" s="4" t="s">
        <v>2375</v>
      </c>
      <c r="H561" s="4" t="n">
        <v>28.55696</v>
      </c>
      <c r="I561" s="4" t="n">
        <v>-82.38752</v>
      </c>
      <c r="J561" s="4" t="s">
        <v>2376</v>
      </c>
      <c r="K561" s="6" t="str">
        <f aca="false">HYPERLINK("https://www.google.com/search?q=Hernando+County+Public+Library+System+Brooksville+FL+library+website","Search")</f>
        <v>Search</v>
      </c>
      <c r="L561" s="7"/>
      <c r="M561" s="7"/>
    </row>
    <row r="562" customFormat="false" ht="15" hidden="false" customHeight="true" outlineLevel="0" collapsed="false">
      <c r="A562" s="4" t="s">
        <v>2281</v>
      </c>
      <c r="B562" s="4" t="s">
        <v>2377</v>
      </c>
      <c r="C562" s="4" t="s">
        <v>2378</v>
      </c>
      <c r="D562" s="4" t="s">
        <v>2303</v>
      </c>
      <c r="E562" s="5" t="n">
        <v>225493</v>
      </c>
      <c r="F562" s="4" t="n">
        <v>6</v>
      </c>
      <c r="G562" s="4" t="s">
        <v>2379</v>
      </c>
      <c r="H562" s="4" t="n">
        <v>25.86679</v>
      </c>
      <c r="I562" s="4" t="n">
        <v>-80.28372</v>
      </c>
      <c r="J562" s="4" t="s">
        <v>2380</v>
      </c>
      <c r="K562" s="6" t="str">
        <f aca="false">HYPERLINK("https://www.google.com/search?q=Hialeah+Public+Libraries+Hialeah+FL+library+website","Search")</f>
        <v>Search</v>
      </c>
      <c r="L562" s="7"/>
      <c r="M562" s="7"/>
    </row>
    <row r="563" customFormat="false" ht="15" hidden="false" customHeight="true" outlineLevel="0" collapsed="false">
      <c r="A563" s="4" t="s">
        <v>2281</v>
      </c>
      <c r="B563" s="4" t="s">
        <v>2381</v>
      </c>
      <c r="C563" s="4" t="s">
        <v>2382</v>
      </c>
      <c r="D563" s="4" t="s">
        <v>2383</v>
      </c>
      <c r="E563" s="5" t="n">
        <v>1490374</v>
      </c>
      <c r="F563" s="4" t="n">
        <v>29</v>
      </c>
      <c r="G563" s="4" t="s">
        <v>2384</v>
      </c>
      <c r="H563" s="4" t="n">
        <v>27.95122</v>
      </c>
      <c r="I563" s="4" t="n">
        <v>-82.46165</v>
      </c>
      <c r="J563" s="4" t="s">
        <v>2385</v>
      </c>
      <c r="K563" s="6" t="str">
        <f aca="false">HYPERLINK("https://www.google.com/search?q=Hillsborough+County+Public+Library+Cooperative+Tampa+FL+library+website","Search")</f>
        <v>Search</v>
      </c>
      <c r="L563" s="7"/>
      <c r="M563" s="8" t="str">
        <f aca="false">HYPERLINK("https://hcplc.overdrive.com","https://hcplc.overdrive.com")</f>
        <v>https://hcplc.overdrive.com</v>
      </c>
    </row>
    <row r="564" customFormat="false" ht="15" hidden="false" customHeight="true" outlineLevel="0" collapsed="false">
      <c r="A564" s="4" t="s">
        <v>2281</v>
      </c>
      <c r="B564" s="4" t="s">
        <v>2386</v>
      </c>
      <c r="C564" s="4" t="s">
        <v>2387</v>
      </c>
      <c r="D564" s="4" t="s">
        <v>2303</v>
      </c>
      <c r="E564" s="5" t="n">
        <v>83012</v>
      </c>
      <c r="F564" s="4" t="n">
        <v>1</v>
      </c>
      <c r="G564" s="4" t="s">
        <v>2388</v>
      </c>
      <c r="H564" s="4" t="n">
        <v>25.46979</v>
      </c>
      <c r="I564" s="4" t="n">
        <v>-80.47903</v>
      </c>
      <c r="J564" s="4" t="s">
        <v>2389</v>
      </c>
      <c r="K564" s="6" t="str">
        <f aca="false">HYPERLINK("https://www.google.com/search?q=Homestead+Cybrarium+Homestead+FL+library+website","Search")</f>
        <v>Search</v>
      </c>
      <c r="L564" s="7"/>
      <c r="M564" s="7"/>
    </row>
    <row r="565" customFormat="false" ht="15" hidden="false" customHeight="true" outlineLevel="0" collapsed="false">
      <c r="A565" s="4" t="s">
        <v>2281</v>
      </c>
      <c r="B565" s="4" t="s">
        <v>2390</v>
      </c>
      <c r="C565" s="4" t="s">
        <v>2391</v>
      </c>
      <c r="D565" s="4" t="s">
        <v>2392</v>
      </c>
      <c r="E565" s="5" t="n">
        <v>161702</v>
      </c>
      <c r="F565" s="4" t="n">
        <v>5</v>
      </c>
      <c r="G565" s="4" t="s">
        <v>2393</v>
      </c>
      <c r="H565" s="4" t="n">
        <v>27.63985</v>
      </c>
      <c r="I565" s="4" t="n">
        <v>-80.40192</v>
      </c>
      <c r="J565" s="4" t="s">
        <v>2394</v>
      </c>
      <c r="K565" s="6" t="str">
        <f aca="false">HYPERLINK("https://www.google.com/search?q=Indian+River+County+Library+Vero+Beach+FL+library+website","Search")</f>
        <v>Search</v>
      </c>
      <c r="L565" s="7"/>
      <c r="M565" s="8" t="str">
        <f aca="false">HYPERLINK("https://irclibrary.overdrive.com","https://irclibrary.overdrive.com")</f>
        <v>https://irclibrary.overdrive.com</v>
      </c>
    </row>
    <row r="566" customFormat="false" ht="15" hidden="false" customHeight="true" outlineLevel="0" collapsed="false">
      <c r="A566" s="4" t="s">
        <v>2281</v>
      </c>
      <c r="B566" s="4" t="s">
        <v>268</v>
      </c>
      <c r="C566" s="4" t="s">
        <v>269</v>
      </c>
      <c r="D566" s="4" t="s">
        <v>2395</v>
      </c>
      <c r="E566" s="5" t="n">
        <v>1016809</v>
      </c>
      <c r="F566" s="4" t="n">
        <v>21</v>
      </c>
      <c r="G566" s="4" t="s">
        <v>2396</v>
      </c>
      <c r="H566" s="4" t="n">
        <v>30.32927</v>
      </c>
      <c r="I566" s="4" t="n">
        <v>-81.65867</v>
      </c>
      <c r="J566" s="4" t="s">
        <v>2397</v>
      </c>
      <c r="K566" s="6" t="str">
        <f aca="false">HYPERLINK("https://www.google.com/search?q=Jacksonville+Public+Library+Jacksonville+FL+library+website","Search")</f>
        <v>Search</v>
      </c>
      <c r="L566" s="7"/>
      <c r="M566" s="7"/>
    </row>
    <row r="567" customFormat="false" ht="15" hidden="false" customHeight="true" outlineLevel="0" collapsed="false">
      <c r="A567" s="4" t="s">
        <v>2281</v>
      </c>
      <c r="B567" s="4" t="s">
        <v>2398</v>
      </c>
      <c r="C567" s="4" t="s">
        <v>2399</v>
      </c>
      <c r="D567" s="4" t="s">
        <v>1118</v>
      </c>
      <c r="E567" s="5" t="n">
        <v>401523</v>
      </c>
      <c r="F567" s="4" t="n">
        <v>16</v>
      </c>
      <c r="G567" s="4" t="s">
        <v>2400</v>
      </c>
      <c r="H567" s="4" t="n">
        <v>28.78956</v>
      </c>
      <c r="I567" s="4" t="n">
        <v>-81.75303</v>
      </c>
      <c r="J567" s="4" t="s">
        <v>2401</v>
      </c>
      <c r="K567" s="6" t="str">
        <f aca="false">HYPERLINK("https://www.google.com/search?q=Lake+County+Library+System+Tavares+FL+library+website","Search")</f>
        <v>Search</v>
      </c>
      <c r="L567" s="7"/>
      <c r="M567" s="7"/>
    </row>
    <row r="568" customFormat="false" ht="15" hidden="false" customHeight="true" outlineLevel="0" collapsed="false">
      <c r="A568" s="4" t="s">
        <v>2281</v>
      </c>
      <c r="B568" s="4" t="s">
        <v>2402</v>
      </c>
      <c r="C568" s="4" t="s">
        <v>2403</v>
      </c>
      <c r="D568" s="4" t="s">
        <v>2289</v>
      </c>
      <c r="E568" s="5" t="n">
        <v>42572</v>
      </c>
      <c r="F568" s="4" t="n">
        <v>1</v>
      </c>
      <c r="G568" s="4" t="s">
        <v>2404</v>
      </c>
      <c r="H568" s="4" t="n">
        <v>26.61631</v>
      </c>
      <c r="I568" s="4" t="n">
        <v>-80.05341</v>
      </c>
      <c r="J568" s="4" t="s">
        <v>2405</v>
      </c>
      <c r="K568" s="6" t="str">
        <f aca="false">HYPERLINK("https://www.google.com/search?q=Lake+Worth+Beach+Public+Library+Lake+Worth+FL+library+website","Search")</f>
        <v>Search</v>
      </c>
      <c r="L568" s="7"/>
      <c r="M568" s="7"/>
    </row>
    <row r="569" customFormat="false" ht="15" hidden="false" customHeight="true" outlineLevel="0" collapsed="false">
      <c r="A569" s="4" t="s">
        <v>2281</v>
      </c>
      <c r="B569" s="4" t="s">
        <v>2406</v>
      </c>
      <c r="C569" s="4" t="s">
        <v>2407</v>
      </c>
      <c r="D569" s="4" t="s">
        <v>2289</v>
      </c>
      <c r="E569" s="5" t="n">
        <v>11579</v>
      </c>
      <c r="F569" s="4" t="n">
        <v>1</v>
      </c>
      <c r="G569" s="4" t="s">
        <v>2408</v>
      </c>
      <c r="H569" s="4" t="n">
        <v>26.58447</v>
      </c>
      <c r="I569" s="4" t="n">
        <v>-80.05286</v>
      </c>
      <c r="J569" s="4" t="s">
        <v>2409</v>
      </c>
      <c r="K569" s="6" t="str">
        <f aca="false">HYPERLINK("https://www.google.com/search?q=Lantana+Public+Library+Lantana+FL+library+website","Search")</f>
        <v>Search</v>
      </c>
      <c r="L569" s="7"/>
      <c r="M569" s="7"/>
    </row>
    <row r="570" customFormat="false" ht="15" hidden="false" customHeight="true" outlineLevel="0" collapsed="false">
      <c r="A570" s="4" t="s">
        <v>2281</v>
      </c>
      <c r="B570" s="4" t="s">
        <v>2410</v>
      </c>
      <c r="C570" s="4" t="s">
        <v>2411</v>
      </c>
      <c r="D570" s="4" t="s">
        <v>83</v>
      </c>
      <c r="E570" s="5" t="n">
        <v>782579</v>
      </c>
      <c r="F570" s="4" t="n">
        <v>14</v>
      </c>
      <c r="G570" s="4" t="s">
        <v>2412</v>
      </c>
      <c r="H570" s="4" t="n">
        <v>26.63862</v>
      </c>
      <c r="I570" s="4" t="n">
        <v>-81.86549</v>
      </c>
      <c r="J570" s="4" t="s">
        <v>2413</v>
      </c>
      <c r="K570" s="6" t="str">
        <f aca="false">HYPERLINK("https://www.google.com/search?q=Lee+County+Library+System+Fort+Myers+FL+library+website","Search")</f>
        <v>Search</v>
      </c>
      <c r="L570" s="7"/>
      <c r="M570" s="7"/>
    </row>
    <row r="571" customFormat="false" ht="15" hidden="false" customHeight="true" outlineLevel="0" collapsed="false">
      <c r="A571" s="4" t="s">
        <v>2281</v>
      </c>
      <c r="B571" s="4" t="s">
        <v>2414</v>
      </c>
      <c r="C571" s="4" t="s">
        <v>2415</v>
      </c>
      <c r="D571" s="4" t="s">
        <v>2416</v>
      </c>
      <c r="E571" s="5" t="n">
        <v>295921</v>
      </c>
      <c r="F571" s="4" t="n">
        <v>7</v>
      </c>
      <c r="G571" s="4" t="s">
        <v>2417</v>
      </c>
      <c r="H571" s="4" t="n">
        <v>30.44227</v>
      </c>
      <c r="I571" s="4" t="n">
        <v>-84.28376</v>
      </c>
      <c r="J571" s="4" t="s">
        <v>2418</v>
      </c>
      <c r="K571" s="6" t="str">
        <f aca="false">HYPERLINK("https://www.google.com/search?q=Leroy+Collins+Leon+County+Public+Library+Syst+Tallahassee+FL+library+website","Search")</f>
        <v>Search</v>
      </c>
      <c r="L571" s="7"/>
      <c r="M571" s="7"/>
    </row>
    <row r="572" customFormat="false" ht="15" hidden="false" customHeight="true" outlineLevel="0" collapsed="false">
      <c r="A572" s="4" t="s">
        <v>2281</v>
      </c>
      <c r="B572" s="4" t="s">
        <v>2419</v>
      </c>
      <c r="C572" s="4" t="s">
        <v>2420</v>
      </c>
      <c r="D572" s="4" t="s">
        <v>885</v>
      </c>
      <c r="E572" s="5" t="n">
        <v>19545</v>
      </c>
      <c r="F572" s="4" t="n">
        <v>1</v>
      </c>
      <c r="G572" s="4" t="s">
        <v>2421</v>
      </c>
      <c r="H572" s="4" t="n">
        <v>28.62357</v>
      </c>
      <c r="I572" s="4" t="n">
        <v>-81.3656</v>
      </c>
      <c r="J572" s="4" t="s">
        <v>2422</v>
      </c>
      <c r="K572" s="6" t="str">
        <f aca="false">HYPERLINK("https://www.google.com/search?q=Maitland+Public+Library+Maitland+FL+library+website","Search")</f>
        <v>Search</v>
      </c>
      <c r="L572" s="7"/>
      <c r="M572" s="7"/>
    </row>
    <row r="573" customFormat="false" ht="15" hidden="false" customHeight="true" outlineLevel="0" collapsed="false">
      <c r="A573" s="4" t="s">
        <v>2281</v>
      </c>
      <c r="B573" s="4" t="s">
        <v>2423</v>
      </c>
      <c r="C573" s="4" t="s">
        <v>2424</v>
      </c>
      <c r="D573" s="4" t="s">
        <v>2425</v>
      </c>
      <c r="E573" s="5" t="n">
        <v>411209</v>
      </c>
      <c r="F573" s="4" t="n">
        <v>7</v>
      </c>
      <c r="G573" s="4" t="s">
        <v>2426</v>
      </c>
      <c r="H573" s="4" t="n">
        <v>27.49908</v>
      </c>
      <c r="I573" s="4" t="n">
        <v>-82.5741</v>
      </c>
      <c r="J573" s="4" t="s">
        <v>2427</v>
      </c>
      <c r="K573" s="6" t="str">
        <f aca="false">HYPERLINK("https://www.google.com/search?q=Manatee+County+Public+Library+System+Bradenton+FL+library+website","Search")</f>
        <v>Search</v>
      </c>
      <c r="L573" s="7"/>
      <c r="M573" s="8" t="str">
        <f aca="false">HYPERLINK("https://mymanatee.overdrive.com","https://mymanatee.overdrive.com")</f>
        <v>https://mymanatee.overdrive.com</v>
      </c>
    </row>
    <row r="574" customFormat="false" ht="15" hidden="false" customHeight="true" outlineLevel="0" collapsed="false">
      <c r="A574" s="4" t="s">
        <v>2281</v>
      </c>
      <c r="B574" s="4" t="s">
        <v>2428</v>
      </c>
      <c r="C574" s="4" t="s">
        <v>2429</v>
      </c>
      <c r="D574" s="4" t="s">
        <v>2289</v>
      </c>
      <c r="E574" s="5" t="n">
        <v>119255</v>
      </c>
      <c r="F574" s="4" t="n">
        <v>1</v>
      </c>
      <c r="G574" s="4" t="s">
        <v>2430</v>
      </c>
      <c r="H574" s="4" t="n">
        <v>26.7134</v>
      </c>
      <c r="I574" s="4" t="n">
        <v>-80.05446</v>
      </c>
      <c r="J574" s="4" t="s">
        <v>2431</v>
      </c>
      <c r="K574" s="6" t="str">
        <f aca="false">HYPERLINK("https://www.google.com/search?q=Mandel+Public+Library+Of+West+Palm+Beach+West+Palm+Beach+FL+library+website","Search")</f>
        <v>Search</v>
      </c>
      <c r="L574" s="7"/>
      <c r="M574" s="7"/>
    </row>
    <row r="575" customFormat="false" ht="15" hidden="false" customHeight="true" outlineLevel="0" collapsed="false">
      <c r="A575" s="4" t="s">
        <v>2281</v>
      </c>
      <c r="B575" s="4" t="s">
        <v>2432</v>
      </c>
      <c r="C575" s="4" t="s">
        <v>2433</v>
      </c>
      <c r="D575" s="4" t="s">
        <v>572</v>
      </c>
      <c r="E575" s="5" t="n">
        <v>381176</v>
      </c>
      <c r="F575" s="4" t="n">
        <v>8</v>
      </c>
      <c r="G575" s="4" t="s">
        <v>2434</v>
      </c>
      <c r="H575" s="4" t="n">
        <v>29.1884</v>
      </c>
      <c r="I575" s="4" t="n">
        <v>-82.10066</v>
      </c>
      <c r="J575" s="4" t="s">
        <v>2435</v>
      </c>
      <c r="K575" s="6" t="str">
        <f aca="false">HYPERLINK("https://www.google.com/search?q=Marion+County+Public+Library+System+Ocala+FL+library+website","Search")</f>
        <v>Search</v>
      </c>
      <c r="L575" s="7"/>
      <c r="M575" s="7"/>
    </row>
    <row r="576" customFormat="false" ht="15" hidden="false" customHeight="true" outlineLevel="0" collapsed="false">
      <c r="A576" s="4" t="s">
        <v>2281</v>
      </c>
      <c r="B576" s="4" t="s">
        <v>2436</v>
      </c>
      <c r="C576" s="4" t="s">
        <v>2437</v>
      </c>
      <c r="D576" s="4" t="s">
        <v>2438</v>
      </c>
      <c r="E576" s="5" t="n">
        <v>159053</v>
      </c>
      <c r="F576" s="4" t="n">
        <v>6</v>
      </c>
      <c r="G576" s="4" t="s">
        <v>2439</v>
      </c>
      <c r="H576" s="4" t="n">
        <v>27.19469</v>
      </c>
      <c r="I576" s="4" t="n">
        <v>-80.22414</v>
      </c>
      <c r="J576" s="4" t="s">
        <v>2440</v>
      </c>
      <c r="K576" s="6" t="str">
        <f aca="false">HYPERLINK("https://www.google.com/search?q=Martin+County+Library+System+Stuart+FL+library+website","Search")</f>
        <v>Search</v>
      </c>
      <c r="L576" s="7"/>
      <c r="M576" s="7"/>
    </row>
    <row r="577" customFormat="false" ht="15" hidden="false" customHeight="true" outlineLevel="0" collapsed="false">
      <c r="A577" s="4" t="s">
        <v>2281</v>
      </c>
      <c r="B577" s="4" t="s">
        <v>2441</v>
      </c>
      <c r="C577" s="4" t="s">
        <v>2442</v>
      </c>
      <c r="D577" s="4" t="s">
        <v>2303</v>
      </c>
      <c r="E577" s="5" t="n">
        <v>2376322</v>
      </c>
      <c r="F577" s="4" t="n">
        <v>50</v>
      </c>
      <c r="G577" s="4" t="s">
        <v>2443</v>
      </c>
      <c r="H577" s="4" t="n">
        <v>25.77405</v>
      </c>
      <c r="I577" s="4" t="n">
        <v>-80.19689</v>
      </c>
      <c r="J577" s="4" t="s">
        <v>2444</v>
      </c>
      <c r="K577" s="6" t="str">
        <f aca="false">HYPERLINK("https://www.google.com/search?q=Miami-Dade+Public+Library+System+Miami+FL+library+website","Search")</f>
        <v>Search</v>
      </c>
      <c r="L577" s="7"/>
      <c r="M577" s="8" t="str">
        <f aca="false">HYPERLINK("https://mdpls.overdrive.com","https://mdpls.overdrive.com")</f>
        <v>https://mdpls.overdrive.com</v>
      </c>
    </row>
    <row r="578" customFormat="false" ht="15" hidden="false" customHeight="true" outlineLevel="0" collapsed="false">
      <c r="A578" s="4" t="s">
        <v>2281</v>
      </c>
      <c r="B578" s="4" t="s">
        <v>2445</v>
      </c>
      <c r="C578" s="4" t="s">
        <v>2446</v>
      </c>
      <c r="D578" s="4" t="s">
        <v>311</v>
      </c>
      <c r="E578" s="5" t="n">
        <v>83411</v>
      </c>
      <c r="F578" s="4" t="n">
        <v>5</v>
      </c>
      <c r="G578" s="4" t="s">
        <v>2447</v>
      </c>
      <c r="H578" s="4" t="n">
        <v>24.55746</v>
      </c>
      <c r="I578" s="4" t="n">
        <v>-81.79997</v>
      </c>
      <c r="J578" s="4" t="s">
        <v>2448</v>
      </c>
      <c r="K578" s="6" t="str">
        <f aca="false">HYPERLINK("https://www.google.com/search?q=Monroe+County+Public+Library+System+Key+West+FL+library+website","Search")</f>
        <v>Search</v>
      </c>
      <c r="L578" s="7"/>
      <c r="M578" s="7"/>
    </row>
    <row r="579" customFormat="false" ht="15" hidden="false" customHeight="true" outlineLevel="0" collapsed="false">
      <c r="A579" s="4" t="s">
        <v>2281</v>
      </c>
      <c r="B579" s="4" t="s">
        <v>2449</v>
      </c>
      <c r="C579" s="4" t="s">
        <v>2450</v>
      </c>
      <c r="D579" s="4" t="s">
        <v>2451</v>
      </c>
      <c r="E579" s="5" t="n">
        <v>93012</v>
      </c>
      <c r="F579" s="4" t="n">
        <v>5</v>
      </c>
      <c r="G579" s="4" t="s">
        <v>2452</v>
      </c>
      <c r="H579" s="4" t="n">
        <v>30.67199</v>
      </c>
      <c r="I579" s="4" t="n">
        <v>-81.46199</v>
      </c>
      <c r="J579" s="4" t="s">
        <v>2453</v>
      </c>
      <c r="K579" s="6" t="str">
        <f aca="false">HYPERLINK("https://www.google.com/search?q=Nassau+County+Public+Library+System+Fernandina+Beach+FL+library+website","Search")</f>
        <v>Search</v>
      </c>
      <c r="L579" s="7"/>
      <c r="M579" s="7"/>
    </row>
    <row r="580" customFormat="false" ht="15" hidden="false" customHeight="true" outlineLevel="0" collapsed="false">
      <c r="A580" s="4" t="s">
        <v>2281</v>
      </c>
      <c r="B580" s="4" t="s">
        <v>2454</v>
      </c>
      <c r="C580" s="4" t="s">
        <v>2455</v>
      </c>
      <c r="D580" s="4" t="s">
        <v>2456</v>
      </c>
      <c r="E580" s="5" t="n">
        <v>16812</v>
      </c>
      <c r="F580" s="4" t="n">
        <v>1</v>
      </c>
      <c r="G580" s="4" t="s">
        <v>2457</v>
      </c>
      <c r="H580" s="4" t="n">
        <v>28.25022</v>
      </c>
      <c r="I580" s="4" t="n">
        <v>-82.71587</v>
      </c>
      <c r="J580" s="4" t="s">
        <v>2458</v>
      </c>
      <c r="K580" s="6" t="str">
        <f aca="false">HYPERLINK("https://www.google.com/search?q=New+Port+Richey+Public+Library+New+Port+Richey+FL+library+website","Search")</f>
        <v>Search</v>
      </c>
      <c r="L580" s="7"/>
      <c r="M580" s="7"/>
    </row>
    <row r="581" customFormat="false" ht="15" hidden="false" customHeight="true" outlineLevel="0" collapsed="false">
      <c r="A581" s="4" t="s">
        <v>2281</v>
      </c>
      <c r="B581" s="4" t="s">
        <v>2459</v>
      </c>
      <c r="C581" s="4" t="s">
        <v>2460</v>
      </c>
      <c r="D581" s="4" t="s">
        <v>467</v>
      </c>
      <c r="E581" s="5" t="n">
        <v>72446</v>
      </c>
      <c r="F581" s="4" t="n">
        <v>3</v>
      </c>
      <c r="G581" s="4" t="s">
        <v>2461</v>
      </c>
      <c r="H581" s="4" t="n">
        <v>30.02409</v>
      </c>
      <c r="I581" s="4" t="n">
        <v>-82.33819</v>
      </c>
      <c r="J581" s="4" t="s">
        <v>2462</v>
      </c>
      <c r="K581" s="6" t="str">
        <f aca="false">HYPERLINK("https://www.google.com/search?q=New+River+Public+Library+Cooperative+Lake+Butler+FL+library+website","Search")</f>
        <v>Search</v>
      </c>
      <c r="L581" s="7"/>
      <c r="M581" s="7"/>
    </row>
    <row r="582" customFormat="false" ht="15" hidden="false" customHeight="true" outlineLevel="0" collapsed="false">
      <c r="A582" s="4" t="s">
        <v>2281</v>
      </c>
      <c r="B582" s="4" t="s">
        <v>2463</v>
      </c>
      <c r="C582" s="4" t="s">
        <v>2464</v>
      </c>
      <c r="D582" s="4" t="s">
        <v>2303</v>
      </c>
      <c r="E582" s="5" t="n">
        <v>43749</v>
      </c>
      <c r="F582" s="4" t="n">
        <v>1</v>
      </c>
      <c r="G582" s="4" t="s">
        <v>2465</v>
      </c>
      <c r="H582" s="4" t="n">
        <v>25.9269</v>
      </c>
      <c r="I582" s="4" t="n">
        <v>-80.16773</v>
      </c>
      <c r="J582" s="4" t="s">
        <v>2466</v>
      </c>
      <c r="K582" s="6" t="str">
        <f aca="false">HYPERLINK("https://www.google.com/search?q=North+Miami+Beach+Public+Library+North+Miami+Beach+FL+library+website","Search")</f>
        <v>Search</v>
      </c>
      <c r="L582" s="7"/>
      <c r="M582" s="7"/>
    </row>
    <row r="583" customFormat="false" ht="15" hidden="false" customHeight="true" outlineLevel="0" collapsed="false">
      <c r="A583" s="4" t="s">
        <v>2281</v>
      </c>
      <c r="B583" s="4" t="s">
        <v>2467</v>
      </c>
      <c r="C583" s="4" t="s">
        <v>2468</v>
      </c>
      <c r="D583" s="4" t="s">
        <v>2303</v>
      </c>
      <c r="E583" s="5" t="n">
        <v>60175</v>
      </c>
      <c r="F583" s="4" t="n">
        <v>1</v>
      </c>
      <c r="G583" s="4" t="s">
        <v>2469</v>
      </c>
      <c r="H583" s="4" t="n">
        <v>25.8969</v>
      </c>
      <c r="I583" s="4" t="n">
        <v>-80.18185</v>
      </c>
      <c r="J583" s="4" t="s">
        <v>2470</v>
      </c>
      <c r="K583" s="6" t="str">
        <f aca="false">HYPERLINK("https://www.google.com/search?q=North+Miami+Public+Library+North+Miami+FL+library+website","Search")</f>
        <v>Search</v>
      </c>
      <c r="L583" s="7"/>
      <c r="M583" s="7"/>
    </row>
    <row r="584" customFormat="false" ht="15" hidden="false" customHeight="true" outlineLevel="0" collapsed="false">
      <c r="A584" s="4" t="s">
        <v>2281</v>
      </c>
      <c r="B584" s="4" t="s">
        <v>2471</v>
      </c>
      <c r="C584" s="4" t="s">
        <v>2472</v>
      </c>
      <c r="D584" s="4" t="s">
        <v>2289</v>
      </c>
      <c r="E584" s="5" t="n">
        <v>13167</v>
      </c>
      <c r="F584" s="4" t="n">
        <v>1</v>
      </c>
      <c r="G584" s="4" t="s">
        <v>2473</v>
      </c>
      <c r="H584" s="4" t="n">
        <v>26.81031</v>
      </c>
      <c r="I584" s="4" t="n">
        <v>-80.05771</v>
      </c>
      <c r="J584" s="4" t="s">
        <v>2474</v>
      </c>
      <c r="K584" s="6" t="str">
        <f aca="false">HYPERLINK("https://www.google.com/search?q=North+Palm+Beach+Public+Library+North+Palm+Beach+FL+library+website","Search")</f>
        <v>Search</v>
      </c>
      <c r="L584" s="7"/>
      <c r="M584" s="7"/>
    </row>
    <row r="585" customFormat="false" ht="15" hidden="false" customHeight="true" outlineLevel="0" collapsed="false">
      <c r="A585" s="4" t="s">
        <v>2281</v>
      </c>
      <c r="B585" s="4" t="s">
        <v>2475</v>
      </c>
      <c r="C585" s="4" t="s">
        <v>2476</v>
      </c>
      <c r="D585" s="4" t="s">
        <v>2477</v>
      </c>
      <c r="E585" s="5" t="n">
        <v>200570</v>
      </c>
      <c r="F585" s="4" t="n">
        <v>7</v>
      </c>
      <c r="G585" s="4" t="s">
        <v>2478</v>
      </c>
      <c r="H585" s="4" t="n">
        <v>30.168</v>
      </c>
      <c r="I585" s="4" t="n">
        <v>-85.67281</v>
      </c>
      <c r="J585" s="4" t="s">
        <v>2479</v>
      </c>
      <c r="K585" s="6" t="str">
        <f aca="false">HYPERLINK("https://www.google.com/search?q=Northwest+Regional+Library+System+Panama+City+FL+library+website","Search")</f>
        <v>Search</v>
      </c>
      <c r="L585" s="7"/>
      <c r="M585" s="7"/>
    </row>
    <row r="586" customFormat="false" ht="15" hidden="false" customHeight="true" outlineLevel="0" collapsed="false">
      <c r="A586" s="4" t="s">
        <v>2281</v>
      </c>
      <c r="B586" s="4" t="s">
        <v>2480</v>
      </c>
      <c r="C586" s="4" t="s">
        <v>2481</v>
      </c>
      <c r="D586" s="4" t="s">
        <v>2482</v>
      </c>
      <c r="E586" s="5" t="n">
        <v>214497</v>
      </c>
      <c r="F586" s="4" t="n">
        <v>6</v>
      </c>
      <c r="G586" s="4" t="s">
        <v>2483</v>
      </c>
      <c r="H586" s="4" t="n">
        <v>30.52277</v>
      </c>
      <c r="I586" s="4" t="n">
        <v>-86.47647</v>
      </c>
      <c r="J586" s="4" t="s">
        <v>2484</v>
      </c>
      <c r="K586" s="6" t="str">
        <f aca="false">HYPERLINK("https://www.google.com/search?q=Okaloosa+County+Public+Library+Cooperative+Niceville+FL+library+website","Search")</f>
        <v>Search</v>
      </c>
      <c r="L586" s="7"/>
      <c r="M586" s="7"/>
    </row>
    <row r="587" customFormat="false" ht="15" hidden="false" customHeight="true" outlineLevel="0" collapsed="false">
      <c r="A587" s="4" t="s">
        <v>2281</v>
      </c>
      <c r="B587" s="4" t="s">
        <v>2485</v>
      </c>
      <c r="C587" s="4" t="s">
        <v>2486</v>
      </c>
      <c r="D587" s="4" t="s">
        <v>885</v>
      </c>
      <c r="E587" s="5" t="n">
        <v>1457940</v>
      </c>
      <c r="F587" s="4" t="n">
        <v>15</v>
      </c>
      <c r="G587" s="4" t="s">
        <v>2487</v>
      </c>
      <c r="H587" s="4" t="n">
        <v>28.54218</v>
      </c>
      <c r="I587" s="4" t="n">
        <v>-81.37625</v>
      </c>
      <c r="J587" s="4" t="s">
        <v>2488</v>
      </c>
      <c r="K587" s="6" t="str">
        <f aca="false">HYPERLINK("https://www.google.com/search?q=Orange+County+Library+District+Orlando+FL+library+website","Search")</f>
        <v>Search</v>
      </c>
      <c r="L587" s="7"/>
      <c r="M587" s="7"/>
    </row>
    <row r="588" customFormat="false" ht="15" hidden="false" customHeight="true" outlineLevel="0" collapsed="false">
      <c r="A588" s="4" t="s">
        <v>2281</v>
      </c>
      <c r="B588" s="4" t="s">
        <v>2489</v>
      </c>
      <c r="C588" s="4" t="s">
        <v>2490</v>
      </c>
      <c r="D588" s="4" t="s">
        <v>2491</v>
      </c>
      <c r="E588" s="5" t="n">
        <v>406460</v>
      </c>
      <c r="F588" s="4" t="n">
        <v>6</v>
      </c>
      <c r="G588" s="4" t="s">
        <v>2492</v>
      </c>
      <c r="H588" s="4" t="n">
        <v>28.29225</v>
      </c>
      <c r="I588" s="4" t="n">
        <v>-81.40419</v>
      </c>
      <c r="J588" s="4" t="s">
        <v>2493</v>
      </c>
      <c r="K588" s="6" t="str">
        <f aca="false">HYPERLINK("https://www.google.com/search?q=Osceola+Library+System+Kissimmee+FL+library+website","Search")</f>
        <v>Search</v>
      </c>
      <c r="L588" s="7"/>
      <c r="M588" s="7"/>
    </row>
    <row r="589" customFormat="false" ht="15" hidden="false" customHeight="true" outlineLevel="0" collapsed="false">
      <c r="A589" s="4" t="s">
        <v>2281</v>
      </c>
      <c r="B589" s="4" t="s">
        <v>2494</v>
      </c>
      <c r="C589" s="4" t="s">
        <v>2495</v>
      </c>
      <c r="D589" s="4" t="s">
        <v>2496</v>
      </c>
      <c r="E589" s="5" t="n">
        <v>401857</v>
      </c>
      <c r="F589" s="4" t="n">
        <v>23</v>
      </c>
      <c r="G589" s="4" t="s">
        <v>2497</v>
      </c>
      <c r="H589" s="4" t="n">
        <v>29.46333</v>
      </c>
      <c r="I589" s="4" t="n">
        <v>-82.64161</v>
      </c>
      <c r="J589" s="4" t="s">
        <v>2498</v>
      </c>
      <c r="K589" s="6" t="str">
        <f aca="false">HYPERLINK("https://www.google.com/search?q=Pal+Public+Library+Cooperative+Bronson+FL+library+website","Search")</f>
        <v>Search</v>
      </c>
      <c r="L589" s="7"/>
      <c r="M589" s="7"/>
    </row>
    <row r="590" customFormat="false" ht="15" hidden="false" customHeight="true" outlineLevel="0" collapsed="false">
      <c r="A590" s="4" t="s">
        <v>2281</v>
      </c>
      <c r="B590" s="4" t="s">
        <v>2499</v>
      </c>
      <c r="C590" s="4" t="s">
        <v>2429</v>
      </c>
      <c r="D590" s="4" t="s">
        <v>2289</v>
      </c>
      <c r="E590" s="5" t="n">
        <v>980671</v>
      </c>
      <c r="F590" s="4" t="n">
        <v>18</v>
      </c>
      <c r="G590" s="4" t="s">
        <v>2500</v>
      </c>
      <c r="H590" s="4" t="n">
        <v>26.66322</v>
      </c>
      <c r="I590" s="4" t="n">
        <v>-80.09886</v>
      </c>
      <c r="J590" s="4" t="s">
        <v>2501</v>
      </c>
      <c r="K590" s="6" t="str">
        <f aca="false">HYPERLINK("https://www.google.com/search?q=Palm+Beach+County+Library+System+West+Palm+Beach+FL+library+website","Search")</f>
        <v>Search</v>
      </c>
      <c r="L590" s="7"/>
      <c r="M590" s="7"/>
    </row>
    <row r="591" customFormat="false" ht="15" hidden="false" customHeight="true" outlineLevel="0" collapsed="false">
      <c r="A591" s="4" t="s">
        <v>2281</v>
      </c>
      <c r="B591" s="4" t="s">
        <v>1277</v>
      </c>
      <c r="C591" s="4" t="s">
        <v>1278</v>
      </c>
      <c r="D591" s="4" t="s">
        <v>2289</v>
      </c>
      <c r="E591" s="5" t="n">
        <v>26904</v>
      </c>
      <c r="F591" s="4" t="n">
        <v>1</v>
      </c>
      <c r="G591" s="4" t="s">
        <v>2502</v>
      </c>
      <c r="H591" s="4" t="n">
        <v>26.64058</v>
      </c>
      <c r="I591" s="4" t="n">
        <v>-80.096</v>
      </c>
      <c r="J591" s="4" t="s">
        <v>2503</v>
      </c>
      <c r="K591" s="6" t="str">
        <f aca="false">HYPERLINK("https://www.google.com/search?q=Palm+Springs+Public+Library+Palm+Springs+FL+library+website","Search")</f>
        <v>Search</v>
      </c>
      <c r="L591" s="7"/>
      <c r="M591" s="7"/>
    </row>
    <row r="592" customFormat="false" ht="15" hidden="false" customHeight="true" outlineLevel="0" collapsed="false">
      <c r="A592" s="4" t="s">
        <v>2281</v>
      </c>
      <c r="B592" s="4" t="s">
        <v>2504</v>
      </c>
      <c r="C592" s="4" t="s">
        <v>2505</v>
      </c>
      <c r="D592" s="4" t="s">
        <v>389</v>
      </c>
      <c r="E592" s="5" t="n">
        <v>80546</v>
      </c>
      <c r="F592" s="4" t="n">
        <v>9</v>
      </c>
      <c r="G592" s="4" t="s">
        <v>2506</v>
      </c>
      <c r="H592" s="4" t="n">
        <v>30.77389</v>
      </c>
      <c r="I592" s="4" t="n">
        <v>-85.22194</v>
      </c>
      <c r="J592" s="4" t="s">
        <v>2507</v>
      </c>
      <c r="K592" s="6" t="str">
        <f aca="false">HYPERLINK("https://www.google.com/search?q=Panhandle+Public+Library+Cooperative+System+Marianna+FL+library+website","Search")</f>
        <v>Search</v>
      </c>
      <c r="L592" s="7"/>
      <c r="M592" s="7"/>
    </row>
    <row r="593" customFormat="false" ht="15" hidden="false" customHeight="true" outlineLevel="0" collapsed="false">
      <c r="A593" s="4" t="s">
        <v>2281</v>
      </c>
      <c r="B593" s="4" t="s">
        <v>2508</v>
      </c>
      <c r="C593" s="4" t="s">
        <v>2509</v>
      </c>
      <c r="D593" s="4" t="s">
        <v>2308</v>
      </c>
      <c r="E593" s="5" t="n">
        <v>35440</v>
      </c>
      <c r="F593" s="4" t="n">
        <v>1</v>
      </c>
      <c r="G593" s="4" t="s">
        <v>2510</v>
      </c>
      <c r="H593" s="4" t="n">
        <v>26.31192</v>
      </c>
      <c r="I593" s="4" t="n">
        <v>-80.2529</v>
      </c>
      <c r="J593" s="4" t="s">
        <v>2511</v>
      </c>
      <c r="K593" s="6" t="str">
        <f aca="false">HYPERLINK("https://www.google.com/search?q=Parkland+Library+Parkland+FL+library+website","Search")</f>
        <v>Search</v>
      </c>
      <c r="L593" s="7"/>
      <c r="M593" s="7"/>
    </row>
    <row r="594" customFormat="false" ht="15" hidden="false" customHeight="true" outlineLevel="0" collapsed="false">
      <c r="A594" s="4" t="s">
        <v>2281</v>
      </c>
      <c r="B594" s="4" t="s">
        <v>2512</v>
      </c>
      <c r="C594" s="4" t="s">
        <v>2513</v>
      </c>
      <c r="D594" s="4" t="s">
        <v>2456</v>
      </c>
      <c r="E594" s="5" t="n">
        <v>576867</v>
      </c>
      <c r="F594" s="4" t="n">
        <v>9</v>
      </c>
      <c r="G594" s="4" t="s">
        <v>2514</v>
      </c>
      <c r="H594" s="4" t="n">
        <v>28.35454</v>
      </c>
      <c r="I594" s="4" t="n">
        <v>-82.68229</v>
      </c>
      <c r="J594" s="4" t="s">
        <v>2515</v>
      </c>
      <c r="K594" s="6" t="str">
        <f aca="false">HYPERLINK("https://www.google.com/search?q=Pasco+County+Public+Library+Cooperative+Hudson+FL+library+website","Search")</f>
        <v>Search</v>
      </c>
      <c r="L594" s="7"/>
      <c r="M594" s="7"/>
    </row>
    <row r="595" customFormat="false" ht="15" hidden="false" customHeight="true" outlineLevel="0" collapsed="false">
      <c r="A595" s="4" t="s">
        <v>2281</v>
      </c>
      <c r="B595" s="4" t="s">
        <v>2516</v>
      </c>
      <c r="C595" s="4" t="s">
        <v>2517</v>
      </c>
      <c r="D595" s="4" t="s">
        <v>2518</v>
      </c>
      <c r="E595" s="5" t="n">
        <v>960794</v>
      </c>
      <c r="F595" s="4" t="n">
        <v>25</v>
      </c>
      <c r="G595" s="4" t="s">
        <v>2519</v>
      </c>
      <c r="H595" s="4" t="n">
        <v>27.96568</v>
      </c>
      <c r="I595" s="4" t="n">
        <v>-82.7818</v>
      </c>
      <c r="J595" s="4" t="s">
        <v>2520</v>
      </c>
      <c r="K595" s="6" t="str">
        <f aca="false">HYPERLINK("https://www.google.com/search?q=Pinellas+Public+Library+Cooperative+Clearwater+FL+library+website","Search")</f>
        <v>Search</v>
      </c>
      <c r="L595" s="7"/>
      <c r="M595" s="8" t="str">
        <f aca="false">HYPERLINK("https://pplc.overdrive.com","https://pplc.overdrive.com")</f>
        <v>https://pplc.overdrive.com</v>
      </c>
    </row>
    <row r="596" customFormat="false" ht="15" hidden="false" customHeight="true" outlineLevel="0" collapsed="false">
      <c r="A596" s="4" t="s">
        <v>2281</v>
      </c>
      <c r="B596" s="4" t="s">
        <v>2521</v>
      </c>
      <c r="C596" s="4" t="s">
        <v>2522</v>
      </c>
      <c r="D596" s="4" t="s">
        <v>2523</v>
      </c>
      <c r="E596" s="5" t="n">
        <v>748365</v>
      </c>
      <c r="F596" s="4" t="n">
        <v>18</v>
      </c>
      <c r="G596" s="4" t="s">
        <v>2524</v>
      </c>
      <c r="H596" s="4" t="n">
        <v>27.87345</v>
      </c>
      <c r="I596" s="4" t="n">
        <v>-81.84314</v>
      </c>
      <c r="J596" s="4" t="s">
        <v>2525</v>
      </c>
      <c r="K596" s="6" t="str">
        <f aca="false">HYPERLINK("https://www.google.com/search?q=Polk+County+Library+Cooperative+Bartow+FL+library+website","Search")</f>
        <v>Search</v>
      </c>
      <c r="L596" s="7"/>
      <c r="M596" s="8" t="str">
        <f aca="false">HYPERLINK("https://pclc.overdrive.com","https://pclc.overdrive.com")</f>
        <v>https://pclc.overdrive.com</v>
      </c>
    </row>
    <row r="597" customFormat="false" ht="15" hidden="false" customHeight="true" outlineLevel="0" collapsed="false">
      <c r="A597" s="4" t="s">
        <v>2281</v>
      </c>
      <c r="B597" s="4" t="s">
        <v>2526</v>
      </c>
      <c r="C597" s="4" t="s">
        <v>2527</v>
      </c>
      <c r="D597" s="4" t="s">
        <v>2308</v>
      </c>
      <c r="E597" s="5" t="n">
        <v>11560</v>
      </c>
      <c r="F597" s="4" t="n">
        <v>1</v>
      </c>
      <c r="G597" s="4" t="s">
        <v>2528</v>
      </c>
      <c r="H597" s="4" t="n">
        <v>26.15928</v>
      </c>
      <c r="I597" s="4" t="n">
        <v>-80.13998</v>
      </c>
      <c r="J597" s="4" t="s">
        <v>2529</v>
      </c>
      <c r="K597" s="6" t="str">
        <f aca="false">HYPERLINK("https://www.google.com/search?q=Richard+C.+Sullivan+Public+Library+Of+Wilton+Manors+Wilton+Manors+FL+library+website","Search")</f>
        <v>Search</v>
      </c>
      <c r="L597" s="7"/>
      <c r="M597" s="7"/>
    </row>
    <row r="598" customFormat="false" ht="15" hidden="false" customHeight="true" outlineLevel="0" collapsed="false">
      <c r="A598" s="4" t="s">
        <v>2281</v>
      </c>
      <c r="B598" s="4" t="s">
        <v>2530</v>
      </c>
      <c r="C598" s="4" t="s">
        <v>2531</v>
      </c>
      <c r="D598" s="4" t="s">
        <v>2289</v>
      </c>
      <c r="E598" s="5" t="n">
        <v>38125</v>
      </c>
      <c r="F598" s="4" t="n">
        <v>1</v>
      </c>
      <c r="G598" s="4" t="s">
        <v>2532</v>
      </c>
      <c r="H598" s="4" t="n">
        <v>26.78122</v>
      </c>
      <c r="I598" s="4" t="n">
        <v>-80.08746</v>
      </c>
      <c r="J598" s="4" t="s">
        <v>2533</v>
      </c>
      <c r="K598" s="6" t="str">
        <f aca="false">HYPERLINK("https://www.google.com/search?q=Riviera+Beach+Public+Library+Riviera+Beach+FL+library+website","Search")</f>
        <v>Search</v>
      </c>
      <c r="L598" s="7"/>
      <c r="M598" s="7"/>
    </row>
    <row r="599" customFormat="false" ht="15" hidden="false" customHeight="true" outlineLevel="0" collapsed="false">
      <c r="A599" s="4" t="s">
        <v>2281</v>
      </c>
      <c r="B599" s="4" t="s">
        <v>2534</v>
      </c>
      <c r="C599" s="4" t="s">
        <v>2535</v>
      </c>
      <c r="D599" s="4" t="s">
        <v>2536</v>
      </c>
      <c r="E599" s="5" t="n">
        <v>191911</v>
      </c>
      <c r="F599" s="4" t="n">
        <v>6</v>
      </c>
      <c r="G599" s="4" t="s">
        <v>2537</v>
      </c>
      <c r="H599" s="4" t="n">
        <v>30.66343</v>
      </c>
      <c r="I599" s="4" t="n">
        <v>-87.0548</v>
      </c>
      <c r="J599" s="4" t="s">
        <v>2538</v>
      </c>
      <c r="K599" s="6" t="str">
        <f aca="false">HYPERLINK("https://www.google.com/search?q=Santa+Rosa+County+Library+System+Milton+FL+library+website","Search")</f>
        <v>Search</v>
      </c>
      <c r="L599" s="7"/>
      <c r="M599" s="8" t="str">
        <f aca="false">HYPERLINK("https://santarosa.overdrive.com","https://santarosa.overdrive.com")</f>
        <v>https://santarosa.overdrive.com</v>
      </c>
    </row>
    <row r="600" customFormat="false" ht="15" hidden="false" customHeight="true" outlineLevel="0" collapsed="false">
      <c r="A600" s="4" t="s">
        <v>2281</v>
      </c>
      <c r="B600" s="4" t="s">
        <v>2539</v>
      </c>
      <c r="C600" s="4" t="s">
        <v>2540</v>
      </c>
      <c r="D600" s="4" t="s">
        <v>2540</v>
      </c>
      <c r="E600" s="5" t="n">
        <v>441508</v>
      </c>
      <c r="F600" s="4" t="n">
        <v>10</v>
      </c>
      <c r="G600" s="4" t="s">
        <v>2541</v>
      </c>
      <c r="H600" s="4" t="n">
        <v>27.33442</v>
      </c>
      <c r="I600" s="4" t="n">
        <v>-82.53693</v>
      </c>
      <c r="J600" s="4" t="s">
        <v>2542</v>
      </c>
      <c r="K600" s="6" t="str">
        <f aca="false">HYPERLINK("https://www.google.com/search?q=Sarasota+County+Public+Libraries+Sarasota+FL+library+website","Search")</f>
        <v>Search</v>
      </c>
      <c r="L600" s="7"/>
      <c r="M600" s="7"/>
    </row>
    <row r="601" customFormat="false" ht="15" hidden="false" customHeight="true" outlineLevel="0" collapsed="false">
      <c r="A601" s="4" t="s">
        <v>2281</v>
      </c>
      <c r="B601" s="4" t="s">
        <v>2543</v>
      </c>
      <c r="C601" s="4" t="s">
        <v>2544</v>
      </c>
      <c r="D601" s="4" t="s">
        <v>2284</v>
      </c>
      <c r="E601" s="5" t="n">
        <v>477455</v>
      </c>
      <c r="F601" s="4" t="n">
        <v>5</v>
      </c>
      <c r="G601" s="4" t="s">
        <v>2545</v>
      </c>
      <c r="H601" s="4" t="n">
        <v>28.66187</v>
      </c>
      <c r="I601" s="4" t="n">
        <v>-81.33563</v>
      </c>
      <c r="J601" s="4" t="s">
        <v>2546</v>
      </c>
      <c r="K601" s="6" t="str">
        <f aca="false">HYPERLINK("https://www.google.com/search?q=Seminole+County+Public+Library+System+Casselberry+FL+library+website","Search")</f>
        <v>Search</v>
      </c>
      <c r="L601" s="7"/>
      <c r="M601" s="8" t="str">
        <f aca="false">HYPERLINK("https://semcofl.overdrive.com","https://semcofl.overdrive.com")</f>
        <v>https://semcofl.overdrive.com</v>
      </c>
    </row>
    <row r="602" customFormat="false" ht="15" hidden="false" customHeight="true" outlineLevel="0" collapsed="false">
      <c r="A602" s="4" t="s">
        <v>2281</v>
      </c>
      <c r="B602" s="4" t="s">
        <v>2547</v>
      </c>
      <c r="C602" s="4" t="s">
        <v>2548</v>
      </c>
      <c r="D602" s="4" t="s">
        <v>670</v>
      </c>
      <c r="E602" s="5" t="n">
        <v>285533</v>
      </c>
      <c r="F602" s="4" t="n">
        <v>6</v>
      </c>
      <c r="G602" s="4" t="s">
        <v>2549</v>
      </c>
      <c r="H602" s="4" t="n">
        <v>29.75875</v>
      </c>
      <c r="I602" s="4" t="n">
        <v>-81.31314</v>
      </c>
      <c r="J602" s="4" t="s">
        <v>2550</v>
      </c>
      <c r="K602" s="6" t="str">
        <f aca="false">HYPERLINK("https://www.google.com/search?q=St.+Johns+County+Public+Library+System+St.+Augustine+FL+library+website","Search")</f>
        <v>Search</v>
      </c>
      <c r="L602" s="7"/>
      <c r="M602" s="8" t="str">
        <f aca="false">HYPERLINK("https://sjcpls.overdrive.com","https://sjcpls.overdrive.com")</f>
        <v>https://sjcpls.overdrive.com</v>
      </c>
    </row>
    <row r="603" customFormat="false" ht="15" hidden="false" customHeight="true" outlineLevel="0" collapsed="false">
      <c r="A603" s="4" t="s">
        <v>2281</v>
      </c>
      <c r="B603" s="4" t="s">
        <v>2551</v>
      </c>
      <c r="C603" s="4" t="s">
        <v>2552</v>
      </c>
      <c r="D603" s="4" t="s">
        <v>2553</v>
      </c>
      <c r="E603" s="5" t="n">
        <v>340060</v>
      </c>
      <c r="F603" s="4" t="n">
        <v>7</v>
      </c>
      <c r="G603" s="4" t="s">
        <v>2554</v>
      </c>
      <c r="H603" s="4" t="n">
        <v>27.44841</v>
      </c>
      <c r="I603" s="4" t="n">
        <v>-80.3218</v>
      </c>
      <c r="J603" s="4" t="s">
        <v>2555</v>
      </c>
      <c r="K603" s="6" t="str">
        <f aca="false">HYPERLINK("https://www.google.com/search?q=St.+Lucie+County+Library+System+Fort+Pierce+FL+library+website","Search")</f>
        <v>Search</v>
      </c>
      <c r="L603" s="7"/>
      <c r="M603" s="8" t="str">
        <f aca="false">HYPERLINK("https://stlucieco.overdrive.com","https://stlucieco.overdrive.com")</f>
        <v>https://stlucieco.overdrive.com</v>
      </c>
    </row>
    <row r="604" customFormat="false" ht="15" hidden="false" customHeight="true" outlineLevel="0" collapsed="false">
      <c r="A604" s="4" t="s">
        <v>2281</v>
      </c>
      <c r="B604" s="4" t="s">
        <v>2556</v>
      </c>
      <c r="C604" s="4" t="s">
        <v>2557</v>
      </c>
      <c r="D604" s="4" t="s">
        <v>2558</v>
      </c>
      <c r="E604" s="5" t="n">
        <v>134593</v>
      </c>
      <c r="F604" s="4" t="n">
        <v>5</v>
      </c>
      <c r="G604" s="4" t="s">
        <v>2559</v>
      </c>
      <c r="H604" s="4" t="n">
        <v>28.86312</v>
      </c>
      <c r="I604" s="4" t="n">
        <v>-82.0205</v>
      </c>
      <c r="J604" s="4" t="s">
        <v>2560</v>
      </c>
      <c r="K604" s="6" t="str">
        <f aca="false">HYPERLINK("https://www.google.com/search?q=Sumter+County+Library+System+Wildwood+FL+library+website","Search")</f>
        <v>Search</v>
      </c>
      <c r="L604" s="7"/>
      <c r="M604" s="7"/>
    </row>
    <row r="605" customFormat="false" ht="15" hidden="false" customHeight="true" outlineLevel="0" collapsed="false">
      <c r="A605" s="4" t="s">
        <v>2281</v>
      </c>
      <c r="B605" s="4" t="s">
        <v>2561</v>
      </c>
      <c r="C605" s="4" t="s">
        <v>2562</v>
      </c>
      <c r="D605" s="4" t="s">
        <v>2563</v>
      </c>
      <c r="E605" s="5" t="n">
        <v>75024</v>
      </c>
      <c r="F605" s="4" t="n">
        <v>9</v>
      </c>
      <c r="G605" s="4" t="s">
        <v>2564</v>
      </c>
      <c r="H605" s="4" t="n">
        <v>30.30184</v>
      </c>
      <c r="I605" s="4" t="n">
        <v>-82.97571</v>
      </c>
      <c r="J605" s="4" t="s">
        <v>2565</v>
      </c>
      <c r="K605" s="6" t="str">
        <f aca="false">HYPERLINK("https://www.google.com/search?q=Suwannee+River+Regional+Library+System+Live+Oak+FL+library+website","Search")</f>
        <v>Search</v>
      </c>
      <c r="L605" s="7"/>
      <c r="M605" s="7"/>
    </row>
    <row r="606" customFormat="false" ht="15" hidden="false" customHeight="true" outlineLevel="0" collapsed="false">
      <c r="A606" s="4" t="s">
        <v>2281</v>
      </c>
      <c r="B606" s="4" t="s">
        <v>2566</v>
      </c>
      <c r="C606" s="4" t="s">
        <v>2567</v>
      </c>
      <c r="D606" s="4" t="s">
        <v>1682</v>
      </c>
      <c r="E606" s="5" t="n">
        <v>63824</v>
      </c>
      <c r="F606" s="4" t="n">
        <v>6</v>
      </c>
      <c r="G606" s="4" t="s">
        <v>2568</v>
      </c>
      <c r="H606" s="4" t="n">
        <v>30.053</v>
      </c>
      <c r="I606" s="4" t="n">
        <v>-83.17862</v>
      </c>
      <c r="J606" s="4" t="s">
        <v>2569</v>
      </c>
      <c r="K606" s="6" t="str">
        <f aca="false">HYPERLINK("https://www.google.com/search?q=Three+Rivers+Regional+Library+System+Mayo+FL+library+website","Search")</f>
        <v>Search</v>
      </c>
      <c r="L606" s="7"/>
      <c r="M606" s="7"/>
    </row>
    <row r="607" customFormat="false" ht="15" hidden="false" customHeight="true" outlineLevel="0" collapsed="false">
      <c r="A607" s="4" t="s">
        <v>2281</v>
      </c>
      <c r="B607" s="4" t="s">
        <v>2570</v>
      </c>
      <c r="C607" s="4" t="s">
        <v>2571</v>
      </c>
      <c r="D607" s="4" t="s">
        <v>2572</v>
      </c>
      <c r="E607" s="5" t="n">
        <v>563358</v>
      </c>
      <c r="F607" s="4" t="n">
        <v>14</v>
      </c>
      <c r="G607" s="4" t="s">
        <v>2573</v>
      </c>
      <c r="H607" s="4" t="n">
        <v>29.14404</v>
      </c>
      <c r="I607" s="4" t="n">
        <v>-81.14554</v>
      </c>
      <c r="J607" s="4" t="s">
        <v>2574</v>
      </c>
      <c r="K607" s="6" t="str">
        <f aca="false">HYPERLINK("https://www.google.com/search?q=Volusia+County+Public+Library+Daytona+Beach+FL+library+website","Search")</f>
        <v>Search</v>
      </c>
      <c r="L607" s="7"/>
      <c r="M607" s="8" t="str">
        <f aca="false">HYPERLINK("https://volusia.overdrive.com","https://volusia.overdrive.com")</f>
        <v>https://volusia.overdrive.com</v>
      </c>
    </row>
    <row r="608" customFormat="false" ht="15" hidden="false" customHeight="true" outlineLevel="0" collapsed="false">
      <c r="A608" s="4" t="s">
        <v>2281</v>
      </c>
      <c r="B608" s="4" t="s">
        <v>2575</v>
      </c>
      <c r="C608" s="4" t="s">
        <v>2576</v>
      </c>
      <c r="D608" s="4" t="s">
        <v>2577</v>
      </c>
      <c r="E608" s="5" t="n">
        <v>77941</v>
      </c>
      <c r="F608" s="4" t="n">
        <v>4</v>
      </c>
      <c r="G608" s="4" t="s">
        <v>2578</v>
      </c>
      <c r="H608" s="4" t="n">
        <v>30.71839</v>
      </c>
      <c r="I608" s="4" t="n">
        <v>-86.11597</v>
      </c>
      <c r="J608" s="4" t="s">
        <v>2579</v>
      </c>
      <c r="K608" s="6" t="str">
        <f aca="false">HYPERLINK("https://www.google.com/search?q=Walton+County+Public+Library+System+Defuniak+Springs+FL+library+website","Search")</f>
        <v>Search</v>
      </c>
      <c r="L608" s="7"/>
      <c r="M608" s="7"/>
    </row>
    <row r="609" customFormat="false" ht="15" hidden="false" customHeight="true" outlineLevel="0" collapsed="false">
      <c r="A609" s="4" t="s">
        <v>2281</v>
      </c>
      <c r="B609" s="4" t="s">
        <v>439</v>
      </c>
      <c r="C609" s="4" t="s">
        <v>2580</v>
      </c>
      <c r="D609" s="4" t="s">
        <v>441</v>
      </c>
      <c r="E609" s="5" t="n">
        <v>24995</v>
      </c>
      <c r="F609" s="4" t="n">
        <v>4</v>
      </c>
      <c r="G609" s="4" t="s">
        <v>2581</v>
      </c>
      <c r="H609" s="4" t="n">
        <v>30.77711</v>
      </c>
      <c r="I609" s="4" t="n">
        <v>-85.55227</v>
      </c>
      <c r="J609" s="4" t="s">
        <v>2582</v>
      </c>
      <c r="K609" s="6" t="str">
        <f aca="false">HYPERLINK("https://www.google.com/search?q=Washington+County+Public+Library+Chipley+FL+library+website","Search")</f>
        <v>Search</v>
      </c>
      <c r="L609" s="7"/>
      <c r="M609" s="7"/>
    </row>
    <row r="610" customFormat="false" ht="15" hidden="false" customHeight="true" outlineLevel="0" collapsed="false">
      <c r="A610" s="4" t="s">
        <v>2281</v>
      </c>
      <c r="B610" s="4" t="s">
        <v>2583</v>
      </c>
      <c r="C610" s="4" t="s">
        <v>2584</v>
      </c>
      <c r="D610" s="4" t="s">
        <v>2585</v>
      </c>
      <c r="E610" s="5" t="n">
        <v>324458</v>
      </c>
      <c r="F610" s="4" t="n">
        <v>9</v>
      </c>
      <c r="G610" s="4" t="s">
        <v>2586</v>
      </c>
      <c r="H610" s="4" t="n">
        <v>30.41559</v>
      </c>
      <c r="I610" s="4" t="n">
        <v>-87.21892</v>
      </c>
      <c r="J610" s="4" t="s">
        <v>2587</v>
      </c>
      <c r="K610" s="6" t="str">
        <f aca="false">HYPERLINK("https://www.google.com/search?q=West+Florida+Public+Libraries+Pensacola+FL+library+website","Search")</f>
        <v>Search</v>
      </c>
      <c r="L610" s="7"/>
      <c r="M610" s="7"/>
    </row>
    <row r="611" customFormat="false" ht="15" hidden="false" customHeight="true" outlineLevel="0" collapsed="false">
      <c r="A611" s="4" t="s">
        <v>2281</v>
      </c>
      <c r="B611" s="4" t="s">
        <v>2588</v>
      </c>
      <c r="C611" s="4" t="s">
        <v>627</v>
      </c>
      <c r="D611" s="4" t="s">
        <v>98</v>
      </c>
      <c r="E611" s="5" t="n">
        <v>61265</v>
      </c>
      <c r="F611" s="4" t="n">
        <v>4</v>
      </c>
      <c r="G611" s="4" t="s">
        <v>2589</v>
      </c>
      <c r="H611" s="4" t="n">
        <v>30.54503</v>
      </c>
      <c r="I611" s="4" t="n">
        <v>-83.88063</v>
      </c>
      <c r="J611" s="4" t="s">
        <v>2590</v>
      </c>
      <c r="K611" s="6" t="str">
        <f aca="false">HYPERLINK("https://www.google.com/search?q=Wilderness+Coast+Public+Libraries+Monticello+FL+library+website","Search")</f>
        <v>Search</v>
      </c>
      <c r="L611" s="7"/>
      <c r="M611" s="7"/>
    </row>
    <row r="612" customFormat="false" ht="15" hidden="false" customHeight="true" outlineLevel="0" collapsed="false">
      <c r="A612" s="4" t="s">
        <v>2281</v>
      </c>
      <c r="B612" s="4" t="s">
        <v>2591</v>
      </c>
      <c r="C612" s="4" t="s">
        <v>2592</v>
      </c>
      <c r="D612" s="4" t="s">
        <v>885</v>
      </c>
      <c r="E612" s="5" t="n">
        <v>30019</v>
      </c>
      <c r="F612" s="4" t="n">
        <v>1</v>
      </c>
      <c r="G612" s="4" t="s">
        <v>2593</v>
      </c>
      <c r="H612" s="4" t="n">
        <v>28.59598</v>
      </c>
      <c r="I612" s="4" t="n">
        <v>-81.34625</v>
      </c>
      <c r="J612" s="4" t="s">
        <v>2594</v>
      </c>
      <c r="K612" s="6" t="str">
        <f aca="false">HYPERLINK("https://www.google.com/search?q=Winter+Park+Public+Library+Winter+Park+FL+library+website","Search")</f>
        <v>Search</v>
      </c>
      <c r="L612" s="7"/>
      <c r="M612" s="8" t="str">
        <f aca="false">HYPERLINK("https://winterparklibrary.overdrive.com","https://winterparklibrary.overdrive.com")</f>
        <v>https://winterparklibrary.overdrive.com</v>
      </c>
    </row>
    <row r="613" customFormat="false" ht="15" hidden="false" customHeight="true" outlineLevel="0" collapsed="false">
      <c r="A613" s="4" t="s">
        <v>2595</v>
      </c>
      <c r="B613" s="4" t="s">
        <v>2596</v>
      </c>
      <c r="C613" s="4" t="s">
        <v>77</v>
      </c>
      <c r="D613" s="4" t="s">
        <v>2597</v>
      </c>
      <c r="E613" s="5" t="n">
        <v>243483</v>
      </c>
      <c r="F613" s="4" t="n">
        <v>11</v>
      </c>
      <c r="G613" s="4" t="s">
        <v>2598</v>
      </c>
      <c r="H613" s="4" t="n">
        <v>33.94462</v>
      </c>
      <c r="I613" s="4" t="n">
        <v>-83.40283</v>
      </c>
      <c r="J613" s="4" t="s">
        <v>2599</v>
      </c>
      <c r="K613" s="6" t="str">
        <f aca="false">HYPERLINK("https://www.google.com/search?q=Athens+Regional+Library+System+Athens+GA+library+website","Search")</f>
        <v>Search</v>
      </c>
      <c r="L613" s="7"/>
      <c r="M613" s="7"/>
    </row>
    <row r="614" customFormat="false" ht="15" hidden="false" customHeight="true" outlineLevel="0" collapsed="false">
      <c r="A614" s="4" t="s">
        <v>2595</v>
      </c>
      <c r="B614" s="4" t="s">
        <v>2600</v>
      </c>
      <c r="C614" s="4" t="s">
        <v>2601</v>
      </c>
      <c r="D614" s="4" t="s">
        <v>1348</v>
      </c>
      <c r="E614" s="5" t="n">
        <v>203888</v>
      </c>
      <c r="F614" s="4" t="n">
        <v>6</v>
      </c>
      <c r="G614" s="4" t="s">
        <v>2602</v>
      </c>
      <c r="H614" s="4" t="n">
        <v>33.47278</v>
      </c>
      <c r="I614" s="4" t="n">
        <v>-81.96876</v>
      </c>
      <c r="J614" s="4" t="s">
        <v>2603</v>
      </c>
      <c r="K614" s="6" t="str">
        <f aca="false">HYPERLINK("https://www.google.com/search?q=Augusta-Richmond+County+Public+Library+System+Augusta+GA+library+website","Search")</f>
        <v>Search</v>
      </c>
      <c r="L614" s="7"/>
      <c r="M614" s="7"/>
    </row>
    <row r="615" customFormat="false" ht="15" hidden="false" customHeight="true" outlineLevel="0" collapsed="false">
      <c r="A615" s="4" t="s">
        <v>2595</v>
      </c>
      <c r="B615" s="4" t="s">
        <v>2604</v>
      </c>
      <c r="C615" s="4" t="s">
        <v>261</v>
      </c>
      <c r="D615" s="4" t="s">
        <v>156</v>
      </c>
      <c r="E615" s="5" t="n">
        <v>184368</v>
      </c>
      <c r="F615" s="4" t="n">
        <v>10</v>
      </c>
      <c r="G615" s="4" t="s">
        <v>2605</v>
      </c>
      <c r="H615" s="4" t="n">
        <v>33.59492</v>
      </c>
      <c r="I615" s="4" t="n">
        <v>-83.45311</v>
      </c>
      <c r="J615" s="4" t="s">
        <v>2606</v>
      </c>
      <c r="K615" s="6" t="str">
        <f aca="false">HYPERLINK("https://www.google.com/search?q=Azalea+Regional+Library+System+Madison+GA+library+website","Search")</f>
        <v>Search</v>
      </c>
      <c r="L615" s="7"/>
      <c r="M615" s="7"/>
    </row>
    <row r="616" customFormat="false" ht="15" hidden="false" customHeight="true" outlineLevel="0" collapsed="false">
      <c r="A616" s="4" t="s">
        <v>2595</v>
      </c>
      <c r="B616" s="4" t="s">
        <v>2607</v>
      </c>
      <c r="C616" s="4" t="s">
        <v>2608</v>
      </c>
      <c r="D616" s="4" t="s">
        <v>2522</v>
      </c>
      <c r="E616" s="5" t="n">
        <v>111431</v>
      </c>
      <c r="F616" s="4" t="n">
        <v>3</v>
      </c>
      <c r="G616" s="4" t="s">
        <v>2609</v>
      </c>
      <c r="H616" s="4" t="n">
        <v>34.16319</v>
      </c>
      <c r="I616" s="4" t="n">
        <v>-84.80554</v>
      </c>
      <c r="J616" s="4" t="s">
        <v>2610</v>
      </c>
      <c r="K616" s="6" t="str">
        <f aca="false">HYPERLINK("https://www.google.com/search?q=Bartow+County+Library+System+Cartersville+GA+library+website","Search")</f>
        <v>Search</v>
      </c>
      <c r="L616" s="7"/>
      <c r="M616" s="8" t="str">
        <f aca="false">HYPERLINK("https://bartowlibrary.overdrive.com","https://bartowlibrary.overdrive.com")</f>
        <v>https://bartowlibrary.overdrive.com</v>
      </c>
    </row>
    <row r="617" customFormat="false" ht="15" hidden="false" customHeight="true" outlineLevel="0" collapsed="false">
      <c r="A617" s="4" t="s">
        <v>2595</v>
      </c>
      <c r="B617" s="4" t="s">
        <v>2611</v>
      </c>
      <c r="C617" s="4" t="s">
        <v>441</v>
      </c>
      <c r="D617" s="4" t="s">
        <v>2612</v>
      </c>
      <c r="E617" s="5" t="n">
        <v>32510</v>
      </c>
      <c r="F617" s="4" t="n">
        <v>3</v>
      </c>
      <c r="G617" s="4" t="s">
        <v>2613</v>
      </c>
      <c r="H617" s="4" t="n">
        <v>33.73579</v>
      </c>
      <c r="I617" s="4" t="n">
        <v>-82.73802</v>
      </c>
      <c r="J617" s="4" t="s">
        <v>2614</v>
      </c>
      <c r="K617" s="6" t="str">
        <f aca="false">HYPERLINK("https://www.google.com/search?q=Bartram+Trail+Regional+Library+System+Washington+GA+library+website","Search")</f>
        <v>Search</v>
      </c>
      <c r="L617" s="7"/>
      <c r="M617" s="7"/>
    </row>
    <row r="618" customFormat="false" ht="15" hidden="false" customHeight="true" outlineLevel="0" collapsed="false">
      <c r="A618" s="4" t="s">
        <v>2595</v>
      </c>
      <c r="B618" s="4" t="s">
        <v>2615</v>
      </c>
      <c r="C618" s="4" t="s">
        <v>2616</v>
      </c>
      <c r="D618" s="4" t="s">
        <v>2617</v>
      </c>
      <c r="E618" s="5" t="n">
        <v>15471</v>
      </c>
      <c r="F618" s="4" t="n">
        <v>1</v>
      </c>
      <c r="G618" s="4" t="s">
        <v>2618</v>
      </c>
      <c r="H618" s="4" t="n">
        <v>30.78871</v>
      </c>
      <c r="I618" s="4" t="n">
        <v>-83.56993</v>
      </c>
      <c r="J618" s="4" t="s">
        <v>2619</v>
      </c>
      <c r="K618" s="6" t="str">
        <f aca="false">HYPERLINK("https://www.google.com/search?q=Brooks+County+Public+Library+Quitman+GA+library+website","Search")</f>
        <v>Search</v>
      </c>
      <c r="L618" s="7"/>
      <c r="M618" s="7"/>
    </row>
    <row r="619" customFormat="false" ht="15" hidden="false" customHeight="true" outlineLevel="0" collapsed="false">
      <c r="A619" s="4" t="s">
        <v>2595</v>
      </c>
      <c r="B619" s="4" t="s">
        <v>2620</v>
      </c>
      <c r="C619" s="4" t="s">
        <v>2621</v>
      </c>
      <c r="D619" s="4" t="s">
        <v>2622</v>
      </c>
      <c r="E619" s="5" t="n">
        <v>68888</v>
      </c>
      <c r="F619" s="4" t="n">
        <v>1</v>
      </c>
      <c r="G619" s="4" t="s">
        <v>2623</v>
      </c>
      <c r="H619" s="4" t="n">
        <v>34.93639</v>
      </c>
      <c r="I619" s="4" t="n">
        <v>-85.18153</v>
      </c>
      <c r="J619" s="4" t="s">
        <v>2624</v>
      </c>
      <c r="K619" s="6" t="str">
        <f aca="false">HYPERLINK("https://www.google.com/search?q=Catoosa+County+Library+Ringgold+GA+library+website","Search")</f>
        <v>Search</v>
      </c>
      <c r="L619" s="7"/>
      <c r="M619" s="7"/>
    </row>
    <row r="620" customFormat="false" ht="15" hidden="false" customHeight="true" outlineLevel="0" collapsed="false">
      <c r="A620" s="4" t="s">
        <v>2595</v>
      </c>
      <c r="B620" s="4" t="s">
        <v>2625</v>
      </c>
      <c r="C620" s="4" t="s">
        <v>2626</v>
      </c>
      <c r="D620" s="4" t="s">
        <v>2627</v>
      </c>
      <c r="E620" s="5" t="n">
        <v>224755</v>
      </c>
      <c r="F620" s="4" t="n">
        <v>7</v>
      </c>
      <c r="G620" s="4" t="s">
        <v>2628</v>
      </c>
      <c r="H620" s="4" t="n">
        <v>32.47689</v>
      </c>
      <c r="I620" s="4" t="n">
        <v>-84.94403</v>
      </c>
      <c r="J620" s="4" t="s">
        <v>2629</v>
      </c>
      <c r="K620" s="6" t="str">
        <f aca="false">HYPERLINK("https://www.google.com/search?q=Chattahoochee+Valley+Libraries+Columbus+GA+library+website","Search")</f>
        <v>Search</v>
      </c>
      <c r="L620" s="7"/>
      <c r="M620" s="8" t="str">
        <f aca="false">HYPERLINK("https://cvl.overdrive.com","https://cvl.overdrive.com")</f>
        <v>https://cvl.overdrive.com</v>
      </c>
    </row>
    <row r="621" customFormat="false" ht="15" hidden="false" customHeight="true" outlineLevel="0" collapsed="false">
      <c r="A621" s="4" t="s">
        <v>2595</v>
      </c>
      <c r="B621" s="4" t="s">
        <v>2630</v>
      </c>
      <c r="C621" s="4" t="s">
        <v>1682</v>
      </c>
      <c r="D621" s="4" t="s">
        <v>274</v>
      </c>
      <c r="E621" s="5" t="n">
        <v>86920</v>
      </c>
      <c r="F621" s="4" t="n">
        <v>4</v>
      </c>
      <c r="G621" s="4" t="s">
        <v>2631</v>
      </c>
      <c r="H621" s="4" t="n">
        <v>34.70172</v>
      </c>
      <c r="I621" s="4" t="n">
        <v>-85.28115</v>
      </c>
      <c r="J621" s="4" t="s">
        <v>2632</v>
      </c>
      <c r="K621" s="6" t="str">
        <f aca="false">HYPERLINK("https://www.google.com/search?q=Cherokee+Regional+Library+System+Lafayette+GA+library+website","Search")</f>
        <v>Search</v>
      </c>
      <c r="L621" s="7"/>
      <c r="M621" s="7"/>
    </row>
    <row r="622" customFormat="false" ht="15" hidden="false" customHeight="true" outlineLevel="0" collapsed="false">
      <c r="A622" s="4" t="s">
        <v>2595</v>
      </c>
      <c r="B622" s="4" t="s">
        <v>2633</v>
      </c>
      <c r="C622" s="4" t="s">
        <v>2634</v>
      </c>
      <c r="D622" s="4" t="s">
        <v>2635</v>
      </c>
      <c r="E622" s="5" t="n">
        <v>62911</v>
      </c>
      <c r="F622" s="4" t="n">
        <v>3</v>
      </c>
      <c r="G622" s="4" t="s">
        <v>2636</v>
      </c>
      <c r="H622" s="4" t="n">
        <v>34.5304</v>
      </c>
      <c r="I622" s="4" t="n">
        <v>-83.97687</v>
      </c>
      <c r="J622" s="4" t="s">
        <v>2637</v>
      </c>
      <c r="K622" s="6" t="str">
        <f aca="false">HYPERLINK("https://www.google.com/search?q=Chestatee+Regional+Library+System+Dahlonega+GA+library+website","Search")</f>
        <v>Search</v>
      </c>
      <c r="L622" s="7"/>
      <c r="M622" s="7"/>
    </row>
    <row r="623" customFormat="false" ht="15" hidden="false" customHeight="true" outlineLevel="0" collapsed="false">
      <c r="A623" s="4" t="s">
        <v>2595</v>
      </c>
      <c r="B623" s="4" t="s">
        <v>2638</v>
      </c>
      <c r="C623" s="4" t="s">
        <v>520</v>
      </c>
      <c r="D623" s="4" t="s">
        <v>2639</v>
      </c>
      <c r="E623" s="5" t="n">
        <v>299405</v>
      </c>
      <c r="F623" s="4" t="n">
        <v>7</v>
      </c>
      <c r="G623" s="4" t="s">
        <v>2640</v>
      </c>
      <c r="H623" s="4" t="n">
        <v>33.55286</v>
      </c>
      <c r="I623" s="4" t="n">
        <v>-84.3643</v>
      </c>
      <c r="J623" s="4" t="s">
        <v>2641</v>
      </c>
      <c r="K623" s="6" t="str">
        <f aca="false">HYPERLINK("https://www.google.com/search?q=Clayton+County+Library+System+Jonesboro+GA+library+website","Search")</f>
        <v>Search</v>
      </c>
      <c r="L623" s="7"/>
      <c r="M623" s="7"/>
    </row>
    <row r="624" customFormat="false" ht="15" hidden="false" customHeight="true" outlineLevel="0" collapsed="false">
      <c r="A624" s="4" t="s">
        <v>2595</v>
      </c>
      <c r="B624" s="4" t="s">
        <v>2642</v>
      </c>
      <c r="C624" s="4" t="s">
        <v>2643</v>
      </c>
      <c r="D624" s="4" t="s">
        <v>2644</v>
      </c>
      <c r="E624" s="5" t="n">
        <v>112209</v>
      </c>
      <c r="F624" s="4" t="n">
        <v>7</v>
      </c>
      <c r="G624" s="4" t="s">
        <v>2645</v>
      </c>
      <c r="H624" s="4" t="n">
        <v>31.47293</v>
      </c>
      <c r="I624" s="4" t="n">
        <v>-83.50139</v>
      </c>
      <c r="J624" s="4" t="s">
        <v>2646</v>
      </c>
      <c r="K624" s="6" t="str">
        <f aca="false">HYPERLINK("https://www.google.com/search?q=Coastal+Plain+Regional+Library+Tifton+GA+library+website","Search")</f>
        <v>Search</v>
      </c>
      <c r="L624" s="7"/>
      <c r="M624" s="7"/>
    </row>
    <row r="625" customFormat="false" ht="15" hidden="false" customHeight="true" outlineLevel="0" collapsed="false">
      <c r="A625" s="4" t="s">
        <v>2595</v>
      </c>
      <c r="B625" s="4" t="s">
        <v>2647</v>
      </c>
      <c r="C625" s="4" t="s">
        <v>2648</v>
      </c>
      <c r="D625" s="4" t="s">
        <v>2649</v>
      </c>
      <c r="E625" s="5" t="n">
        <v>779374</v>
      </c>
      <c r="F625" s="4" t="n">
        <v>15</v>
      </c>
      <c r="G625" s="4" t="s">
        <v>2650</v>
      </c>
      <c r="H625" s="4" t="n">
        <v>33.95054</v>
      </c>
      <c r="I625" s="4" t="n">
        <v>-84.54389</v>
      </c>
      <c r="J625" s="4" t="s">
        <v>2651</v>
      </c>
      <c r="K625" s="6" t="str">
        <f aca="false">HYPERLINK("https://www.google.com/search?q=Cobb+County+Public+Library+System+Marietta+GA+library+website","Search")</f>
        <v>Search</v>
      </c>
      <c r="L625" s="7"/>
      <c r="M625" s="8" t="str">
        <f aca="false">HYPERLINK("https://cobbcounty.overdrive.com","https://cobbcounty.overdrive.com")</f>
        <v>https://cobbcounty.overdrive.com</v>
      </c>
    </row>
    <row r="626" customFormat="false" ht="15" hidden="false" customHeight="true" outlineLevel="0" collapsed="false">
      <c r="A626" s="4" t="s">
        <v>2595</v>
      </c>
      <c r="B626" s="4" t="s">
        <v>2652</v>
      </c>
      <c r="C626" s="4" t="s">
        <v>2653</v>
      </c>
      <c r="D626" s="4" t="s">
        <v>2654</v>
      </c>
      <c r="E626" s="5" t="n">
        <v>91945</v>
      </c>
      <c r="F626" s="4" t="n">
        <v>1</v>
      </c>
      <c r="G626" s="4" t="s">
        <v>2655</v>
      </c>
      <c r="H626" s="4" t="n">
        <v>33.66534</v>
      </c>
      <c r="I626" s="4" t="n">
        <v>-84.01718</v>
      </c>
      <c r="J626" s="4" t="s">
        <v>2656</v>
      </c>
      <c r="K626" s="6" t="str">
        <f aca="false">HYPERLINK("https://www.google.com/search?q=Conyers-Rockdale+Library+System+Conyers+GA+library+website","Search")</f>
        <v>Search</v>
      </c>
      <c r="L626" s="7"/>
      <c r="M626" s="7"/>
    </row>
    <row r="627" customFormat="false" ht="15" hidden="false" customHeight="true" outlineLevel="0" collapsed="false">
      <c r="A627" s="4" t="s">
        <v>2595</v>
      </c>
      <c r="B627" s="4" t="s">
        <v>2657</v>
      </c>
      <c r="C627" s="4" t="s">
        <v>2658</v>
      </c>
      <c r="D627" s="4" t="s">
        <v>2659</v>
      </c>
      <c r="E627" s="5" t="n">
        <v>155642</v>
      </c>
      <c r="F627" s="4" t="n">
        <v>4</v>
      </c>
      <c r="G627" s="4" t="s">
        <v>2660</v>
      </c>
      <c r="H627" s="4" t="n">
        <v>33.38616</v>
      </c>
      <c r="I627" s="4" t="n">
        <v>-84.67021</v>
      </c>
      <c r="J627" s="4" t="s">
        <v>2661</v>
      </c>
      <c r="K627" s="6" t="str">
        <f aca="false">HYPERLINK("https://www.google.com/search?q=Coweta+County+Public+Library+System+Newnan+GA+library+website","Search")</f>
        <v>Search</v>
      </c>
      <c r="L627" s="7"/>
      <c r="M627" s="7"/>
    </row>
    <row r="628" customFormat="false" ht="15" hidden="false" customHeight="true" outlineLevel="0" collapsed="false">
      <c r="A628" s="4" t="s">
        <v>2595</v>
      </c>
      <c r="B628" s="4" t="s">
        <v>2662</v>
      </c>
      <c r="C628" s="4" t="s">
        <v>2663</v>
      </c>
      <c r="D628" s="4" t="s">
        <v>2664</v>
      </c>
      <c r="E628" s="5" t="n">
        <v>34467</v>
      </c>
      <c r="F628" s="4" t="n">
        <v>5</v>
      </c>
      <c r="G628" s="4" t="s">
        <v>2665</v>
      </c>
      <c r="H628" s="4" t="n">
        <v>31.23112</v>
      </c>
      <c r="I628" s="4" t="n">
        <v>-84.20351</v>
      </c>
      <c r="J628" s="4" t="s">
        <v>2666</v>
      </c>
      <c r="K628" s="6" t="str">
        <f aca="false">HYPERLINK("https://www.google.com/search?q=De+Soto+Trail+Regional+Library+System+Camilla+GA+library+website","Search")</f>
        <v>Search</v>
      </c>
      <c r="L628" s="7"/>
      <c r="M628" s="7"/>
    </row>
    <row r="629" customFormat="false" ht="15" hidden="false" customHeight="true" outlineLevel="0" collapsed="false">
      <c r="A629" s="4" t="s">
        <v>2595</v>
      </c>
      <c r="B629" s="4" t="s">
        <v>2667</v>
      </c>
      <c r="C629" s="4" t="s">
        <v>155</v>
      </c>
      <c r="D629" s="4" t="s">
        <v>211</v>
      </c>
      <c r="E629" s="5" t="n">
        <v>776792</v>
      </c>
      <c r="F629" s="4" t="n">
        <v>24</v>
      </c>
      <c r="G629" s="4" t="s">
        <v>2668</v>
      </c>
      <c r="H629" s="4" t="n">
        <v>33.77146</v>
      </c>
      <c r="I629" s="4" t="n">
        <v>-84.24413</v>
      </c>
      <c r="J629" s="4" t="s">
        <v>2669</v>
      </c>
      <c r="K629" s="6" t="str">
        <f aca="false">HYPERLINK("https://www.google.com/search?q=Dekalb+County+Public+Library+Decatur+GA+library+website","Search")</f>
        <v>Search</v>
      </c>
      <c r="L629" s="7"/>
      <c r="M629" s="8" t="str">
        <f aca="false">HYPERLINK("https://dekalb.overdrive.com","https://dekalb.overdrive.com")</f>
        <v>https://dekalb.overdrive.com</v>
      </c>
    </row>
    <row r="630" customFormat="false" ht="15" hidden="false" customHeight="true" outlineLevel="0" collapsed="false">
      <c r="A630" s="4" t="s">
        <v>2595</v>
      </c>
      <c r="B630" s="4" t="s">
        <v>2670</v>
      </c>
      <c r="C630" s="4" t="s">
        <v>2671</v>
      </c>
      <c r="D630" s="4" t="s">
        <v>2672</v>
      </c>
      <c r="E630" s="5" t="n">
        <v>85570</v>
      </c>
      <c r="F630" s="4" t="n">
        <v>5</v>
      </c>
      <c r="G630" s="4" t="s">
        <v>2673</v>
      </c>
      <c r="H630" s="4" t="n">
        <v>31.57843</v>
      </c>
      <c r="I630" s="4" t="n">
        <v>-84.15399</v>
      </c>
      <c r="J630" s="4" t="s">
        <v>2674</v>
      </c>
      <c r="K630" s="6" t="str">
        <f aca="false">HYPERLINK("https://www.google.com/search?q=Dougherty+County+Public+Library+Albany+GA+library+website","Search")</f>
        <v>Search</v>
      </c>
      <c r="L630" s="7"/>
      <c r="M630" s="7"/>
    </row>
    <row r="631" customFormat="false" ht="15" hidden="false" customHeight="true" outlineLevel="0" collapsed="false">
      <c r="A631" s="4" t="s">
        <v>2595</v>
      </c>
      <c r="B631" s="4" t="s">
        <v>2675</v>
      </c>
      <c r="C631" s="4" t="s">
        <v>2676</v>
      </c>
      <c r="D631" s="4" t="s">
        <v>1645</v>
      </c>
      <c r="E631" s="5" t="n">
        <v>19405</v>
      </c>
      <c r="F631" s="4" t="n">
        <v>2</v>
      </c>
      <c r="G631" s="4" t="s">
        <v>2677</v>
      </c>
      <c r="H631" s="4" t="n">
        <v>34.10692</v>
      </c>
      <c r="I631" s="4" t="n">
        <v>-82.85971</v>
      </c>
      <c r="J631" s="4" t="s">
        <v>2678</v>
      </c>
      <c r="K631" s="6" t="str">
        <f aca="false">HYPERLINK("https://www.google.com/search?q=Elbert+County+Public+Library+System+Elberton+GA+library+website","Search")</f>
        <v>Search</v>
      </c>
      <c r="L631" s="7"/>
      <c r="M631" s="7"/>
    </row>
    <row r="632" customFormat="false" ht="15" hidden="false" customHeight="true" outlineLevel="0" collapsed="false">
      <c r="A632" s="4" t="s">
        <v>2595</v>
      </c>
      <c r="B632" s="4" t="s">
        <v>2679</v>
      </c>
      <c r="C632" s="4" t="s">
        <v>2680</v>
      </c>
      <c r="D632" s="4" t="s">
        <v>2681</v>
      </c>
      <c r="E632" s="5" t="n">
        <v>279902</v>
      </c>
      <c r="F632" s="4" t="n">
        <v>9</v>
      </c>
      <c r="G632" s="4" t="s">
        <v>2682</v>
      </c>
      <c r="H632" s="4" t="n">
        <v>33.24558</v>
      </c>
      <c r="I632" s="4" t="n">
        <v>-84.25314</v>
      </c>
      <c r="J632" s="4" t="s">
        <v>2683</v>
      </c>
      <c r="K632" s="6" t="str">
        <f aca="false">HYPERLINK("https://www.google.com/search?q=Flint+River+Regional+Library+System+Griffin+GA+library+website","Search")</f>
        <v>Search</v>
      </c>
      <c r="L632" s="7"/>
      <c r="M632" s="7"/>
    </row>
    <row r="633" customFormat="false" ht="15" hidden="false" customHeight="true" outlineLevel="0" collapsed="false">
      <c r="A633" s="4" t="s">
        <v>2595</v>
      </c>
      <c r="B633" s="4" t="s">
        <v>2684</v>
      </c>
      <c r="C633" s="4" t="s">
        <v>2685</v>
      </c>
      <c r="D633" s="4" t="s">
        <v>2686</v>
      </c>
      <c r="E633" s="5" t="n">
        <v>264936</v>
      </c>
      <c r="F633" s="4" t="n">
        <v>4</v>
      </c>
      <c r="G633" s="4" t="s">
        <v>2687</v>
      </c>
      <c r="H633" s="4" t="n">
        <v>34.22075</v>
      </c>
      <c r="I633" s="4" t="n">
        <v>-84.13171</v>
      </c>
      <c r="J633" s="4" t="s">
        <v>2688</v>
      </c>
      <c r="K633" s="6" t="str">
        <f aca="false">HYPERLINK("https://www.google.com/search?q=Forsyth+County+Public+Library+Cumming+GA+library+website","Search")</f>
        <v>Search</v>
      </c>
      <c r="L633" s="7"/>
      <c r="M633" s="7"/>
    </row>
    <row r="634" customFormat="false" ht="15" hidden="false" customHeight="true" outlineLevel="0" collapsed="false">
      <c r="A634" s="4" t="s">
        <v>2595</v>
      </c>
      <c r="B634" s="4" t="s">
        <v>2689</v>
      </c>
      <c r="C634" s="4" t="s">
        <v>2690</v>
      </c>
      <c r="D634" s="4" t="s">
        <v>2691</v>
      </c>
      <c r="E634" s="5" t="n">
        <v>1105574</v>
      </c>
      <c r="F634" s="4" t="n">
        <v>34</v>
      </c>
      <c r="G634" s="4" t="s">
        <v>2692</v>
      </c>
      <c r="H634" s="4" t="n">
        <v>33.75727</v>
      </c>
      <c r="I634" s="4" t="n">
        <v>-84.38833</v>
      </c>
      <c r="J634" s="4" t="s">
        <v>2693</v>
      </c>
      <c r="K634" s="6" t="str">
        <f aca="false">HYPERLINK("https://www.google.com/search?q=Fulton+County+Library+System+Atlanta+GA+library+website","Search")</f>
        <v>Search</v>
      </c>
      <c r="L634" s="7"/>
      <c r="M634" s="7"/>
    </row>
    <row r="635" customFormat="false" ht="15" hidden="false" customHeight="true" outlineLevel="0" collapsed="false">
      <c r="A635" s="4" t="s">
        <v>2595</v>
      </c>
      <c r="B635" s="4" t="s">
        <v>2694</v>
      </c>
      <c r="C635" s="4" t="s">
        <v>2695</v>
      </c>
      <c r="D635" s="4" t="s">
        <v>506</v>
      </c>
      <c r="E635" s="5" t="n">
        <v>200636</v>
      </c>
      <c r="F635" s="4" t="n">
        <v>8</v>
      </c>
      <c r="G635" s="4" t="s">
        <v>2696</v>
      </c>
      <c r="H635" s="4" t="n">
        <v>33.54672</v>
      </c>
      <c r="I635" s="4" t="n">
        <v>-82.13097</v>
      </c>
      <c r="J635" s="4" t="s">
        <v>2697</v>
      </c>
      <c r="K635" s="6" t="str">
        <f aca="false">HYPERLINK("https://www.google.com/search?q=Greater+Clarks+Hill+Regional+Library+Evans+GA+library+website","Search")</f>
        <v>Search</v>
      </c>
      <c r="L635" s="7"/>
      <c r="M635" s="7"/>
    </row>
    <row r="636" customFormat="false" ht="15" hidden="false" customHeight="true" outlineLevel="0" collapsed="false">
      <c r="A636" s="4" t="s">
        <v>2595</v>
      </c>
      <c r="B636" s="4" t="s">
        <v>2698</v>
      </c>
      <c r="C636" s="4" t="s">
        <v>2699</v>
      </c>
      <c r="D636" s="4" t="s">
        <v>2700</v>
      </c>
      <c r="E636" s="5" t="n">
        <v>966057</v>
      </c>
      <c r="F636" s="4" t="n">
        <v>16</v>
      </c>
      <c r="G636" s="4" t="s">
        <v>2701</v>
      </c>
      <c r="H636" s="4" t="n">
        <v>33.94141</v>
      </c>
      <c r="I636" s="4" t="n">
        <v>-84.0138</v>
      </c>
      <c r="J636" s="4" t="s">
        <v>2702</v>
      </c>
      <c r="K636" s="6" t="str">
        <f aca="false">HYPERLINK("https://www.google.com/search?q=Gwinnett+County+Public+Library+System+Lawrenceville+GA+library+website","Search")</f>
        <v>Search</v>
      </c>
      <c r="L636" s="7"/>
      <c r="M636" s="8" t="str">
        <f aca="false">HYPERLINK("https://gwinnett.overdrive.com","https://gwinnett.overdrive.com")</f>
        <v>https://gwinnett.overdrive.com</v>
      </c>
    </row>
    <row r="637" customFormat="false" ht="15" hidden="false" customHeight="true" outlineLevel="0" collapsed="false">
      <c r="A637" s="4" t="s">
        <v>2595</v>
      </c>
      <c r="B637" s="4" t="s">
        <v>2703</v>
      </c>
      <c r="C637" s="4" t="s">
        <v>2704</v>
      </c>
      <c r="D637" s="4" t="s">
        <v>2705</v>
      </c>
      <c r="E637" s="5" t="n">
        <v>212019</v>
      </c>
      <c r="F637" s="4" t="n">
        <v>5</v>
      </c>
      <c r="G637" s="4" t="s">
        <v>2706</v>
      </c>
      <c r="H637" s="4" t="n">
        <v>34.30035</v>
      </c>
      <c r="I637" s="4" t="n">
        <v>-83.82827</v>
      </c>
      <c r="J637" s="4" t="s">
        <v>2707</v>
      </c>
      <c r="K637" s="6" t="str">
        <f aca="false">HYPERLINK("https://www.google.com/search?q=Hall+County+Library+System+Gainesville+GA+library+website","Search")</f>
        <v>Search</v>
      </c>
      <c r="L637" s="7"/>
      <c r="M637" s="7"/>
    </row>
    <row r="638" customFormat="false" ht="15" hidden="false" customHeight="true" outlineLevel="0" collapsed="false">
      <c r="A638" s="4" t="s">
        <v>2595</v>
      </c>
      <c r="B638" s="4" t="s">
        <v>2708</v>
      </c>
      <c r="C638" s="4" t="s">
        <v>2709</v>
      </c>
      <c r="D638" s="4" t="s">
        <v>2710</v>
      </c>
      <c r="E638" s="5" t="n">
        <v>26559</v>
      </c>
      <c r="F638" s="4" t="n">
        <v>1</v>
      </c>
      <c r="G638" s="4" t="s">
        <v>2711</v>
      </c>
      <c r="H638" s="4" t="n">
        <v>34.34978</v>
      </c>
      <c r="I638" s="4" t="n">
        <v>-82.93046</v>
      </c>
      <c r="J638" s="4" t="s">
        <v>2712</v>
      </c>
      <c r="K638" s="6" t="str">
        <f aca="false">HYPERLINK("https://www.google.com/search?q=Hart+County+Library+System+Hartwell+GA+library+website","Search")</f>
        <v>Search</v>
      </c>
      <c r="L638" s="7"/>
      <c r="M638" s="7"/>
    </row>
    <row r="639" customFormat="false" ht="15" hidden="false" customHeight="true" outlineLevel="0" collapsed="false">
      <c r="A639" s="4" t="s">
        <v>2595</v>
      </c>
      <c r="B639" s="4" t="s">
        <v>2713</v>
      </c>
      <c r="C639" s="4" t="s">
        <v>2714</v>
      </c>
      <c r="D639" s="4" t="s">
        <v>2715</v>
      </c>
      <c r="E639" s="5" t="n">
        <v>248293</v>
      </c>
      <c r="F639" s="4" t="n">
        <v>5</v>
      </c>
      <c r="G639" s="4" t="s">
        <v>2716</v>
      </c>
      <c r="H639" s="4" t="n">
        <v>33.44452</v>
      </c>
      <c r="I639" s="4" t="n">
        <v>-84.12514</v>
      </c>
      <c r="J639" s="4" t="s">
        <v>2717</v>
      </c>
      <c r="K639" s="6" t="str">
        <f aca="false">HYPERLINK("https://www.google.com/search?q=Henry+County+Library+System+Mcdonough+GA+library+website","Search")</f>
        <v>Search</v>
      </c>
      <c r="L639" s="7"/>
      <c r="M639" s="7"/>
    </row>
    <row r="640" customFormat="false" ht="15" hidden="false" customHeight="true" outlineLevel="0" collapsed="false">
      <c r="A640" s="4" t="s">
        <v>2595</v>
      </c>
      <c r="B640" s="4" t="s">
        <v>2718</v>
      </c>
      <c r="C640" s="4" t="s">
        <v>2719</v>
      </c>
      <c r="D640" s="4" t="s">
        <v>166</v>
      </c>
      <c r="E640" s="5" t="n">
        <v>162690</v>
      </c>
      <c r="F640" s="4" t="n">
        <v>3</v>
      </c>
      <c r="G640" s="4" t="s">
        <v>2720</v>
      </c>
      <c r="H640" s="4" t="n">
        <v>32.46122</v>
      </c>
      <c r="I640" s="4" t="n">
        <v>-83.73331</v>
      </c>
      <c r="J640" s="4" t="s">
        <v>2721</v>
      </c>
      <c r="K640" s="6" t="str">
        <f aca="false">HYPERLINK("https://www.google.com/search?q=Houston+County+Public+Library+Perry+GA+library+website","Search")</f>
        <v>Search</v>
      </c>
      <c r="L640" s="7"/>
      <c r="M640" s="7"/>
    </row>
    <row r="641" customFormat="false" ht="15" hidden="false" customHeight="true" outlineLevel="0" collapsed="false">
      <c r="A641" s="4" t="s">
        <v>2595</v>
      </c>
      <c r="B641" s="4" t="s">
        <v>2722</v>
      </c>
      <c r="C641" s="4" t="s">
        <v>1699</v>
      </c>
      <c r="D641" s="4" t="s">
        <v>98</v>
      </c>
      <c r="E641" s="5" t="n">
        <v>15269</v>
      </c>
      <c r="F641" s="4" t="n">
        <v>3</v>
      </c>
      <c r="G641" s="4" t="s">
        <v>2723</v>
      </c>
      <c r="H641" s="4" t="n">
        <v>32.99767</v>
      </c>
      <c r="I641" s="4" t="n">
        <v>-82.40692</v>
      </c>
      <c r="J641" s="4" t="s">
        <v>2724</v>
      </c>
      <c r="K641" s="6" t="str">
        <f aca="false">HYPERLINK("https://www.google.com/search?q=Jefferson+County+Library+System+Louisville+GA+library+website","Search")</f>
        <v>Search</v>
      </c>
      <c r="L641" s="7"/>
      <c r="M641" s="7"/>
    </row>
    <row r="642" customFormat="false" ht="15" hidden="false" customHeight="true" outlineLevel="0" collapsed="false">
      <c r="A642" s="4" t="s">
        <v>2595</v>
      </c>
      <c r="B642" s="4" t="s">
        <v>2725</v>
      </c>
      <c r="C642" s="4" t="s">
        <v>2726</v>
      </c>
      <c r="D642" s="4" t="s">
        <v>2727</v>
      </c>
      <c r="E642" s="5" t="n">
        <v>29022</v>
      </c>
      <c r="F642" s="4" t="n">
        <v>6</v>
      </c>
      <c r="G642" s="4" t="s">
        <v>2728</v>
      </c>
      <c r="H642" s="4" t="n">
        <v>31.76136</v>
      </c>
      <c r="I642" s="4" t="n">
        <v>-84.43716</v>
      </c>
      <c r="J642" s="4" t="s">
        <v>2729</v>
      </c>
      <c r="K642" s="6" t="str">
        <f aca="false">HYPERLINK("https://www.google.com/search?q=Kinchafoonee+Regional+Library+System+Dawson+GA+library+website","Search")</f>
        <v>Search</v>
      </c>
      <c r="L642" s="7"/>
      <c r="M642" s="7"/>
    </row>
    <row r="643" customFormat="false" ht="15" hidden="false" customHeight="true" outlineLevel="0" collapsed="false">
      <c r="A643" s="4" t="s">
        <v>2595</v>
      </c>
      <c r="B643" s="4" t="s">
        <v>2730</v>
      </c>
      <c r="C643" s="4" t="s">
        <v>2731</v>
      </c>
      <c r="D643" s="4" t="s">
        <v>2558</v>
      </c>
      <c r="E643" s="5" t="n">
        <v>69258</v>
      </c>
      <c r="F643" s="4" t="n">
        <v>6</v>
      </c>
      <c r="G643" s="4" t="s">
        <v>2732</v>
      </c>
      <c r="H643" s="4" t="n">
        <v>32.07175</v>
      </c>
      <c r="I643" s="4" t="n">
        <v>-84.22739</v>
      </c>
      <c r="J643" s="4" t="s">
        <v>2733</v>
      </c>
      <c r="K643" s="6" t="str">
        <f aca="false">HYPERLINK("https://www.google.com/search?q=Lake+Blackshear+Regional+Library+System+Americus+GA+library+website","Search")</f>
        <v>Search</v>
      </c>
      <c r="L643" s="7"/>
      <c r="M643" s="7"/>
    </row>
    <row r="644" customFormat="false" ht="15" hidden="false" customHeight="true" outlineLevel="0" collapsed="false">
      <c r="A644" s="4" t="s">
        <v>2595</v>
      </c>
      <c r="B644" s="4" t="s">
        <v>2734</v>
      </c>
      <c r="C644" s="4" t="s">
        <v>2735</v>
      </c>
      <c r="D644" s="4" t="s">
        <v>83</v>
      </c>
      <c r="E644" s="5" t="n">
        <v>30724</v>
      </c>
      <c r="F644" s="4" t="n">
        <v>4</v>
      </c>
      <c r="G644" s="4" t="s">
        <v>2736</v>
      </c>
      <c r="H644" s="4" t="n">
        <v>31.64782</v>
      </c>
      <c r="I644" s="4" t="n">
        <v>-84.25953</v>
      </c>
      <c r="J644" s="4" t="s">
        <v>2737</v>
      </c>
      <c r="K644" s="6" t="str">
        <f aca="false">HYPERLINK("https://www.google.com/search?q=Lee+County+Public+Library+Leesburg+GA+library+website","Search")</f>
        <v>Search</v>
      </c>
      <c r="L644" s="7"/>
      <c r="M644" s="7"/>
    </row>
    <row r="645" customFormat="false" ht="15" hidden="false" customHeight="true" outlineLevel="0" collapsed="false">
      <c r="A645" s="4" t="s">
        <v>2595</v>
      </c>
      <c r="B645" s="4" t="s">
        <v>2738</v>
      </c>
      <c r="C645" s="4" t="s">
        <v>2739</v>
      </c>
      <c r="D645" s="4" t="s">
        <v>2740</v>
      </c>
      <c r="E645" s="5" t="n">
        <v>427095</v>
      </c>
      <c r="F645" s="4" t="n">
        <v>16</v>
      </c>
      <c r="G645" s="4" t="s">
        <v>2741</v>
      </c>
      <c r="H645" s="4" t="n">
        <v>32.05782</v>
      </c>
      <c r="I645" s="4" t="n">
        <v>-81.09998</v>
      </c>
      <c r="J645" s="4" t="s">
        <v>2742</v>
      </c>
      <c r="K645" s="6" t="str">
        <f aca="false">HYPERLINK("https://www.google.com/search?q=Live+Oak+Public+Libraries+Savannah+GA+library+website","Search")</f>
        <v>Search</v>
      </c>
      <c r="L645" s="7"/>
      <c r="M645" s="7"/>
    </row>
    <row r="646" customFormat="false" ht="15" hidden="false" customHeight="true" outlineLevel="0" collapsed="false">
      <c r="A646" s="4" t="s">
        <v>2595</v>
      </c>
      <c r="B646" s="4" t="s">
        <v>2743</v>
      </c>
      <c r="C646" s="4" t="s">
        <v>2744</v>
      </c>
      <c r="D646" s="4" t="s">
        <v>2745</v>
      </c>
      <c r="E646" s="5" t="n">
        <v>86030</v>
      </c>
      <c r="F646" s="4" t="n">
        <v>2</v>
      </c>
      <c r="G646" s="4" t="s">
        <v>2746</v>
      </c>
      <c r="H646" s="4" t="n">
        <v>31.14881</v>
      </c>
      <c r="I646" s="4" t="n">
        <v>-81.49609</v>
      </c>
      <c r="J646" s="4" t="s">
        <v>2747</v>
      </c>
      <c r="K646" s="6" t="str">
        <f aca="false">HYPERLINK("https://www.google.com/search?q=Marshes+Of+Glynn+Libraries+Brunswick+GA+library+website","Search")</f>
        <v>Search</v>
      </c>
      <c r="L646" s="7"/>
      <c r="M646" s="7"/>
    </row>
    <row r="647" customFormat="false" ht="15" hidden="false" customHeight="true" outlineLevel="0" collapsed="false">
      <c r="A647" s="4" t="s">
        <v>2595</v>
      </c>
      <c r="B647" s="4" t="s">
        <v>2748</v>
      </c>
      <c r="C647" s="4" t="s">
        <v>293</v>
      </c>
      <c r="D647" s="4" t="s">
        <v>112</v>
      </c>
      <c r="E647" s="5" t="n">
        <v>269108</v>
      </c>
      <c r="F647" s="4" t="n">
        <v>17</v>
      </c>
      <c r="G647" s="4" t="s">
        <v>2749</v>
      </c>
      <c r="H647" s="4" t="n">
        <v>32.83905</v>
      </c>
      <c r="I647" s="4" t="n">
        <v>-83.63869</v>
      </c>
      <c r="J647" s="4" t="s">
        <v>2750</v>
      </c>
      <c r="K647" s="6" t="str">
        <f aca="false">HYPERLINK("https://www.google.com/search?q=Middle+Georgia+Regional+Library+System+Macon+GA+library+website","Search")</f>
        <v>Search</v>
      </c>
      <c r="L647" s="7"/>
      <c r="M647" s="7"/>
    </row>
    <row r="648" customFormat="false" ht="15" hidden="false" customHeight="true" outlineLevel="0" collapsed="false">
      <c r="A648" s="4" t="s">
        <v>2595</v>
      </c>
      <c r="B648" s="4" t="s">
        <v>2751</v>
      </c>
      <c r="C648" s="4" t="s">
        <v>2752</v>
      </c>
      <c r="D648" s="4" t="s">
        <v>2753</v>
      </c>
      <c r="E648" s="5" t="n">
        <v>46004</v>
      </c>
      <c r="F648" s="4" t="n">
        <v>2</v>
      </c>
      <c r="G648" s="4" t="s">
        <v>2754</v>
      </c>
      <c r="H648" s="4" t="n">
        <v>31.17724</v>
      </c>
      <c r="I648" s="4" t="n">
        <v>-83.78297</v>
      </c>
      <c r="J648" s="4" t="s">
        <v>2755</v>
      </c>
      <c r="K648" s="6" t="str">
        <f aca="false">HYPERLINK("https://www.google.com/search?q=Moultrie-Colquitt+County+Library+System+Moultrie+GA+library+website","Search")</f>
        <v>Search</v>
      </c>
      <c r="L648" s="7"/>
      <c r="M648" s="7"/>
    </row>
    <row r="649" customFormat="false" ht="15" hidden="false" customHeight="true" outlineLevel="0" collapsed="false">
      <c r="A649" s="4" t="s">
        <v>2595</v>
      </c>
      <c r="B649" s="4" t="s">
        <v>2756</v>
      </c>
      <c r="C649" s="4" t="s">
        <v>2757</v>
      </c>
      <c r="D649" s="4" t="s">
        <v>2758</v>
      </c>
      <c r="E649" s="5" t="n">
        <v>64326</v>
      </c>
      <c r="F649" s="4" t="n">
        <v>4</v>
      </c>
      <c r="G649" s="4" t="s">
        <v>2759</v>
      </c>
      <c r="H649" s="4" t="n">
        <v>34.93797</v>
      </c>
      <c r="I649" s="4" t="n">
        <v>-83.84931</v>
      </c>
      <c r="J649" s="4" t="s">
        <v>2760</v>
      </c>
      <c r="K649" s="6" t="str">
        <f aca="false">HYPERLINK("https://www.google.com/search?q=Mountain+Regional+Library+System+Young+Harris+GA+library+website","Search")</f>
        <v>Search</v>
      </c>
      <c r="L649" s="7"/>
      <c r="M649" s="7"/>
    </row>
    <row r="650" customFormat="false" ht="15" hidden="false" customHeight="true" outlineLevel="0" collapsed="false">
      <c r="A650" s="4" t="s">
        <v>2595</v>
      </c>
      <c r="B650" s="4" t="s">
        <v>2761</v>
      </c>
      <c r="C650" s="4" t="s">
        <v>68</v>
      </c>
      <c r="D650" s="4" t="s">
        <v>2762</v>
      </c>
      <c r="E650" s="5" t="n">
        <v>117080</v>
      </c>
      <c r="F650" s="4" t="n">
        <v>3</v>
      </c>
      <c r="G650" s="4" t="s">
        <v>2763</v>
      </c>
      <c r="H650" s="4" t="n">
        <v>33.59996</v>
      </c>
      <c r="I650" s="4" t="n">
        <v>-83.83958</v>
      </c>
      <c r="J650" s="4" t="s">
        <v>2764</v>
      </c>
      <c r="K650" s="6" t="str">
        <f aca="false">HYPERLINK("https://www.google.com/search?q=Newton+County+Library+System+Covington+GA+library+website","Search")</f>
        <v>Search</v>
      </c>
      <c r="L650" s="7"/>
      <c r="M650" s="7"/>
    </row>
    <row r="651" customFormat="false" ht="15" hidden="false" customHeight="true" outlineLevel="0" collapsed="false">
      <c r="A651" s="4" t="s">
        <v>2595</v>
      </c>
      <c r="B651" s="4" t="s">
        <v>2765</v>
      </c>
      <c r="C651" s="4" t="s">
        <v>2766</v>
      </c>
      <c r="D651" s="4" t="s">
        <v>2767</v>
      </c>
      <c r="E651" s="5" t="n">
        <v>121694</v>
      </c>
      <c r="F651" s="4" t="n">
        <v>7</v>
      </c>
      <c r="G651" s="4" t="s">
        <v>2768</v>
      </c>
      <c r="H651" s="4" t="n">
        <v>34.60136</v>
      </c>
      <c r="I651" s="4" t="n">
        <v>-83.51327</v>
      </c>
      <c r="J651" s="4" t="s">
        <v>2769</v>
      </c>
      <c r="K651" s="6" t="str">
        <f aca="false">HYPERLINK("https://www.google.com/search?q=Northeast+Georgia+Regional+Library+System+Clarkesville+GA+library+website","Search")</f>
        <v>Search</v>
      </c>
      <c r="L651" s="7"/>
      <c r="M651" s="7"/>
    </row>
    <row r="652" customFormat="false" ht="15" hidden="false" customHeight="true" outlineLevel="0" collapsed="false">
      <c r="A652" s="4" t="s">
        <v>2595</v>
      </c>
      <c r="B652" s="4" t="s">
        <v>2770</v>
      </c>
      <c r="C652" s="4" t="s">
        <v>2771</v>
      </c>
      <c r="D652" s="4" t="s">
        <v>2772</v>
      </c>
      <c r="E652" s="5" t="n">
        <v>204201</v>
      </c>
      <c r="F652" s="4" t="n">
        <v>3</v>
      </c>
      <c r="G652" s="4" t="s">
        <v>2773</v>
      </c>
      <c r="H652" s="4" t="n">
        <v>34.77558</v>
      </c>
      <c r="I652" s="4" t="n">
        <v>-84.97814</v>
      </c>
      <c r="J652" s="4" t="s">
        <v>2774</v>
      </c>
      <c r="K652" s="6" t="str">
        <f aca="false">HYPERLINK("https://www.google.com/search?q=Northwest+Georgia+Regional+Library+System+Dalton+GA+library+website","Search")</f>
        <v>Search</v>
      </c>
      <c r="L652" s="7"/>
      <c r="M652" s="8" t="str">
        <f aca="false">HYPERLINK("https://ngrls.overdrive.com","https://ngrls.overdrive.com")</f>
        <v>https://ngrls.overdrive.com</v>
      </c>
    </row>
    <row r="653" customFormat="false" ht="15" hidden="false" customHeight="true" outlineLevel="0" collapsed="false">
      <c r="A653" s="4" t="s">
        <v>2595</v>
      </c>
      <c r="B653" s="4" t="s">
        <v>2775</v>
      </c>
      <c r="C653" s="4" t="s">
        <v>2776</v>
      </c>
      <c r="D653" s="4" t="s">
        <v>2777</v>
      </c>
      <c r="E653" s="5" t="n">
        <v>76538</v>
      </c>
      <c r="F653" s="4" t="n">
        <v>6</v>
      </c>
      <c r="G653" s="4" t="s">
        <v>2778</v>
      </c>
      <c r="H653" s="4" t="n">
        <v>32.19266</v>
      </c>
      <c r="I653" s="4" t="n">
        <v>-83.1801</v>
      </c>
      <c r="J653" s="4" t="s">
        <v>2779</v>
      </c>
      <c r="K653" s="6" t="str">
        <f aca="false">HYPERLINK("https://www.google.com/search?q=Ocmulgee+Regional+Library+System+Eastman+GA+library+website","Search")</f>
        <v>Search</v>
      </c>
      <c r="L653" s="7"/>
      <c r="M653" s="7"/>
    </row>
    <row r="654" customFormat="false" ht="15" hidden="false" customHeight="true" outlineLevel="0" collapsed="false">
      <c r="A654" s="4" t="s">
        <v>2595</v>
      </c>
      <c r="B654" s="4" t="s">
        <v>2780</v>
      </c>
      <c r="C654" s="4" t="s">
        <v>2781</v>
      </c>
      <c r="D654" s="4" t="s">
        <v>2782</v>
      </c>
      <c r="E654" s="5" t="n">
        <v>87629</v>
      </c>
      <c r="F654" s="4" t="n">
        <v>5</v>
      </c>
      <c r="G654" s="4" t="s">
        <v>2783</v>
      </c>
      <c r="H654" s="4" t="n">
        <v>32.53729</v>
      </c>
      <c r="I654" s="4" t="n">
        <v>-82.91621</v>
      </c>
      <c r="J654" s="4" t="s">
        <v>2784</v>
      </c>
      <c r="K654" s="6" t="str">
        <f aca="false">HYPERLINK("https://www.google.com/search?q=Oconee+Regional+Library+System+Dublin+GA+library+website","Search")</f>
        <v>Search</v>
      </c>
      <c r="L654" s="7"/>
      <c r="M654" s="7"/>
    </row>
    <row r="655" customFormat="false" ht="15" hidden="false" customHeight="true" outlineLevel="0" collapsed="false">
      <c r="A655" s="4" t="s">
        <v>2595</v>
      </c>
      <c r="B655" s="4" t="s">
        <v>2785</v>
      </c>
      <c r="C655" s="4" t="s">
        <v>2786</v>
      </c>
      <c r="D655" s="4" t="s">
        <v>2787</v>
      </c>
      <c r="E655" s="5" t="n">
        <v>76920</v>
      </c>
      <c r="F655" s="4" t="n">
        <v>7</v>
      </c>
      <c r="G655" s="4" t="s">
        <v>2788</v>
      </c>
      <c r="H655" s="4" t="n">
        <v>32.21169</v>
      </c>
      <c r="I655" s="4" t="n">
        <v>-82.41486</v>
      </c>
      <c r="J655" s="4" t="s">
        <v>2789</v>
      </c>
      <c r="K655" s="6" t="str">
        <f aca="false">HYPERLINK("https://www.google.com/search?q=Ohoopee+Regional+Library+System+Vidalia+GA+library+website","Search")</f>
        <v>Search</v>
      </c>
      <c r="L655" s="7"/>
      <c r="M655" s="7"/>
    </row>
    <row r="656" customFormat="false" ht="15" hidden="false" customHeight="true" outlineLevel="0" collapsed="false">
      <c r="A656" s="4" t="s">
        <v>2595</v>
      </c>
      <c r="B656" s="4" t="s">
        <v>2790</v>
      </c>
      <c r="C656" s="4" t="s">
        <v>2791</v>
      </c>
      <c r="D656" s="4" t="s">
        <v>2792</v>
      </c>
      <c r="E656" s="5" t="n">
        <v>92010</v>
      </c>
      <c r="F656" s="4" t="n">
        <v>5</v>
      </c>
      <c r="G656" s="4" t="s">
        <v>2793</v>
      </c>
      <c r="H656" s="4" t="n">
        <v>31.20751</v>
      </c>
      <c r="I656" s="4" t="n">
        <v>-82.35406</v>
      </c>
      <c r="J656" s="4" t="s">
        <v>2794</v>
      </c>
      <c r="K656" s="6" t="str">
        <f aca="false">HYPERLINK("https://www.google.com/search?q=Okefenokee+Regional+Library+System+Waycross+GA+library+website","Search")</f>
        <v>Search</v>
      </c>
      <c r="L656" s="7"/>
      <c r="M656" s="7"/>
    </row>
    <row r="657" customFormat="false" ht="15" hidden="false" customHeight="true" outlineLevel="0" collapsed="false">
      <c r="A657" s="4" t="s">
        <v>2595</v>
      </c>
      <c r="B657" s="4" t="s">
        <v>2795</v>
      </c>
      <c r="C657" s="4" t="s">
        <v>2796</v>
      </c>
      <c r="D657" s="4" t="s">
        <v>2797</v>
      </c>
      <c r="E657" s="5" t="n">
        <v>28242</v>
      </c>
      <c r="F657" s="4" t="n">
        <v>2</v>
      </c>
      <c r="G657" s="4" t="s">
        <v>2798</v>
      </c>
      <c r="H657" s="4" t="n">
        <v>32.551</v>
      </c>
      <c r="I657" s="4" t="n">
        <v>-83.88366</v>
      </c>
      <c r="J657" s="4" t="s">
        <v>2799</v>
      </c>
      <c r="K657" s="6" t="str">
        <f aca="false">HYPERLINK("https://www.google.com/search?q=Peach+Public+Libraries+Fort+Valley+GA+library+website","Search")</f>
        <v>Search</v>
      </c>
      <c r="L657" s="7"/>
      <c r="M657" s="7"/>
    </row>
    <row r="658" customFormat="false" ht="15" hidden="false" customHeight="true" outlineLevel="0" collapsed="false">
      <c r="A658" s="4" t="s">
        <v>2595</v>
      </c>
      <c r="B658" s="4" t="s">
        <v>2800</v>
      </c>
      <c r="C658" s="4" t="s">
        <v>98</v>
      </c>
      <c r="D658" s="4" t="s">
        <v>389</v>
      </c>
      <c r="E658" s="5" t="n">
        <v>187993</v>
      </c>
      <c r="F658" s="4" t="n">
        <v>11</v>
      </c>
      <c r="G658" s="4" t="s">
        <v>2801</v>
      </c>
      <c r="H658" s="4" t="n">
        <v>34.12792</v>
      </c>
      <c r="I658" s="4" t="n">
        <v>-83.58462</v>
      </c>
      <c r="J658" s="4" t="s">
        <v>2802</v>
      </c>
      <c r="K658" s="6" t="str">
        <f aca="false">HYPERLINK("https://www.google.com/search?q=Piedmont+Regional+Library+System+Jefferson+GA+library+website","Search")</f>
        <v>Search</v>
      </c>
      <c r="L658" s="7"/>
      <c r="M658" s="7"/>
    </row>
    <row r="659" customFormat="false" ht="15" hidden="false" customHeight="true" outlineLevel="0" collapsed="false">
      <c r="A659" s="4" t="s">
        <v>2595</v>
      </c>
      <c r="B659" s="4" t="s">
        <v>2803</v>
      </c>
      <c r="C659" s="4" t="s">
        <v>1996</v>
      </c>
      <c r="D659" s="4" t="s">
        <v>2804</v>
      </c>
      <c r="E659" s="5" t="n">
        <v>61790</v>
      </c>
      <c r="F659" s="4" t="n">
        <v>7</v>
      </c>
      <c r="G659" s="4" t="s">
        <v>2805</v>
      </c>
      <c r="H659" s="4" t="n">
        <v>32.86002</v>
      </c>
      <c r="I659" s="4" t="n">
        <v>-84.61468</v>
      </c>
      <c r="J659" s="4" t="s">
        <v>2806</v>
      </c>
      <c r="K659" s="6" t="str">
        <f aca="false">HYPERLINK("https://www.google.com/search?q=Pine+Mountain+Regional+Library+System+Manchester+GA+library+website","Search")</f>
        <v>Search</v>
      </c>
      <c r="L659" s="7"/>
      <c r="M659" s="7"/>
    </row>
    <row r="660" customFormat="false" ht="15" hidden="false" customHeight="true" outlineLevel="0" collapsed="false">
      <c r="A660" s="4" t="s">
        <v>2595</v>
      </c>
      <c r="B660" s="4" t="s">
        <v>2807</v>
      </c>
      <c r="C660" s="4" t="s">
        <v>2808</v>
      </c>
      <c r="D660" s="4" t="s">
        <v>2809</v>
      </c>
      <c r="E660" s="5" t="n">
        <v>24637</v>
      </c>
      <c r="F660" s="4" t="n">
        <v>1</v>
      </c>
      <c r="G660" s="4" t="s">
        <v>2810</v>
      </c>
      <c r="H660" s="4" t="n">
        <v>30.87954</v>
      </c>
      <c r="I660" s="4" t="n">
        <v>-84.20818</v>
      </c>
      <c r="J660" s="4" t="s">
        <v>2811</v>
      </c>
      <c r="K660" s="6" t="str">
        <f aca="false">HYPERLINK("https://www.google.com/search?q=Roddenbery+Memorial+Library+Cairo+GA+library+website","Search")</f>
        <v>Search</v>
      </c>
      <c r="L660" s="7"/>
      <c r="M660" s="7"/>
    </row>
    <row r="661" customFormat="false" ht="15" hidden="false" customHeight="true" outlineLevel="0" collapsed="false">
      <c r="A661" s="4" t="s">
        <v>2595</v>
      </c>
      <c r="B661" s="4" t="s">
        <v>2812</v>
      </c>
      <c r="C661" s="4" t="s">
        <v>2813</v>
      </c>
      <c r="D661" s="4" t="s">
        <v>2814</v>
      </c>
      <c r="E661" s="5" t="n">
        <v>167228</v>
      </c>
      <c r="F661" s="4" t="n">
        <v>6</v>
      </c>
      <c r="G661" s="4" t="s">
        <v>2815</v>
      </c>
      <c r="H661" s="4" t="n">
        <v>34.25839</v>
      </c>
      <c r="I661" s="4" t="n">
        <v>-85.16823</v>
      </c>
      <c r="J661" s="4" t="s">
        <v>2816</v>
      </c>
      <c r="K661" s="6" t="str">
        <f aca="false">HYPERLINK("https://www.google.com/search?q=Sara+Hightower+Regional+Library+System+Rome+GA+library+website","Search")</f>
        <v>Search</v>
      </c>
      <c r="L661" s="7"/>
      <c r="M661" s="7"/>
    </row>
    <row r="662" customFormat="false" ht="15" hidden="false" customHeight="true" outlineLevel="0" collapsed="false">
      <c r="A662" s="4" t="s">
        <v>2595</v>
      </c>
      <c r="B662" s="4" t="s">
        <v>2817</v>
      </c>
      <c r="C662" s="4" t="s">
        <v>719</v>
      </c>
      <c r="D662" s="4" t="s">
        <v>171</v>
      </c>
      <c r="E662" s="5" t="n">
        <v>52061</v>
      </c>
      <c r="F662" s="4" t="n">
        <v>6</v>
      </c>
      <c r="G662" s="4" t="s">
        <v>2818</v>
      </c>
      <c r="H662" s="4" t="n">
        <v>31.50703</v>
      </c>
      <c r="I662" s="4" t="n">
        <v>-82.84949</v>
      </c>
      <c r="J662" s="4" t="s">
        <v>2819</v>
      </c>
      <c r="K662" s="6" t="str">
        <f aca="false">HYPERLINK("https://www.google.com/search?q=Satilla+Regional+Library+System+Douglas+GA+library+website","Search")</f>
        <v>Search</v>
      </c>
      <c r="L662" s="7"/>
      <c r="M662" s="7"/>
    </row>
    <row r="663" customFormat="false" ht="15" hidden="false" customHeight="true" outlineLevel="0" collapsed="false">
      <c r="A663" s="4" t="s">
        <v>2595</v>
      </c>
      <c r="B663" s="4" t="s">
        <v>2820</v>
      </c>
      <c r="C663" s="4" t="s">
        <v>2821</v>
      </c>
      <c r="D663" s="4" t="s">
        <v>2822</v>
      </c>
      <c r="E663" s="5" t="n">
        <v>22812</v>
      </c>
      <c r="F663" s="4" t="n">
        <v>2</v>
      </c>
      <c r="G663" s="4" t="s">
        <v>2823</v>
      </c>
      <c r="H663" s="4" t="n">
        <v>32.75501</v>
      </c>
      <c r="I663" s="4" t="n">
        <v>-81.64775</v>
      </c>
      <c r="J663" s="4" t="s">
        <v>2824</v>
      </c>
      <c r="K663" s="6" t="str">
        <f aca="false">HYPERLINK("https://www.google.com/search?q=Screven-Jenkins+Regional+Library+System+Sylvania+GA+library+website","Search")</f>
        <v>Search</v>
      </c>
      <c r="L663" s="7"/>
      <c r="M663" s="7"/>
    </row>
    <row r="664" customFormat="false" ht="15" hidden="false" customHeight="true" outlineLevel="0" collapsed="false">
      <c r="A664" s="4" t="s">
        <v>2595</v>
      </c>
      <c r="B664" s="4" t="s">
        <v>2825</v>
      </c>
      <c r="C664" s="4" t="s">
        <v>1853</v>
      </c>
      <c r="D664" s="4" t="s">
        <v>2826</v>
      </c>
      <c r="E664" s="5" t="n">
        <v>338512</v>
      </c>
      <c r="F664" s="4" t="n">
        <v>8</v>
      </c>
      <c r="G664" s="4" t="s">
        <v>2827</v>
      </c>
      <c r="H664" s="4" t="n">
        <v>34.23741</v>
      </c>
      <c r="I664" s="4" t="n">
        <v>-84.46942</v>
      </c>
      <c r="J664" s="4" t="s">
        <v>2828</v>
      </c>
      <c r="K664" s="6" t="str">
        <f aca="false">HYPERLINK("https://www.google.com/search?q=Sequoyah+Regional+Library+System+Canton+GA+library+website","Search")</f>
        <v>Search</v>
      </c>
      <c r="L664" s="7"/>
      <c r="M664" s="8" t="str">
        <f aca="false">HYPERLINK("https://sequoyah.overdrive.com","https://sequoyah.overdrive.com")</f>
        <v>https://sequoyah.overdrive.com</v>
      </c>
    </row>
    <row r="665" customFormat="false" ht="15" hidden="false" customHeight="true" outlineLevel="0" collapsed="false">
      <c r="A665" s="4" t="s">
        <v>2595</v>
      </c>
      <c r="B665" s="4" t="s">
        <v>2829</v>
      </c>
      <c r="C665" s="4" t="s">
        <v>2830</v>
      </c>
      <c r="D665" s="4" t="s">
        <v>2831</v>
      </c>
      <c r="E665" s="5" t="n">
        <v>135471</v>
      </c>
      <c r="F665" s="4" t="n">
        <v>6</v>
      </c>
      <c r="G665" s="4" t="s">
        <v>2832</v>
      </c>
      <c r="H665" s="4" t="n">
        <v>30.87562</v>
      </c>
      <c r="I665" s="4" t="n">
        <v>-83.27896</v>
      </c>
      <c r="J665" s="4" t="s">
        <v>2833</v>
      </c>
      <c r="K665" s="6" t="str">
        <f aca="false">HYPERLINK("https://www.google.com/search?q=South+Georgia+Regional+Library+Valdosta+GA+library+website","Search")</f>
        <v>Search</v>
      </c>
      <c r="L665" s="7"/>
      <c r="M665" s="7"/>
    </row>
    <row r="666" customFormat="false" ht="15" hidden="false" customHeight="true" outlineLevel="0" collapsed="false">
      <c r="A666" s="4" t="s">
        <v>2595</v>
      </c>
      <c r="B666" s="4" t="s">
        <v>2834</v>
      </c>
      <c r="C666" s="4" t="s">
        <v>2835</v>
      </c>
      <c r="D666" s="4" t="s">
        <v>155</v>
      </c>
      <c r="E666" s="5" t="n">
        <v>40366</v>
      </c>
      <c r="F666" s="4" t="n">
        <v>3</v>
      </c>
      <c r="G666" s="4" t="s">
        <v>2836</v>
      </c>
      <c r="H666" s="4" t="n">
        <v>30.90349</v>
      </c>
      <c r="I666" s="4" t="n">
        <v>-84.56999</v>
      </c>
      <c r="J666" s="4" t="s">
        <v>2837</v>
      </c>
      <c r="K666" s="6" t="str">
        <f aca="false">HYPERLINK("https://www.google.com/search?q=Southwest+Georgia+Regional+Library+System+Bainbridge+GA+library+website","Search")</f>
        <v>Search</v>
      </c>
      <c r="L666" s="7"/>
      <c r="M666" s="7"/>
    </row>
    <row r="667" customFormat="false" ht="15" hidden="false" customHeight="true" outlineLevel="0" collapsed="false">
      <c r="A667" s="4" t="s">
        <v>2595</v>
      </c>
      <c r="B667" s="4" t="s">
        <v>2838</v>
      </c>
      <c r="C667" s="4" t="s">
        <v>2839</v>
      </c>
      <c r="D667" s="4" t="s">
        <v>2840</v>
      </c>
      <c r="E667" s="5" t="n">
        <v>169159</v>
      </c>
      <c r="F667" s="4" t="n">
        <v>6</v>
      </c>
      <c r="G667" s="4" t="s">
        <v>2841</v>
      </c>
      <c r="H667" s="4" t="n">
        <v>32.44561</v>
      </c>
      <c r="I667" s="4" t="n">
        <v>-81.78372</v>
      </c>
      <c r="J667" s="4" t="s">
        <v>2842</v>
      </c>
      <c r="K667" s="6" t="str">
        <f aca="false">HYPERLINK("https://www.google.com/search?q=Statesboro+Regional+Public+Libraries+Statesboro+GA+library+website","Search")</f>
        <v>Search</v>
      </c>
      <c r="L667" s="7"/>
      <c r="M667" s="7"/>
    </row>
    <row r="668" customFormat="false" ht="15" hidden="false" customHeight="true" outlineLevel="0" collapsed="false">
      <c r="A668" s="4" t="s">
        <v>2595</v>
      </c>
      <c r="B668" s="4" t="s">
        <v>2843</v>
      </c>
      <c r="C668" s="4" t="s">
        <v>2844</v>
      </c>
      <c r="D668" s="4" t="s">
        <v>2845</v>
      </c>
      <c r="E668" s="5" t="n">
        <v>44417</v>
      </c>
      <c r="F668" s="4" t="n">
        <v>6</v>
      </c>
      <c r="G668" s="4" t="s">
        <v>2846</v>
      </c>
      <c r="H668" s="4" t="n">
        <v>30.83847</v>
      </c>
      <c r="I668" s="4" t="n">
        <v>-83.98246</v>
      </c>
      <c r="J668" s="4" t="s">
        <v>2847</v>
      </c>
      <c r="K668" s="6" t="str">
        <f aca="false">HYPERLINK("https://www.google.com/search?q=Thomas+County+Public+Library+System+Thomasville+GA+library+website","Search")</f>
        <v>Search</v>
      </c>
      <c r="L668" s="7"/>
      <c r="M668" s="7"/>
    </row>
    <row r="669" customFormat="false" ht="15" hidden="false" customHeight="true" outlineLevel="0" collapsed="false">
      <c r="A669" s="4" t="s">
        <v>2595</v>
      </c>
      <c r="B669" s="4" t="s">
        <v>2566</v>
      </c>
      <c r="C669" s="4" t="s">
        <v>2848</v>
      </c>
      <c r="D669" s="4" t="s">
        <v>2849</v>
      </c>
      <c r="E669" s="5" t="n">
        <v>154183</v>
      </c>
      <c r="F669" s="4" t="n">
        <v>10</v>
      </c>
      <c r="G669" s="4" t="s">
        <v>2850</v>
      </c>
      <c r="H669" s="4" t="n">
        <v>31.59736</v>
      </c>
      <c r="I669" s="4" t="n">
        <v>-81.87765</v>
      </c>
      <c r="J669" s="4" t="s">
        <v>2851</v>
      </c>
      <c r="K669" s="6" t="str">
        <f aca="false">HYPERLINK("https://www.google.com/search?q=Three+Rivers+Regional+Library+System+Jesup+GA+library+website","Search")</f>
        <v>Search</v>
      </c>
      <c r="L669" s="7"/>
      <c r="M669" s="7"/>
    </row>
    <row r="670" customFormat="false" ht="15" hidden="false" customHeight="true" outlineLevel="0" collapsed="false">
      <c r="A670" s="4" t="s">
        <v>2595</v>
      </c>
      <c r="B670" s="4" t="s">
        <v>2852</v>
      </c>
      <c r="C670" s="4" t="s">
        <v>2853</v>
      </c>
      <c r="D670" s="4" t="s">
        <v>2854</v>
      </c>
      <c r="E670" s="5" t="n">
        <v>107834</v>
      </c>
      <c r="F670" s="4" t="n">
        <v>3</v>
      </c>
      <c r="G670" s="4" t="s">
        <v>2855</v>
      </c>
      <c r="H670" s="4" t="n">
        <v>33.03712</v>
      </c>
      <c r="I670" s="4" t="n">
        <v>-85.03813</v>
      </c>
      <c r="J670" s="4" t="s">
        <v>2856</v>
      </c>
      <c r="K670" s="6" t="str">
        <f aca="false">HYPERLINK("https://www.google.com/search?q=Troup-Harris+Regional+Library+Lagrange+GA+library+website","Search")</f>
        <v>Search</v>
      </c>
      <c r="L670" s="7"/>
      <c r="M670" s="7"/>
    </row>
    <row r="671" customFormat="false" ht="15" hidden="false" customHeight="true" outlineLevel="0" collapsed="false">
      <c r="A671" s="4" t="s">
        <v>2595</v>
      </c>
      <c r="B671" s="4" t="s">
        <v>2857</v>
      </c>
      <c r="C671" s="4" t="s">
        <v>374</v>
      </c>
      <c r="D671" s="4" t="s">
        <v>491</v>
      </c>
      <c r="E671" s="5" t="n">
        <v>499056</v>
      </c>
      <c r="F671" s="4" t="n">
        <v>20</v>
      </c>
      <c r="G671" s="4" t="s">
        <v>2858</v>
      </c>
      <c r="H671" s="4" t="n">
        <v>33.5854</v>
      </c>
      <c r="I671" s="4" t="n">
        <v>-85.07446</v>
      </c>
      <c r="J671" s="4" t="s">
        <v>2859</v>
      </c>
      <c r="K671" s="6" t="str">
        <f aca="false">HYPERLINK("https://www.google.com/search?q=West+Georgia+Regional+Library+Carrollton+GA+library+website","Search")</f>
        <v>Search</v>
      </c>
      <c r="L671" s="7"/>
      <c r="M671" s="7"/>
    </row>
    <row r="672" customFormat="false" ht="15" hidden="false" customHeight="true" outlineLevel="0" collapsed="false">
      <c r="A672" s="4" t="s">
        <v>2595</v>
      </c>
      <c r="B672" s="4" t="s">
        <v>2860</v>
      </c>
      <c r="C672" s="4" t="s">
        <v>2861</v>
      </c>
      <c r="D672" s="4" t="s">
        <v>2862</v>
      </c>
      <c r="E672" s="5" t="n">
        <v>20051</v>
      </c>
      <c r="F672" s="4" t="n">
        <v>1</v>
      </c>
      <c r="G672" s="4" t="s">
        <v>2863</v>
      </c>
      <c r="H672" s="4" t="n">
        <v>31.529</v>
      </c>
      <c r="I672" s="4" t="n">
        <v>-83.83431</v>
      </c>
      <c r="J672" s="4" t="s">
        <v>2864</v>
      </c>
      <c r="K672" s="6" t="str">
        <f aca="false">HYPERLINK("https://www.google.com/search?q=Worth+County+Library+System+Sylvester+GA+library+website","Search")</f>
        <v>Search</v>
      </c>
      <c r="L672" s="7"/>
      <c r="M672" s="7"/>
    </row>
    <row r="673" customFormat="false" ht="15" hidden="false" customHeight="true" outlineLevel="0" collapsed="false">
      <c r="A673" s="4" t="s">
        <v>2865</v>
      </c>
      <c r="B673" s="4" t="s">
        <v>2866</v>
      </c>
      <c r="C673" s="4" t="s">
        <v>2867</v>
      </c>
      <c r="D673" s="4" t="s">
        <v>2867</v>
      </c>
      <c r="E673" s="5" t="n">
        <v>1440196</v>
      </c>
      <c r="F673" s="4" t="n">
        <v>50</v>
      </c>
      <c r="G673" s="4" t="s">
        <v>2868</v>
      </c>
      <c r="H673" s="4" t="n">
        <v>21.30943</v>
      </c>
      <c r="I673" s="4" t="n">
        <v>-157.86316</v>
      </c>
      <c r="J673" s="4" t="s">
        <v>2869</v>
      </c>
      <c r="K673" s="6" t="str">
        <f aca="false">HYPERLINK("https://www.google.com/search?q=Hawaii+State+Public+Library+System+Honolulu+HI+library+website","Search")</f>
        <v>Search</v>
      </c>
      <c r="L673" s="7"/>
      <c r="M673" s="8" t="str">
        <f aca="false">HYPERLINK("https://hawaii.overdrive.com","https://hawaii.overdrive.com")</f>
        <v>https://hawaii.overdrive.com</v>
      </c>
    </row>
    <row r="674" customFormat="false" ht="15" hidden="false" customHeight="true" outlineLevel="0" collapsed="false">
      <c r="A674" s="4" t="s">
        <v>2870</v>
      </c>
      <c r="B674" s="4" t="s">
        <v>2871</v>
      </c>
      <c r="C674" s="4" t="s">
        <v>2872</v>
      </c>
      <c r="D674" s="4" t="s">
        <v>394</v>
      </c>
      <c r="E674" s="5" t="n">
        <v>10337</v>
      </c>
      <c r="F674" s="4" t="n">
        <v>1</v>
      </c>
      <c r="G674" s="4" t="s">
        <v>2873</v>
      </c>
      <c r="H674" s="4" t="n">
        <v>41.61516</v>
      </c>
      <c r="I674" s="4" t="n">
        <v>-94.01987</v>
      </c>
      <c r="J674" s="4" t="s">
        <v>2874</v>
      </c>
      <c r="K674" s="6" t="str">
        <f aca="false">HYPERLINK("https://www.google.com/search?q=Adel+Public+Library+Adel+IA+library+website","Search")</f>
        <v>Search</v>
      </c>
      <c r="L674" s="7"/>
      <c r="M674" s="7"/>
    </row>
    <row r="675" customFormat="false" ht="15" hidden="false" customHeight="true" outlineLevel="0" collapsed="false">
      <c r="A675" s="4" t="s">
        <v>2870</v>
      </c>
      <c r="B675" s="4" t="s">
        <v>2875</v>
      </c>
      <c r="C675" s="4" t="s">
        <v>2876</v>
      </c>
      <c r="D675" s="4" t="s">
        <v>2523</v>
      </c>
      <c r="E675" s="5" t="n">
        <v>24355</v>
      </c>
      <c r="F675" s="4" t="n">
        <v>1</v>
      </c>
      <c r="G675" s="4" t="s">
        <v>2877</v>
      </c>
      <c r="H675" s="4" t="n">
        <v>41.64404</v>
      </c>
      <c r="I675" s="4" t="n">
        <v>-93.47257</v>
      </c>
      <c r="J675" s="4" t="s">
        <v>2878</v>
      </c>
      <c r="K675" s="6" t="str">
        <f aca="false">HYPERLINK("https://www.google.com/search?q=Altoona+Public+Library+Altoona+IA+library+website","Search")</f>
        <v>Search</v>
      </c>
      <c r="L675" s="7"/>
      <c r="M675" s="7"/>
    </row>
    <row r="676" customFormat="false" ht="15" hidden="false" customHeight="true" outlineLevel="0" collapsed="false">
      <c r="A676" s="4" t="s">
        <v>2870</v>
      </c>
      <c r="B676" s="4" t="s">
        <v>2879</v>
      </c>
      <c r="C676" s="4" t="s">
        <v>2880</v>
      </c>
      <c r="D676" s="4" t="s">
        <v>2881</v>
      </c>
      <c r="E676" s="5" t="n">
        <v>73022</v>
      </c>
      <c r="F676" s="4" t="n">
        <v>1</v>
      </c>
      <c r="G676" s="4" t="s">
        <v>2882</v>
      </c>
      <c r="H676" s="4" t="n">
        <v>42.02643</v>
      </c>
      <c r="I676" s="4" t="n">
        <v>-93.61214</v>
      </c>
      <c r="J676" s="4" t="s">
        <v>2883</v>
      </c>
      <c r="K676" s="6" t="str">
        <f aca="false">HYPERLINK("https://www.google.com/search?q=Ames+Public+Library+Ames+IA+library+website","Search")</f>
        <v>Search</v>
      </c>
      <c r="L676" s="7"/>
      <c r="M676" s="7"/>
    </row>
    <row r="677" customFormat="false" ht="15" hidden="false" customHeight="true" outlineLevel="0" collapsed="false">
      <c r="A677" s="4" t="s">
        <v>2870</v>
      </c>
      <c r="B677" s="4" t="s">
        <v>2884</v>
      </c>
      <c r="C677" s="4" t="s">
        <v>2885</v>
      </c>
      <c r="D677" s="4" t="s">
        <v>2886</v>
      </c>
      <c r="E677" s="5" t="n">
        <v>10208</v>
      </c>
      <c r="F677" s="4" t="n">
        <v>1</v>
      </c>
      <c r="G677" s="4" t="s">
        <v>2887</v>
      </c>
      <c r="H677" s="4" t="n">
        <v>42.10652</v>
      </c>
      <c r="I677" s="4" t="n">
        <v>-91.27886</v>
      </c>
      <c r="J677" s="4" t="s">
        <v>2888</v>
      </c>
      <c r="K677" s="6" t="str">
        <f aca="false">HYPERLINK("https://www.google.com/search?q=Anamosa+Library+%26+Learning+Center+Anamosa+IA+library+website","Search")</f>
        <v>Search</v>
      </c>
      <c r="L677" s="7"/>
      <c r="M677" s="7"/>
    </row>
    <row r="678" customFormat="false" ht="15" hidden="false" customHeight="true" outlineLevel="0" collapsed="false">
      <c r="A678" s="4" t="s">
        <v>2870</v>
      </c>
      <c r="B678" s="4" t="s">
        <v>2889</v>
      </c>
      <c r="C678" s="4" t="s">
        <v>2890</v>
      </c>
      <c r="D678" s="4" t="s">
        <v>2523</v>
      </c>
      <c r="E678" s="5" t="n">
        <v>77768</v>
      </c>
      <c r="F678" s="4" t="n">
        <v>1</v>
      </c>
      <c r="G678" s="4" t="s">
        <v>2891</v>
      </c>
      <c r="H678" s="4" t="n">
        <v>41.71407</v>
      </c>
      <c r="I678" s="4" t="n">
        <v>-93.6167</v>
      </c>
      <c r="J678" s="4" t="s">
        <v>2892</v>
      </c>
      <c r="K678" s="6" t="str">
        <f aca="false">HYPERLINK("https://www.google.com/search?q=Ankeny+Kirkendall+Public+Library+Ankeny+IA+library+website","Search")</f>
        <v>Search</v>
      </c>
      <c r="L678" s="7"/>
      <c r="M678" s="7"/>
    </row>
    <row r="679" customFormat="false" ht="15" hidden="false" customHeight="true" outlineLevel="0" collapsed="false">
      <c r="A679" s="4" t="s">
        <v>2870</v>
      </c>
      <c r="B679" s="4" t="s">
        <v>2893</v>
      </c>
      <c r="C679" s="4" t="s">
        <v>2894</v>
      </c>
      <c r="D679" s="4" t="s">
        <v>2895</v>
      </c>
      <c r="E679" s="5" t="n">
        <v>39102</v>
      </c>
      <c r="F679" s="4" t="n">
        <v>1</v>
      </c>
      <c r="G679" s="4" t="s">
        <v>2896</v>
      </c>
      <c r="H679" s="4" t="n">
        <v>41.55212</v>
      </c>
      <c r="I679" s="4" t="n">
        <v>-90.50148</v>
      </c>
      <c r="J679" s="4" t="s">
        <v>2897</v>
      </c>
      <c r="K679" s="6" t="str">
        <f aca="false">HYPERLINK("https://www.google.com/search?q=Bettendorf+Public+Library+Information+Center+Bettendorf+IA+library+website","Search")</f>
        <v>Search</v>
      </c>
      <c r="L679" s="7"/>
      <c r="M679" s="7"/>
    </row>
    <row r="680" customFormat="false" ht="15" hidden="false" customHeight="true" outlineLevel="0" collapsed="false">
      <c r="A680" s="4" t="s">
        <v>2870</v>
      </c>
      <c r="B680" s="4" t="s">
        <v>2898</v>
      </c>
      <c r="C680" s="4" t="s">
        <v>2899</v>
      </c>
      <c r="D680" s="4" t="s">
        <v>2523</v>
      </c>
      <c r="E680" s="5" t="n">
        <v>10363</v>
      </c>
      <c r="F680" s="4" t="n">
        <v>1</v>
      </c>
      <c r="G680" s="4" t="s">
        <v>2900</v>
      </c>
      <c r="H680" s="4" t="n">
        <v>41.70299</v>
      </c>
      <c r="I680" s="4" t="n">
        <v>-93.46267</v>
      </c>
      <c r="J680" s="4" t="s">
        <v>2901</v>
      </c>
      <c r="K680" s="6" t="str">
        <f aca="false">HYPERLINK("https://www.google.com/search?q=Bondurant+Community+Library+Bondurant+IA+library+website","Search")</f>
        <v>Search</v>
      </c>
      <c r="L680" s="7"/>
      <c r="M680" s="7"/>
    </row>
    <row r="681" customFormat="false" ht="15" hidden="false" customHeight="true" outlineLevel="0" collapsed="false">
      <c r="A681" s="4" t="s">
        <v>2870</v>
      </c>
      <c r="B681" s="4" t="s">
        <v>2902</v>
      </c>
      <c r="C681" s="4" t="s">
        <v>2903</v>
      </c>
      <c r="D681" s="4" t="s">
        <v>2904</v>
      </c>
      <c r="E681" s="5" t="n">
        <v>34231</v>
      </c>
      <c r="F681" s="4" t="n">
        <v>1</v>
      </c>
      <c r="G681" s="4" t="s">
        <v>2905</v>
      </c>
      <c r="H681" s="4" t="n">
        <v>40.81251</v>
      </c>
      <c r="I681" s="4" t="n">
        <v>-91.1016</v>
      </c>
      <c r="J681" s="4" t="s">
        <v>2906</v>
      </c>
      <c r="K681" s="6" t="str">
        <f aca="false">HYPERLINK("https://www.google.com/search?q=Burlington+Public+Library+Burlington+IA+library+website","Search")</f>
        <v>Search</v>
      </c>
      <c r="L681" s="7"/>
      <c r="M681" s="7"/>
    </row>
    <row r="682" customFormat="false" ht="15" hidden="false" customHeight="true" outlineLevel="0" collapsed="false">
      <c r="A682" s="4" t="s">
        <v>2870</v>
      </c>
      <c r="B682" s="4" t="s">
        <v>2907</v>
      </c>
      <c r="C682" s="4" t="s">
        <v>2908</v>
      </c>
      <c r="D682" s="4" t="s">
        <v>2908</v>
      </c>
      <c r="E682" s="5" t="n">
        <v>60309</v>
      </c>
      <c r="F682" s="4" t="n">
        <v>1</v>
      </c>
      <c r="G682" s="4" t="s">
        <v>2909</v>
      </c>
      <c r="H682" s="4" t="n">
        <v>42.50284</v>
      </c>
      <c r="I682" s="4" t="n">
        <v>-90.66994</v>
      </c>
      <c r="J682" s="4" t="s">
        <v>2910</v>
      </c>
      <c r="K682" s="6" t="str">
        <f aca="false">HYPERLINK("https://www.google.com/search?q=Carnegie-Stout+Public+Library+Dubuque+IA+library+website","Search")</f>
        <v>Search</v>
      </c>
      <c r="L682" s="7"/>
      <c r="M682" s="8" t="str">
        <f aca="false">HYPERLINK("https://dubuque.overdrive.com","https://dubuque.overdrive.com")</f>
        <v>https://dubuque.overdrive.com</v>
      </c>
    </row>
    <row r="683" customFormat="false" ht="15" hidden="false" customHeight="true" outlineLevel="0" collapsed="false">
      <c r="A683" s="4" t="s">
        <v>2870</v>
      </c>
      <c r="B683" s="4" t="s">
        <v>2911</v>
      </c>
      <c r="C683" s="4" t="s">
        <v>491</v>
      </c>
      <c r="D683" s="4" t="s">
        <v>491</v>
      </c>
      <c r="E683" s="5" t="n">
        <v>15640</v>
      </c>
      <c r="F683" s="4" t="n">
        <v>1</v>
      </c>
      <c r="G683" s="4" t="s">
        <v>2912</v>
      </c>
      <c r="H683" s="4" t="n">
        <v>42.0643</v>
      </c>
      <c r="I683" s="4" t="n">
        <v>-94.867</v>
      </c>
      <c r="J683" s="4" t="s">
        <v>2913</v>
      </c>
      <c r="K683" s="6" t="str">
        <f aca="false">HYPERLINK("https://www.google.com/search?q=Carroll+Public+Library+Carroll+IA+library+website","Search")</f>
        <v>Search</v>
      </c>
      <c r="L683" s="7"/>
      <c r="M683" s="7"/>
    </row>
    <row r="684" customFormat="false" ht="15" hidden="false" customHeight="true" outlineLevel="0" collapsed="false">
      <c r="A684" s="4" t="s">
        <v>2870</v>
      </c>
      <c r="B684" s="4" t="s">
        <v>2914</v>
      </c>
      <c r="C684" s="4" t="s">
        <v>2915</v>
      </c>
      <c r="D684" s="4" t="s">
        <v>2916</v>
      </c>
      <c r="E684" s="5" t="n">
        <v>42012</v>
      </c>
      <c r="F684" s="4" t="n">
        <v>1</v>
      </c>
      <c r="G684" s="4" t="s">
        <v>2917</v>
      </c>
      <c r="H684" s="4" t="n">
        <v>42.53379</v>
      </c>
      <c r="I684" s="4" t="n">
        <v>-92.44546</v>
      </c>
      <c r="J684" s="4" t="s">
        <v>2918</v>
      </c>
      <c r="K684" s="6" t="str">
        <f aca="false">HYPERLINK("https://www.google.com/search?q=Cedar+Falls+Public+Library+Cedar+Falls+IA+library+website","Search")</f>
        <v>Search</v>
      </c>
      <c r="L684" s="7"/>
      <c r="M684" s="7"/>
    </row>
    <row r="685" customFormat="false" ht="15" hidden="false" customHeight="true" outlineLevel="0" collapsed="false">
      <c r="A685" s="4" t="s">
        <v>2870</v>
      </c>
      <c r="B685" s="4" t="s">
        <v>2919</v>
      </c>
      <c r="C685" s="4" t="s">
        <v>2920</v>
      </c>
      <c r="D685" s="4" t="s">
        <v>2921</v>
      </c>
      <c r="E685" s="5" t="n">
        <v>145827</v>
      </c>
      <c r="F685" s="4" t="n">
        <v>2</v>
      </c>
      <c r="G685" s="4" t="s">
        <v>2922</v>
      </c>
      <c r="H685" s="4" t="n">
        <v>41.97709</v>
      </c>
      <c r="I685" s="4" t="n">
        <v>-91.66285</v>
      </c>
      <c r="J685" s="4" t="s">
        <v>2923</v>
      </c>
      <c r="K685" s="6" t="str">
        <f aca="false">HYPERLINK("https://www.google.com/search?q=Cedar+Rapids+Public+Library+Cedar+Rapids+IA+library+website","Search")</f>
        <v>Search</v>
      </c>
      <c r="L685" s="7"/>
      <c r="M685" s="7"/>
    </row>
    <row r="686" customFormat="false" ht="15" hidden="false" customHeight="true" outlineLevel="0" collapsed="false">
      <c r="A686" s="4" t="s">
        <v>2870</v>
      </c>
      <c r="B686" s="4" t="s">
        <v>2924</v>
      </c>
      <c r="C686" s="4" t="s">
        <v>2925</v>
      </c>
      <c r="D686" s="4" t="s">
        <v>2814</v>
      </c>
      <c r="E686" s="5" t="n">
        <v>12236</v>
      </c>
      <c r="F686" s="4" t="n">
        <v>1</v>
      </c>
      <c r="G686" s="4" t="s">
        <v>2926</v>
      </c>
      <c r="H686" s="4" t="n">
        <v>43.06865</v>
      </c>
      <c r="I686" s="4" t="n">
        <v>-92.67459</v>
      </c>
      <c r="J686" s="4" t="s">
        <v>2927</v>
      </c>
      <c r="K686" s="6" t="str">
        <f aca="false">HYPERLINK("https://www.google.com/search?q=Charles+City+Public+Library+Charles+City+IA+library+website","Search")</f>
        <v>Search</v>
      </c>
      <c r="L686" s="7"/>
      <c r="M686" s="7"/>
    </row>
    <row r="687" customFormat="false" ht="15" hidden="false" customHeight="true" outlineLevel="0" collapsed="false">
      <c r="A687" s="4" t="s">
        <v>2870</v>
      </c>
      <c r="B687" s="4" t="s">
        <v>2928</v>
      </c>
      <c r="C687" s="4" t="s">
        <v>2929</v>
      </c>
      <c r="D687" s="4" t="s">
        <v>2930</v>
      </c>
      <c r="E687" s="5" t="n">
        <v>10521</v>
      </c>
      <c r="F687" s="4" t="n">
        <v>1</v>
      </c>
      <c r="G687" s="4" t="s">
        <v>2931</v>
      </c>
      <c r="H687" s="4" t="n">
        <v>43.13819</v>
      </c>
      <c r="I687" s="4" t="n">
        <v>-93.38272</v>
      </c>
      <c r="J687" s="4" t="s">
        <v>2932</v>
      </c>
      <c r="K687" s="6" t="str">
        <f aca="false">HYPERLINK("https://www.google.com/search?q=Clear+Lake+Public+Library+Clear+Lake+IA+library+website","Search")</f>
        <v>Search</v>
      </c>
      <c r="L687" s="7"/>
      <c r="M687" s="7"/>
    </row>
    <row r="688" customFormat="false" ht="15" hidden="false" customHeight="true" outlineLevel="0" collapsed="false">
      <c r="A688" s="4" t="s">
        <v>2870</v>
      </c>
      <c r="B688" s="4" t="s">
        <v>2933</v>
      </c>
      <c r="C688" s="4" t="s">
        <v>1964</v>
      </c>
      <c r="D688" s="4" t="s">
        <v>1964</v>
      </c>
      <c r="E688" s="5" t="n">
        <v>27259</v>
      </c>
      <c r="F688" s="4" t="n">
        <v>2</v>
      </c>
      <c r="G688" s="4" t="s">
        <v>2934</v>
      </c>
      <c r="H688" s="4" t="n">
        <v>41.83816</v>
      </c>
      <c r="I688" s="4" t="n">
        <v>-90.19076</v>
      </c>
      <c r="J688" s="4" t="s">
        <v>2935</v>
      </c>
      <c r="K688" s="6" t="str">
        <f aca="false">HYPERLINK("https://www.google.com/search?q=Clinton+Public+Library+Clinton+IA+library+website","Search")</f>
        <v>Search</v>
      </c>
      <c r="L688" s="7"/>
      <c r="M688" s="7"/>
    </row>
    <row r="689" customFormat="false" ht="15" hidden="false" customHeight="true" outlineLevel="0" collapsed="false">
      <c r="A689" s="4" t="s">
        <v>2870</v>
      </c>
      <c r="B689" s="4" t="s">
        <v>2936</v>
      </c>
      <c r="C689" s="4" t="s">
        <v>2937</v>
      </c>
      <c r="D689" s="4" t="s">
        <v>2523</v>
      </c>
      <c r="E689" s="5" t="n">
        <v>18796</v>
      </c>
      <c r="F689" s="4" t="n">
        <v>2</v>
      </c>
      <c r="G689" s="4" t="s">
        <v>2938</v>
      </c>
      <c r="H689" s="4" t="n">
        <v>41.60947</v>
      </c>
      <c r="I689" s="4" t="n">
        <v>-93.77498</v>
      </c>
      <c r="J689" s="4" t="s">
        <v>2939</v>
      </c>
      <c r="K689" s="6" t="str">
        <f aca="false">HYPERLINK("https://www.google.com/search?q=Clive+Public+Library+Clive+IA+library+website","Search")</f>
        <v>Search</v>
      </c>
      <c r="L689" s="7"/>
      <c r="M689" s="7"/>
    </row>
    <row r="690" customFormat="false" ht="15" hidden="false" customHeight="true" outlineLevel="0" collapsed="false">
      <c r="A690" s="4" t="s">
        <v>2870</v>
      </c>
      <c r="B690" s="4" t="s">
        <v>2940</v>
      </c>
      <c r="C690" s="4" t="s">
        <v>2941</v>
      </c>
      <c r="D690" s="4" t="s">
        <v>2942</v>
      </c>
      <c r="E690" s="5" t="n">
        <v>27074</v>
      </c>
      <c r="F690" s="4" t="n">
        <v>1</v>
      </c>
      <c r="G690" s="4" t="s">
        <v>2943</v>
      </c>
      <c r="H690" s="4" t="n">
        <v>41.67726</v>
      </c>
      <c r="I690" s="4" t="n">
        <v>-91.58187</v>
      </c>
      <c r="J690" s="4" t="s">
        <v>2944</v>
      </c>
      <c r="K690" s="6" t="str">
        <f aca="false">HYPERLINK("https://www.google.com/search?q=Coralville+Public+Library+Coralville+IA+library+website","Search")</f>
        <v>Search</v>
      </c>
      <c r="L690" s="7"/>
      <c r="M690" s="7"/>
    </row>
    <row r="691" customFormat="false" ht="15" hidden="false" customHeight="true" outlineLevel="0" collapsed="false">
      <c r="A691" s="4" t="s">
        <v>2870</v>
      </c>
      <c r="B691" s="4" t="s">
        <v>2945</v>
      </c>
      <c r="C691" s="4" t="s">
        <v>2946</v>
      </c>
      <c r="D691" s="4" t="s">
        <v>2947</v>
      </c>
      <c r="E691" s="5" t="n">
        <v>80239</v>
      </c>
      <c r="F691" s="4" t="n">
        <v>1</v>
      </c>
      <c r="G691" s="4" t="s">
        <v>2948</v>
      </c>
      <c r="H691" s="4" t="n">
        <v>41.25828</v>
      </c>
      <c r="I691" s="4" t="n">
        <v>-95.84984</v>
      </c>
      <c r="J691" s="4" t="s">
        <v>2949</v>
      </c>
      <c r="K691" s="6" t="str">
        <f aca="false">HYPERLINK("https://www.google.com/search?q=Council+Bluffs+Public+Library+Council+Bluffs+IA+library+website","Search")</f>
        <v>Search</v>
      </c>
      <c r="L691" s="7"/>
      <c r="M691" s="7"/>
    </row>
    <row r="692" customFormat="false" ht="15" hidden="false" customHeight="true" outlineLevel="0" collapsed="false">
      <c r="A692" s="4" t="s">
        <v>2870</v>
      </c>
      <c r="B692" s="4" t="s">
        <v>2950</v>
      </c>
      <c r="C692" s="4" t="s">
        <v>2951</v>
      </c>
      <c r="D692" s="4" t="s">
        <v>2895</v>
      </c>
      <c r="E692" s="5" t="n">
        <v>101724</v>
      </c>
      <c r="F692" s="4" t="n">
        <v>3</v>
      </c>
      <c r="G692" s="4" t="s">
        <v>2952</v>
      </c>
      <c r="H692" s="4" t="n">
        <v>41.52319</v>
      </c>
      <c r="I692" s="4" t="n">
        <v>-90.57555</v>
      </c>
      <c r="J692" s="4" t="s">
        <v>2953</v>
      </c>
      <c r="K692" s="6" t="str">
        <f aca="false">HYPERLINK("https://www.google.com/search?q=Davenport+Public+Library+Davenport+IA+library+website","Search")</f>
        <v>Search</v>
      </c>
      <c r="L692" s="7"/>
      <c r="M692" s="7"/>
    </row>
    <row r="693" customFormat="false" ht="15" hidden="false" customHeight="true" outlineLevel="0" collapsed="false">
      <c r="A693" s="4" t="s">
        <v>2870</v>
      </c>
      <c r="B693" s="4" t="s">
        <v>2954</v>
      </c>
      <c r="C693" s="4" t="s">
        <v>2955</v>
      </c>
      <c r="D693" s="4" t="s">
        <v>2956</v>
      </c>
      <c r="E693" s="5" t="n">
        <v>15736</v>
      </c>
      <c r="F693" s="4" t="n">
        <v>1</v>
      </c>
      <c r="G693" s="4" t="s">
        <v>2957</v>
      </c>
      <c r="H693" s="4" t="n">
        <v>43.30302</v>
      </c>
      <c r="I693" s="4" t="n">
        <v>-91.78713</v>
      </c>
      <c r="J693" s="4" t="s">
        <v>2958</v>
      </c>
      <c r="K693" s="6" t="str">
        <f aca="false">HYPERLINK("https://www.google.com/search?q=Decorah+Public+Library+Decorah+IA+library+website","Search")</f>
        <v>Search</v>
      </c>
      <c r="L693" s="7"/>
      <c r="M693" s="7"/>
    </row>
    <row r="694" customFormat="false" ht="15" hidden="false" customHeight="true" outlineLevel="0" collapsed="false">
      <c r="A694" s="4" t="s">
        <v>2870</v>
      </c>
      <c r="B694" s="4" t="s">
        <v>2959</v>
      </c>
      <c r="C694" s="4" t="s">
        <v>2904</v>
      </c>
      <c r="D694" s="4" t="s">
        <v>2523</v>
      </c>
      <c r="E694" s="5" t="n">
        <v>222868</v>
      </c>
      <c r="F694" s="4" t="n">
        <v>6</v>
      </c>
      <c r="G694" s="4" t="s">
        <v>2960</v>
      </c>
      <c r="H694" s="4" t="n">
        <v>41.58648</v>
      </c>
      <c r="I694" s="4" t="n">
        <v>-93.63099</v>
      </c>
      <c r="J694" s="4" t="s">
        <v>2961</v>
      </c>
      <c r="K694" s="6" t="str">
        <f aca="false">HYPERLINK("https://www.google.com/search?q=Des+Moines+Public+Library+Des+Moines+IA+library+website","Search")</f>
        <v>Search</v>
      </c>
      <c r="L694" s="7"/>
      <c r="M694" s="8" t="str">
        <f aca="false">HYPERLINK("https://dmpl.overdrive.com","https://dmpl.overdrive.com")</f>
        <v>https://dmpl.overdrive.com</v>
      </c>
    </row>
    <row r="695" customFormat="false" ht="15" hidden="false" customHeight="true" outlineLevel="0" collapsed="false">
      <c r="A695" s="4" t="s">
        <v>2870</v>
      </c>
      <c r="B695" s="4" t="s">
        <v>2962</v>
      </c>
      <c r="C695" s="4" t="s">
        <v>2963</v>
      </c>
      <c r="D695" s="4" t="s">
        <v>1964</v>
      </c>
      <c r="E695" s="5" t="n">
        <v>12602</v>
      </c>
      <c r="F695" s="4" t="n">
        <v>1</v>
      </c>
      <c r="G695" s="4" t="s">
        <v>2964</v>
      </c>
      <c r="H695" s="4" t="n">
        <v>41.82498</v>
      </c>
      <c r="I695" s="4" t="n">
        <v>-90.5375</v>
      </c>
      <c r="J695" s="4" t="s">
        <v>2965</v>
      </c>
      <c r="K695" s="6" t="str">
        <f aca="false">HYPERLINK("https://www.google.com/search?q=Dewitt+Community+Library+Dewitt+IA+library+website","Search")</f>
        <v>Search</v>
      </c>
      <c r="L695" s="7"/>
      <c r="M695" s="7"/>
    </row>
    <row r="696" customFormat="false" ht="15" hidden="false" customHeight="true" outlineLevel="0" collapsed="false">
      <c r="A696" s="4" t="s">
        <v>2870</v>
      </c>
      <c r="B696" s="4" t="s">
        <v>2966</v>
      </c>
      <c r="C696" s="4" t="s">
        <v>2967</v>
      </c>
      <c r="D696" s="4" t="s">
        <v>2968</v>
      </c>
      <c r="E696" s="5" t="n">
        <v>13389</v>
      </c>
      <c r="F696" s="4" t="n">
        <v>1</v>
      </c>
      <c r="G696" s="4" t="s">
        <v>2969</v>
      </c>
      <c r="H696" s="4" t="n">
        <v>41.74436</v>
      </c>
      <c r="I696" s="4" t="n">
        <v>-92.72248</v>
      </c>
      <c r="J696" s="4" t="s">
        <v>2970</v>
      </c>
      <c r="K696" s="6" t="str">
        <f aca="false">HYPERLINK("https://www.google.com/search?q=Drake+Community+Library+Grinnell+IA+library+website","Search")</f>
        <v>Search</v>
      </c>
      <c r="L696" s="7"/>
      <c r="M696" s="7"/>
    </row>
    <row r="697" customFormat="false" ht="15" hidden="false" customHeight="true" outlineLevel="0" collapsed="false">
      <c r="A697" s="4" t="s">
        <v>2870</v>
      </c>
      <c r="B697" s="4" t="s">
        <v>2971</v>
      </c>
      <c r="C697" s="4" t="s">
        <v>2972</v>
      </c>
      <c r="D697" s="4" t="s">
        <v>2908</v>
      </c>
      <c r="E697" s="5" t="n">
        <v>32079</v>
      </c>
      <c r="F697" s="4" t="n">
        <v>5</v>
      </c>
      <c r="G697" s="4" t="s">
        <v>2973</v>
      </c>
      <c r="H697" s="4" t="n">
        <v>42.51205</v>
      </c>
      <c r="I697" s="4" t="n">
        <v>-90.75527</v>
      </c>
      <c r="J697" s="4" t="s">
        <v>2974</v>
      </c>
      <c r="K697" s="6" t="str">
        <f aca="false">HYPERLINK("https://www.google.com/search?q=Dubuque+County+Library+Asbury+IA+library+website","Search")</f>
        <v>Search</v>
      </c>
      <c r="L697" s="7"/>
      <c r="M697" s="7"/>
    </row>
    <row r="698" customFormat="false" ht="15" hidden="false" customHeight="true" outlineLevel="0" collapsed="false">
      <c r="A698" s="4" t="s">
        <v>2870</v>
      </c>
      <c r="B698" s="4" t="s">
        <v>2975</v>
      </c>
      <c r="C698" s="4" t="s">
        <v>486</v>
      </c>
      <c r="D698" s="4" t="s">
        <v>486</v>
      </c>
      <c r="E698" s="5" t="n">
        <v>19221</v>
      </c>
      <c r="F698" s="4" t="n">
        <v>1</v>
      </c>
      <c r="G698" s="4" t="s">
        <v>2976</v>
      </c>
      <c r="H698" s="4" t="n">
        <v>42.06295</v>
      </c>
      <c r="I698" s="4" t="n">
        <v>-93.88335</v>
      </c>
      <c r="J698" s="4" t="s">
        <v>2977</v>
      </c>
      <c r="K698" s="6" t="str">
        <f aca="false">HYPERLINK("https://www.google.com/search?q=Ericson+Public+Library+Boone+IA+library+website","Search")</f>
        <v>Search</v>
      </c>
      <c r="L698" s="7"/>
      <c r="M698" s="7"/>
    </row>
    <row r="699" customFormat="false" ht="15" hidden="false" customHeight="true" outlineLevel="0" collapsed="false">
      <c r="A699" s="4" t="s">
        <v>2870</v>
      </c>
      <c r="B699" s="4" t="s">
        <v>1919</v>
      </c>
      <c r="C699" s="4" t="s">
        <v>189</v>
      </c>
      <c r="D699" s="4" t="s">
        <v>98</v>
      </c>
      <c r="E699" s="5" t="n">
        <v>15233</v>
      </c>
      <c r="F699" s="4" t="n">
        <v>1</v>
      </c>
      <c r="G699" s="4" t="s">
        <v>2978</v>
      </c>
      <c r="H699" s="4" t="n">
        <v>41.00468</v>
      </c>
      <c r="I699" s="4" t="n">
        <v>-91.9642</v>
      </c>
      <c r="J699" s="4" t="s">
        <v>2979</v>
      </c>
      <c r="K699" s="6" t="str">
        <f aca="false">HYPERLINK("https://www.google.com/search?q=Fairfield+Public+Library+Fairfield+IA+library+website","Search")</f>
        <v>Search</v>
      </c>
      <c r="L699" s="7"/>
      <c r="M699" s="7"/>
    </row>
    <row r="700" customFormat="false" ht="15" hidden="false" customHeight="true" outlineLevel="0" collapsed="false">
      <c r="A700" s="4" t="s">
        <v>2870</v>
      </c>
      <c r="B700" s="4" t="s">
        <v>2980</v>
      </c>
      <c r="C700" s="4" t="s">
        <v>2981</v>
      </c>
      <c r="D700" s="4" t="s">
        <v>2982</v>
      </c>
      <c r="E700" s="5" t="n">
        <v>31370</v>
      </c>
      <c r="F700" s="4" t="n">
        <v>1</v>
      </c>
      <c r="G700" s="4" t="s">
        <v>2983</v>
      </c>
      <c r="H700" s="4" t="n">
        <v>42.50461</v>
      </c>
      <c r="I700" s="4" t="n">
        <v>-94.19089</v>
      </c>
      <c r="J700" s="4" t="s">
        <v>2984</v>
      </c>
      <c r="K700" s="6" t="str">
        <f aca="false">HYPERLINK("https://www.google.com/search?q=Fort+Dodge+Public+Library+Fort+Dodge+IA+library+website","Search")</f>
        <v>Search</v>
      </c>
      <c r="L700" s="7"/>
      <c r="M700" s="7"/>
    </row>
    <row r="701" customFormat="false" ht="15" hidden="false" customHeight="true" outlineLevel="0" collapsed="false">
      <c r="A701" s="4" t="s">
        <v>2870</v>
      </c>
      <c r="B701" s="4" t="s">
        <v>2985</v>
      </c>
      <c r="C701" s="4" t="s">
        <v>2986</v>
      </c>
      <c r="D701" s="4" t="s">
        <v>83</v>
      </c>
      <c r="E701" s="5" t="n">
        <v>13904</v>
      </c>
      <c r="F701" s="4" t="n">
        <v>1</v>
      </c>
      <c r="G701" s="4" t="s">
        <v>2987</v>
      </c>
      <c r="H701" s="4" t="n">
        <v>40.6332</v>
      </c>
      <c r="I701" s="4" t="n">
        <v>-91.33264</v>
      </c>
      <c r="J701" s="4" t="s">
        <v>2988</v>
      </c>
      <c r="K701" s="6" t="str">
        <f aca="false">HYPERLINK("https://www.google.com/search?q=Fort+Madison+Public+Library+Fort+Madison+IA+library+website","Search")</f>
        <v>Search</v>
      </c>
      <c r="L701" s="7"/>
      <c r="M701" s="7"/>
    </row>
    <row r="702" customFormat="false" ht="15" hidden="false" customHeight="true" outlineLevel="0" collapsed="false">
      <c r="A702" s="4" t="s">
        <v>2870</v>
      </c>
      <c r="B702" s="4" t="s">
        <v>2989</v>
      </c>
      <c r="C702" s="4" t="s">
        <v>2990</v>
      </c>
      <c r="D702" s="4" t="s">
        <v>2991</v>
      </c>
      <c r="E702" s="5" t="n">
        <v>12221</v>
      </c>
      <c r="F702" s="4" t="n">
        <v>1</v>
      </c>
      <c r="G702" s="4" t="s">
        <v>2992</v>
      </c>
      <c r="H702" s="4" t="n">
        <v>41.0482</v>
      </c>
      <c r="I702" s="4" t="n">
        <v>-95.74188</v>
      </c>
      <c r="J702" s="4" t="s">
        <v>2993</v>
      </c>
      <c r="K702" s="6" t="str">
        <f aca="false">HYPERLINK("https://www.google.com/search?q=Glenwood+Public+Library+Glenwood+IA+library+website","Search")</f>
        <v>Search</v>
      </c>
      <c r="L702" s="7"/>
      <c r="M702" s="7"/>
    </row>
    <row r="703" customFormat="false" ht="15" hidden="false" customHeight="true" outlineLevel="0" collapsed="false">
      <c r="A703" s="4" t="s">
        <v>2870</v>
      </c>
      <c r="B703" s="4" t="s">
        <v>2994</v>
      </c>
      <c r="C703" s="4" t="s">
        <v>2995</v>
      </c>
      <c r="D703" s="4" t="s">
        <v>2523</v>
      </c>
      <c r="E703" s="5" t="n">
        <v>16755</v>
      </c>
      <c r="F703" s="4" t="n">
        <v>1</v>
      </c>
      <c r="G703" s="4" t="s">
        <v>2996</v>
      </c>
      <c r="H703" s="4" t="n">
        <v>41.68882</v>
      </c>
      <c r="I703" s="4" t="n">
        <v>-93.79458</v>
      </c>
      <c r="J703" s="4" t="s">
        <v>2997</v>
      </c>
      <c r="K703" s="6" t="str">
        <f aca="false">HYPERLINK("https://www.google.com/search?q=Grimes+Public+Library+Grimes+IA+library+website","Search")</f>
        <v>Search</v>
      </c>
      <c r="L703" s="7"/>
      <c r="M703" s="7"/>
    </row>
    <row r="704" customFormat="false" ht="15" hidden="false" customHeight="true" outlineLevel="0" collapsed="false">
      <c r="A704" s="4" t="s">
        <v>2870</v>
      </c>
      <c r="B704" s="4" t="s">
        <v>2998</v>
      </c>
      <c r="C704" s="4" t="s">
        <v>2999</v>
      </c>
      <c r="D704" s="4" t="s">
        <v>53</v>
      </c>
      <c r="E704" s="5" t="n">
        <v>10432</v>
      </c>
      <c r="F704" s="4" t="n">
        <v>1</v>
      </c>
      <c r="G704" s="4" t="s">
        <v>3000</v>
      </c>
      <c r="H704" s="4" t="n">
        <v>41.65773</v>
      </c>
      <c r="I704" s="4" t="n">
        <v>-95.31978</v>
      </c>
      <c r="J704" s="4" t="s">
        <v>3001</v>
      </c>
      <c r="K704" s="6" t="str">
        <f aca="false">HYPERLINK("https://www.google.com/search?q=Harlan+Community+Library+Harlan+IA+library+website","Search")</f>
        <v>Search</v>
      </c>
      <c r="L704" s="7"/>
      <c r="M704" s="7"/>
    </row>
    <row r="705" customFormat="false" ht="15" hidden="false" customHeight="true" outlineLevel="0" collapsed="false">
      <c r="A705" s="4" t="s">
        <v>2870</v>
      </c>
      <c r="B705" s="4" t="s">
        <v>3002</v>
      </c>
      <c r="C705" s="4" t="s">
        <v>3003</v>
      </c>
      <c r="D705" s="4" t="s">
        <v>2921</v>
      </c>
      <c r="E705" s="5" t="n">
        <v>15375</v>
      </c>
      <c r="F705" s="4" t="n">
        <v>1</v>
      </c>
      <c r="G705" s="4" t="s">
        <v>3004</v>
      </c>
      <c r="H705" s="4" t="n">
        <v>42.03687</v>
      </c>
      <c r="I705" s="4" t="n">
        <v>-91.67238</v>
      </c>
      <c r="J705" s="4" t="s">
        <v>3005</v>
      </c>
      <c r="K705" s="6" t="str">
        <f aca="false">HYPERLINK("https://www.google.com/search?q=Hiawatha+Public+Library+Hiawatha+IA+library+website","Search")</f>
        <v>Search</v>
      </c>
      <c r="L705" s="7"/>
      <c r="M705" s="7"/>
    </row>
    <row r="706" customFormat="false" ht="15" hidden="false" customHeight="true" outlineLevel="0" collapsed="false">
      <c r="A706" s="4" t="s">
        <v>2870</v>
      </c>
      <c r="B706" s="4" t="s">
        <v>3006</v>
      </c>
      <c r="C706" s="4" t="s">
        <v>559</v>
      </c>
      <c r="D706" s="4" t="s">
        <v>3007</v>
      </c>
      <c r="E706" s="5" t="n">
        <v>11932</v>
      </c>
      <c r="F706" s="4" t="n">
        <v>1</v>
      </c>
      <c r="G706" s="4" t="s">
        <v>3008</v>
      </c>
      <c r="H706" s="4" t="n">
        <v>42.46875</v>
      </c>
      <c r="I706" s="4" t="n">
        <v>-91.88454</v>
      </c>
      <c r="J706" s="4" t="s">
        <v>3009</v>
      </c>
      <c r="K706" s="6" t="str">
        <f aca="false">HYPERLINK("https://www.google.com/search?q=Independence+Public+Library+Independence+IA+library+website","Search")</f>
        <v>Search</v>
      </c>
      <c r="L706" s="7"/>
      <c r="M706" s="7"/>
    </row>
    <row r="707" customFormat="false" ht="15" hidden="false" customHeight="true" outlineLevel="0" collapsed="false">
      <c r="A707" s="4" t="s">
        <v>2870</v>
      </c>
      <c r="B707" s="4" t="s">
        <v>3010</v>
      </c>
      <c r="C707" s="4" t="s">
        <v>3011</v>
      </c>
      <c r="D707" s="4" t="s">
        <v>3012</v>
      </c>
      <c r="E707" s="5" t="n">
        <v>24311</v>
      </c>
      <c r="F707" s="4" t="n">
        <v>1</v>
      </c>
      <c r="G707" s="4" t="s">
        <v>3013</v>
      </c>
      <c r="H707" s="4" t="n">
        <v>41.36206</v>
      </c>
      <c r="I707" s="4" t="n">
        <v>-93.56369</v>
      </c>
      <c r="J707" s="4" t="s">
        <v>3014</v>
      </c>
      <c r="K707" s="6" t="str">
        <f aca="false">HYPERLINK("https://www.google.com/search?q=Indianola+Public+Library+Indianola+IA+library+website","Search")</f>
        <v>Search</v>
      </c>
      <c r="L707" s="7"/>
      <c r="M707" s="7"/>
    </row>
    <row r="708" customFormat="false" ht="15" hidden="false" customHeight="true" outlineLevel="0" collapsed="false">
      <c r="A708" s="4" t="s">
        <v>2870</v>
      </c>
      <c r="B708" s="4" t="s">
        <v>3015</v>
      </c>
      <c r="C708" s="4" t="s">
        <v>3016</v>
      </c>
      <c r="D708" s="4" t="s">
        <v>2942</v>
      </c>
      <c r="E708" s="5" t="n">
        <v>90234</v>
      </c>
      <c r="F708" s="4" t="n">
        <v>1</v>
      </c>
      <c r="G708" s="4" t="s">
        <v>3017</v>
      </c>
      <c r="H708" s="4" t="n">
        <v>41.65926</v>
      </c>
      <c r="I708" s="4" t="n">
        <v>-91.53233</v>
      </c>
      <c r="J708" s="4" t="s">
        <v>3018</v>
      </c>
      <c r="K708" s="6" t="str">
        <f aca="false">HYPERLINK("https://www.google.com/search?q=Iowa+City+Public+Library+Iowa+City+IA+library+website","Search")</f>
        <v>Search</v>
      </c>
      <c r="L708" s="7"/>
      <c r="M708" s="7"/>
    </row>
    <row r="709" customFormat="false" ht="15" hidden="false" customHeight="true" outlineLevel="0" collapsed="false">
      <c r="A709" s="4" t="s">
        <v>2870</v>
      </c>
      <c r="B709" s="4" t="s">
        <v>3019</v>
      </c>
      <c r="C709" s="4" t="s">
        <v>3020</v>
      </c>
      <c r="D709" s="4" t="s">
        <v>2523</v>
      </c>
      <c r="E709" s="5" t="n">
        <v>26418</v>
      </c>
      <c r="F709" s="4" t="n">
        <v>1</v>
      </c>
      <c r="G709" s="4" t="s">
        <v>3021</v>
      </c>
      <c r="H709" s="4" t="n">
        <v>41.68346</v>
      </c>
      <c r="I709" s="4" t="n">
        <v>-93.7002</v>
      </c>
      <c r="J709" s="4" t="s">
        <v>3022</v>
      </c>
      <c r="K709" s="6" t="str">
        <f aca="false">HYPERLINK("https://www.google.com/search?q=Johnston+Public+Library+Johnston+IA+library+website","Search")</f>
        <v>Search</v>
      </c>
      <c r="L709" s="7"/>
      <c r="M709" s="7"/>
    </row>
    <row r="710" customFormat="false" ht="15" hidden="false" customHeight="true" outlineLevel="0" collapsed="false">
      <c r="A710" s="4" t="s">
        <v>2870</v>
      </c>
      <c r="B710" s="4" t="s">
        <v>3023</v>
      </c>
      <c r="C710" s="4" t="s">
        <v>3024</v>
      </c>
      <c r="D710" s="4" t="s">
        <v>3025</v>
      </c>
      <c r="E710" s="5" t="n">
        <v>10158</v>
      </c>
      <c r="F710" s="4" t="n">
        <v>1</v>
      </c>
      <c r="G710" s="4" t="s">
        <v>3026</v>
      </c>
      <c r="H710" s="4" t="n">
        <v>42.46515</v>
      </c>
      <c r="I710" s="4" t="n">
        <v>-93.81933</v>
      </c>
      <c r="J710" s="4" t="s">
        <v>3027</v>
      </c>
      <c r="K710" s="6" t="str">
        <f aca="false">HYPERLINK("https://www.google.com/search?q=Kendall+Young+Library+Webster+City+IA+library+website","Search")</f>
        <v>Search</v>
      </c>
      <c r="L710" s="7"/>
      <c r="M710" s="7"/>
    </row>
    <row r="711" customFormat="false" ht="15" hidden="false" customHeight="true" outlineLevel="0" collapsed="false">
      <c r="A711" s="4" t="s">
        <v>2870</v>
      </c>
      <c r="B711" s="4" t="s">
        <v>3028</v>
      </c>
      <c r="C711" s="4" t="s">
        <v>3029</v>
      </c>
      <c r="D711" s="4" t="s">
        <v>83</v>
      </c>
      <c r="E711" s="5" t="n">
        <v>10718</v>
      </c>
      <c r="F711" s="4" t="n">
        <v>1</v>
      </c>
      <c r="G711" s="4" t="s">
        <v>3030</v>
      </c>
      <c r="H711" s="4" t="n">
        <v>40.39719</v>
      </c>
      <c r="I711" s="4" t="n">
        <v>-91.38114</v>
      </c>
      <c r="J711" s="4" t="s">
        <v>3031</v>
      </c>
      <c r="K711" s="6" t="str">
        <f aca="false">HYPERLINK("https://www.google.com/search?q=Keokuk+Public+Library+Keokuk+IA+library+website","Search")</f>
        <v>Search</v>
      </c>
      <c r="L711" s="7"/>
      <c r="M711" s="7"/>
    </row>
    <row r="712" customFormat="false" ht="15" hidden="false" customHeight="true" outlineLevel="0" collapsed="false">
      <c r="A712" s="4" t="s">
        <v>2870</v>
      </c>
      <c r="B712" s="4" t="s">
        <v>3032</v>
      </c>
      <c r="C712" s="4" t="s">
        <v>3033</v>
      </c>
      <c r="D712" s="4" t="s">
        <v>572</v>
      </c>
      <c r="E712" s="5" t="n">
        <v>11258</v>
      </c>
      <c r="F712" s="4" t="n">
        <v>1</v>
      </c>
      <c r="G712" s="4" t="s">
        <v>3034</v>
      </c>
      <c r="H712" s="4" t="n">
        <v>41.31712</v>
      </c>
      <c r="I712" s="4" t="n">
        <v>-93.09681</v>
      </c>
      <c r="J712" s="4" t="s">
        <v>3035</v>
      </c>
      <c r="K712" s="6" t="str">
        <f aca="false">HYPERLINK("https://www.google.com/search?q=Knoxville+Public+Library+Knoxville+IA+library+website","Search")</f>
        <v>Search</v>
      </c>
      <c r="L712" s="7"/>
      <c r="M712" s="7"/>
    </row>
    <row r="713" customFormat="false" ht="15" hidden="false" customHeight="true" outlineLevel="0" collapsed="false">
      <c r="A713" s="4" t="s">
        <v>2870</v>
      </c>
      <c r="B713" s="4" t="s">
        <v>3036</v>
      </c>
      <c r="C713" s="4" t="s">
        <v>3037</v>
      </c>
      <c r="D713" s="4" t="s">
        <v>3038</v>
      </c>
      <c r="E713" s="5" t="n">
        <v>13939</v>
      </c>
      <c r="F713" s="4" t="n">
        <v>1</v>
      </c>
      <c r="G713" s="4" t="s">
        <v>3039</v>
      </c>
      <c r="H713" s="4" t="n">
        <v>42.7914</v>
      </c>
      <c r="I713" s="4" t="n">
        <v>-96.16777</v>
      </c>
      <c r="J713" s="4" t="s">
        <v>3040</v>
      </c>
      <c r="K713" s="6" t="str">
        <f aca="false">HYPERLINK("https://www.google.com/search?q=Le+Mars+Public+Library+Le+Mars+IA+library+website","Search")</f>
        <v>Search</v>
      </c>
      <c r="L713" s="7"/>
      <c r="M713" s="7"/>
    </row>
    <row r="714" customFormat="false" ht="15" hidden="false" customHeight="true" outlineLevel="0" collapsed="false">
      <c r="A714" s="4" t="s">
        <v>2870</v>
      </c>
      <c r="B714" s="4" t="s">
        <v>1995</v>
      </c>
      <c r="C714" s="4" t="s">
        <v>1996</v>
      </c>
      <c r="D714" s="4" t="s">
        <v>3041</v>
      </c>
      <c r="E714" s="5" t="n">
        <v>12502</v>
      </c>
      <c r="F714" s="4" t="n">
        <v>1</v>
      </c>
      <c r="G714" s="4" t="s">
        <v>3042</v>
      </c>
      <c r="H714" s="4" t="n">
        <v>42.48603</v>
      </c>
      <c r="I714" s="4" t="n">
        <v>-91.458</v>
      </c>
      <c r="J714" s="4" t="s">
        <v>3043</v>
      </c>
      <c r="K714" s="6" t="str">
        <f aca="false">HYPERLINK("https://www.google.com/search?q=Manchester+Public+Library+Manchester+IA+library+website","Search")</f>
        <v>Search</v>
      </c>
      <c r="L714" s="7"/>
      <c r="M714" s="7"/>
    </row>
    <row r="715" customFormat="false" ht="15" hidden="false" customHeight="true" outlineLevel="0" collapsed="false">
      <c r="A715" s="4" t="s">
        <v>2870</v>
      </c>
      <c r="B715" s="4" t="s">
        <v>3044</v>
      </c>
      <c r="C715" s="4" t="s">
        <v>3045</v>
      </c>
      <c r="D715" s="4" t="s">
        <v>389</v>
      </c>
      <c r="E715" s="5" t="n">
        <v>10586</v>
      </c>
      <c r="F715" s="4" t="n">
        <v>1</v>
      </c>
      <c r="G715" s="4" t="s">
        <v>3046</v>
      </c>
      <c r="H715" s="4" t="n">
        <v>42.06811</v>
      </c>
      <c r="I715" s="4" t="n">
        <v>-90.66685</v>
      </c>
      <c r="J715" s="4" t="s">
        <v>3047</v>
      </c>
      <c r="K715" s="6" t="str">
        <f aca="false">HYPERLINK("https://www.google.com/search?q=Maquoketa+Public+Library+Maquoketa+IA+library+website","Search")</f>
        <v>Search</v>
      </c>
      <c r="L715" s="7"/>
      <c r="M715" s="7"/>
    </row>
    <row r="716" customFormat="false" ht="15" hidden="false" customHeight="true" outlineLevel="0" collapsed="false">
      <c r="A716" s="4" t="s">
        <v>2870</v>
      </c>
      <c r="B716" s="4" t="s">
        <v>3048</v>
      </c>
      <c r="C716" s="4" t="s">
        <v>572</v>
      </c>
      <c r="D716" s="4" t="s">
        <v>2921</v>
      </c>
      <c r="E716" s="5" t="n">
        <v>47005</v>
      </c>
      <c r="F716" s="4" t="n">
        <v>1</v>
      </c>
      <c r="G716" s="4" t="s">
        <v>3049</v>
      </c>
      <c r="H716" s="4" t="n">
        <v>42.03334</v>
      </c>
      <c r="I716" s="4" t="n">
        <v>-91.59855</v>
      </c>
      <c r="J716" s="4" t="s">
        <v>3050</v>
      </c>
      <c r="K716" s="6" t="str">
        <f aca="false">HYPERLINK("https://www.google.com/search?q=Marion+Public+Library+Marion+IA+library+website","Search")</f>
        <v>Search</v>
      </c>
      <c r="L716" s="7"/>
      <c r="M716" s="7"/>
    </row>
    <row r="717" customFormat="false" ht="15" hidden="false" customHeight="true" outlineLevel="0" collapsed="false">
      <c r="A717" s="4" t="s">
        <v>2870</v>
      </c>
      <c r="B717" s="4" t="s">
        <v>3051</v>
      </c>
      <c r="C717" s="4" t="s">
        <v>3052</v>
      </c>
      <c r="D717" s="4" t="s">
        <v>58</v>
      </c>
      <c r="E717" s="5" t="n">
        <v>33514</v>
      </c>
      <c r="F717" s="4" t="n">
        <v>1</v>
      </c>
      <c r="G717" s="4" t="s">
        <v>3053</v>
      </c>
      <c r="H717" s="4" t="n">
        <v>42.04549</v>
      </c>
      <c r="I717" s="4" t="n">
        <v>-92.91532</v>
      </c>
      <c r="J717" s="4" t="s">
        <v>3054</v>
      </c>
      <c r="K717" s="6" t="str">
        <f aca="false">HYPERLINK("https://www.google.com/search?q=Marshalltown+Public+Library+Marshalltown+IA+library+website","Search")</f>
        <v>Search</v>
      </c>
      <c r="L717" s="7"/>
      <c r="M717" s="7"/>
    </row>
    <row r="718" customFormat="false" ht="15" hidden="false" customHeight="true" outlineLevel="0" collapsed="false">
      <c r="A718" s="4" t="s">
        <v>2870</v>
      </c>
      <c r="B718" s="4" t="s">
        <v>3055</v>
      </c>
      <c r="C718" s="4" t="s">
        <v>3056</v>
      </c>
      <c r="D718" s="4" t="s">
        <v>2930</v>
      </c>
      <c r="E718" s="5" t="n">
        <v>28859</v>
      </c>
      <c r="F718" s="4" t="n">
        <v>1</v>
      </c>
      <c r="G718" s="4" t="s">
        <v>3057</v>
      </c>
      <c r="H718" s="4" t="n">
        <v>43.14993</v>
      </c>
      <c r="I718" s="4" t="n">
        <v>-93.19682</v>
      </c>
      <c r="J718" s="4" t="s">
        <v>3058</v>
      </c>
      <c r="K718" s="6" t="str">
        <f aca="false">HYPERLINK("https://www.google.com/search?q=Mason+City+Public+Library+Mason+City+IA+library+website","Search")</f>
        <v>Search</v>
      </c>
      <c r="L718" s="7"/>
      <c r="M718" s="7"/>
    </row>
    <row r="719" customFormat="false" ht="15" hidden="false" customHeight="true" outlineLevel="0" collapsed="false">
      <c r="A719" s="4" t="s">
        <v>2870</v>
      </c>
      <c r="B719" s="4" t="s">
        <v>3059</v>
      </c>
      <c r="C719" s="4" t="s">
        <v>3060</v>
      </c>
      <c r="D719" s="4" t="s">
        <v>467</v>
      </c>
      <c r="E719" s="5" t="n">
        <v>12144</v>
      </c>
      <c r="F719" s="4" t="n">
        <v>1</v>
      </c>
      <c r="G719" s="4" t="s">
        <v>3061</v>
      </c>
      <c r="H719" s="4" t="n">
        <v>41.06092</v>
      </c>
      <c r="I719" s="4" t="n">
        <v>-94.363</v>
      </c>
      <c r="J719" s="4" t="s">
        <v>3062</v>
      </c>
      <c r="K719" s="6" t="str">
        <f aca="false">HYPERLINK("https://www.google.com/search?q=Matilda+J.+Gibson+Memorial+Library+Creston+IA+library+website","Search")</f>
        <v>Search</v>
      </c>
      <c r="L719" s="7"/>
      <c r="M719" s="7"/>
    </row>
    <row r="720" customFormat="false" ht="15" hidden="false" customHeight="true" outlineLevel="0" collapsed="false">
      <c r="A720" s="4" t="s">
        <v>2870</v>
      </c>
      <c r="B720" s="4" t="s">
        <v>3063</v>
      </c>
      <c r="C720" s="4" t="s">
        <v>3064</v>
      </c>
      <c r="D720" s="4" t="s">
        <v>2715</v>
      </c>
      <c r="E720" s="5" t="n">
        <v>13541</v>
      </c>
      <c r="F720" s="4" t="n">
        <v>1</v>
      </c>
      <c r="G720" s="4" t="s">
        <v>3065</v>
      </c>
      <c r="H720" s="4" t="n">
        <v>40.96619</v>
      </c>
      <c r="I720" s="4" t="n">
        <v>-91.5493</v>
      </c>
      <c r="J720" s="4" t="s">
        <v>3066</v>
      </c>
      <c r="K720" s="6" t="str">
        <f aca="false">HYPERLINK("https://www.google.com/search?q=Mount+Pleasant+Public+Library+Mount+Pleasant+IA+library+website","Search")</f>
        <v>Search</v>
      </c>
      <c r="L720" s="7"/>
      <c r="M720" s="7"/>
    </row>
    <row r="721" customFormat="false" ht="15" hidden="false" customHeight="true" outlineLevel="0" collapsed="false">
      <c r="A721" s="4" t="s">
        <v>2870</v>
      </c>
      <c r="B721" s="4" t="s">
        <v>3067</v>
      </c>
      <c r="C721" s="4" t="s">
        <v>3068</v>
      </c>
      <c r="D721" s="4" t="s">
        <v>3068</v>
      </c>
      <c r="E721" s="5" t="n">
        <v>33189</v>
      </c>
      <c r="F721" s="4" t="n">
        <v>1</v>
      </c>
      <c r="G721" s="4" t="s">
        <v>3069</v>
      </c>
      <c r="H721" s="4" t="n">
        <v>41.42332</v>
      </c>
      <c r="I721" s="4" t="n">
        <v>-91.042</v>
      </c>
      <c r="J721" s="4" t="s">
        <v>3070</v>
      </c>
      <c r="K721" s="6" t="str">
        <f aca="false">HYPERLINK("https://www.google.com/search?q=Musser+Public+Library+Muscatine+IA+library+website","Search")</f>
        <v>Search</v>
      </c>
      <c r="L721" s="7"/>
      <c r="M721" s="7"/>
    </row>
    <row r="722" customFormat="false" ht="15" hidden="false" customHeight="true" outlineLevel="0" collapsed="false">
      <c r="A722" s="4" t="s">
        <v>2870</v>
      </c>
      <c r="B722" s="4" t="s">
        <v>3071</v>
      </c>
      <c r="C722" s="4" t="s">
        <v>2762</v>
      </c>
      <c r="D722" s="4" t="s">
        <v>273</v>
      </c>
      <c r="E722" s="5" t="n">
        <v>23091</v>
      </c>
      <c r="F722" s="4" t="n">
        <v>1</v>
      </c>
      <c r="G722" s="4" t="s">
        <v>3072</v>
      </c>
      <c r="H722" s="4" t="n">
        <v>41.70145</v>
      </c>
      <c r="I722" s="4" t="n">
        <v>-93.05404</v>
      </c>
      <c r="J722" s="4" t="s">
        <v>3073</v>
      </c>
      <c r="K722" s="6" t="str">
        <f aca="false">HYPERLINK("https://www.google.com/search?q=Newton+Public+Library+Newton+IA+library+website","Search")</f>
        <v>Search</v>
      </c>
      <c r="L722" s="7"/>
      <c r="M722" s="7"/>
    </row>
    <row r="723" customFormat="false" ht="15" hidden="false" customHeight="true" outlineLevel="0" collapsed="false">
      <c r="A723" s="4" t="s">
        <v>2870</v>
      </c>
      <c r="B723" s="4" t="s">
        <v>3074</v>
      </c>
      <c r="C723" s="4" t="s">
        <v>3075</v>
      </c>
      <c r="D723" s="4" t="s">
        <v>516</v>
      </c>
      <c r="E723" s="5" t="n">
        <v>12404</v>
      </c>
      <c r="F723" s="4" t="n">
        <v>1</v>
      </c>
      <c r="G723" s="4" t="s">
        <v>3076</v>
      </c>
      <c r="H723" s="4" t="n">
        <v>42.0156</v>
      </c>
      <c r="I723" s="4" t="n">
        <v>-95.35356</v>
      </c>
      <c r="J723" s="4" t="s">
        <v>3077</v>
      </c>
      <c r="K723" s="6" t="str">
        <f aca="false">HYPERLINK("https://www.google.com/search?q=Norelius+Community+Library+Denison+IA+library+website","Search")</f>
        <v>Search</v>
      </c>
      <c r="L723" s="7"/>
      <c r="M723" s="7"/>
    </row>
    <row r="724" customFormat="false" ht="15" hidden="false" customHeight="true" outlineLevel="0" collapsed="false">
      <c r="A724" s="4" t="s">
        <v>2870</v>
      </c>
      <c r="B724" s="4" t="s">
        <v>3078</v>
      </c>
      <c r="C724" s="4" t="s">
        <v>3079</v>
      </c>
      <c r="D724" s="4" t="s">
        <v>2942</v>
      </c>
      <c r="E724" s="5" t="n">
        <v>21746</v>
      </c>
      <c r="F724" s="4" t="n">
        <v>1</v>
      </c>
      <c r="G724" s="4" t="s">
        <v>3080</v>
      </c>
      <c r="H724" s="4" t="n">
        <v>41.75017</v>
      </c>
      <c r="I724" s="4" t="n">
        <v>-91.60527</v>
      </c>
      <c r="J724" s="4" t="s">
        <v>3081</v>
      </c>
      <c r="K724" s="6" t="str">
        <f aca="false">HYPERLINK("https://www.google.com/search?q=North+Liberty+Community+Library+North+Liberty+IA+library+website","Search")</f>
        <v>Search</v>
      </c>
      <c r="L724" s="7"/>
      <c r="M724" s="7"/>
    </row>
    <row r="725" customFormat="false" ht="15" hidden="false" customHeight="true" outlineLevel="0" collapsed="false">
      <c r="A725" s="4" t="s">
        <v>2870</v>
      </c>
      <c r="B725" s="4" t="s">
        <v>3082</v>
      </c>
      <c r="C725" s="4" t="s">
        <v>2043</v>
      </c>
      <c r="D725" s="4" t="s">
        <v>3012</v>
      </c>
      <c r="E725" s="5" t="n">
        <v>16774</v>
      </c>
      <c r="F725" s="4" t="n">
        <v>1</v>
      </c>
      <c r="G725" s="4" t="s">
        <v>3083</v>
      </c>
      <c r="H725" s="4" t="n">
        <v>41.47531</v>
      </c>
      <c r="I725" s="4" t="n">
        <v>-93.67617</v>
      </c>
      <c r="J725" s="4" t="s">
        <v>3084</v>
      </c>
      <c r="K725" s="6" t="str">
        <f aca="false">HYPERLINK("https://www.google.com/search?q=Norwalk+Easter+Public+Library+Norwalk+IA+library+website","Search")</f>
        <v>Search</v>
      </c>
      <c r="L725" s="7"/>
      <c r="M725" s="7"/>
    </row>
    <row r="726" customFormat="false" ht="15" hidden="false" customHeight="true" outlineLevel="0" collapsed="false">
      <c r="A726" s="4" t="s">
        <v>2870</v>
      </c>
      <c r="B726" s="4" t="s">
        <v>3085</v>
      </c>
      <c r="C726" s="4" t="s">
        <v>3086</v>
      </c>
      <c r="D726" s="4" t="s">
        <v>3087</v>
      </c>
      <c r="E726" s="5" t="n">
        <v>20369</v>
      </c>
      <c r="F726" s="4" t="n">
        <v>1</v>
      </c>
      <c r="G726" s="4" t="s">
        <v>3088</v>
      </c>
      <c r="H726" s="4" t="n">
        <v>41.2932</v>
      </c>
      <c r="I726" s="4" t="n">
        <v>-92.64509</v>
      </c>
      <c r="J726" s="4" t="s">
        <v>3089</v>
      </c>
      <c r="K726" s="6" t="str">
        <f aca="false">HYPERLINK("https://www.google.com/search?q=Oskaloosa+Public+Library+Oskaloosa+IA+library+website","Search")</f>
        <v>Search</v>
      </c>
      <c r="L726" s="7"/>
      <c r="M726" s="7"/>
    </row>
    <row r="727" customFormat="false" ht="15" hidden="false" customHeight="true" outlineLevel="0" collapsed="false">
      <c r="A727" s="4" t="s">
        <v>2870</v>
      </c>
      <c r="B727" s="4" t="s">
        <v>3090</v>
      </c>
      <c r="C727" s="4" t="s">
        <v>3091</v>
      </c>
      <c r="D727" s="4" t="s">
        <v>3092</v>
      </c>
      <c r="E727" s="5" t="n">
        <v>30376</v>
      </c>
      <c r="F727" s="4" t="n">
        <v>1</v>
      </c>
      <c r="G727" s="4" t="s">
        <v>3093</v>
      </c>
      <c r="H727" s="4" t="n">
        <v>41.02003</v>
      </c>
      <c r="I727" s="4" t="n">
        <v>-92.41131</v>
      </c>
      <c r="J727" s="4" t="s">
        <v>3094</v>
      </c>
      <c r="K727" s="6" t="str">
        <f aca="false">HYPERLINK("https://www.google.com/search?q=Ottumwa+Public+Library+Ottumwa+IA+library+website","Search")</f>
        <v>Search</v>
      </c>
      <c r="L727" s="7"/>
      <c r="M727" s="7"/>
    </row>
    <row r="728" customFormat="false" ht="15" hidden="false" customHeight="true" outlineLevel="0" collapsed="false">
      <c r="A728" s="4" t="s">
        <v>2870</v>
      </c>
      <c r="B728" s="4" t="s">
        <v>3095</v>
      </c>
      <c r="C728" s="4" t="s">
        <v>3096</v>
      </c>
      <c r="D728" s="4" t="s">
        <v>572</v>
      </c>
      <c r="E728" s="5" t="n">
        <v>17745</v>
      </c>
      <c r="F728" s="4" t="n">
        <v>1</v>
      </c>
      <c r="G728" s="4" t="s">
        <v>3097</v>
      </c>
      <c r="H728" s="4" t="n">
        <v>41.40448</v>
      </c>
      <c r="I728" s="4" t="n">
        <v>-92.91652</v>
      </c>
      <c r="J728" s="4" t="s">
        <v>3098</v>
      </c>
      <c r="K728" s="6" t="str">
        <f aca="false">HYPERLINK("https://www.google.com/search?q=Pella+Public+Library+Pella+IA+library+website","Search")</f>
        <v>Search</v>
      </c>
      <c r="L728" s="7"/>
      <c r="M728" s="7"/>
    </row>
    <row r="729" customFormat="false" ht="15" hidden="false" customHeight="true" outlineLevel="0" collapsed="false">
      <c r="A729" s="4" t="s">
        <v>2870</v>
      </c>
      <c r="B729" s="4" t="s">
        <v>3099</v>
      </c>
      <c r="C729" s="4" t="s">
        <v>3100</v>
      </c>
      <c r="D729" s="4" t="s">
        <v>2523</v>
      </c>
      <c r="E729" s="5" t="n">
        <v>11615</v>
      </c>
      <c r="F729" s="4" t="n">
        <v>1</v>
      </c>
      <c r="G729" s="4" t="s">
        <v>3101</v>
      </c>
      <c r="H729" s="4" t="n">
        <v>41.59789</v>
      </c>
      <c r="I729" s="4" t="n">
        <v>-93.51452</v>
      </c>
      <c r="J729" s="4" t="s">
        <v>3102</v>
      </c>
      <c r="K729" s="6" t="str">
        <f aca="false">HYPERLINK("https://www.google.com/search?q=Pleasant+Hill+Public+Library+Pleasant+Hill+IA+library+website","Search")</f>
        <v>Search</v>
      </c>
      <c r="L729" s="7"/>
      <c r="M729" s="7"/>
    </row>
    <row r="730" customFormat="false" ht="15" hidden="false" customHeight="true" outlineLevel="0" collapsed="false">
      <c r="A730" s="4" t="s">
        <v>2870</v>
      </c>
      <c r="B730" s="4" t="s">
        <v>3103</v>
      </c>
      <c r="C730" s="4" t="s">
        <v>3104</v>
      </c>
      <c r="D730" s="4" t="s">
        <v>2895</v>
      </c>
      <c r="E730" s="5" t="n">
        <v>30876</v>
      </c>
      <c r="F730" s="4" t="n">
        <v>6</v>
      </c>
      <c r="G730" s="4" t="s">
        <v>3105</v>
      </c>
      <c r="H730" s="4" t="n">
        <v>41.65648</v>
      </c>
      <c r="I730" s="4" t="n">
        <v>-90.57554</v>
      </c>
      <c r="J730" s="4" t="s">
        <v>3106</v>
      </c>
      <c r="K730" s="6" t="str">
        <f aca="false">HYPERLINK("https://www.google.com/search?q=Scott+County+Library+System+Eldridge+IA+library+website","Search")</f>
        <v>Search</v>
      </c>
      <c r="L730" s="7"/>
      <c r="M730" s="7"/>
    </row>
    <row r="731" customFormat="false" ht="15" hidden="false" customHeight="true" outlineLevel="0" collapsed="false">
      <c r="A731" s="4" t="s">
        <v>2870</v>
      </c>
      <c r="B731" s="4" t="s">
        <v>3107</v>
      </c>
      <c r="C731" s="4" t="s">
        <v>3108</v>
      </c>
      <c r="D731" s="4" t="s">
        <v>3109</v>
      </c>
      <c r="E731" s="5" t="n">
        <v>12096</v>
      </c>
      <c r="F731" s="4" t="n">
        <v>1</v>
      </c>
      <c r="G731" s="4" t="s">
        <v>3110</v>
      </c>
      <c r="H731" s="4" t="n">
        <v>43.07716</v>
      </c>
      <c r="I731" s="4" t="n">
        <v>-96.17545</v>
      </c>
      <c r="J731" s="4" t="s">
        <v>3111</v>
      </c>
      <c r="K731" s="6" t="str">
        <f aca="false">HYPERLINK("https://www.google.com/search?q=Sioux+Center+Public+Library+Sioux+Center+IA+library+website","Search")</f>
        <v>Search</v>
      </c>
      <c r="L731" s="7"/>
      <c r="M731" s="7"/>
    </row>
    <row r="732" customFormat="false" ht="15" hidden="false" customHeight="true" outlineLevel="0" collapsed="false">
      <c r="A732" s="4" t="s">
        <v>2870</v>
      </c>
      <c r="B732" s="4" t="s">
        <v>3112</v>
      </c>
      <c r="C732" s="4" t="s">
        <v>3113</v>
      </c>
      <c r="D732" s="4" t="s">
        <v>3114</v>
      </c>
      <c r="E732" s="5" t="n">
        <v>85797</v>
      </c>
      <c r="F732" s="4" t="n">
        <v>3</v>
      </c>
      <c r="G732" s="4" t="s">
        <v>3115</v>
      </c>
      <c r="H732" s="4" t="n">
        <v>42.49605</v>
      </c>
      <c r="I732" s="4" t="n">
        <v>-96.40496</v>
      </c>
      <c r="J732" s="4" t="s">
        <v>3116</v>
      </c>
      <c r="K732" s="6" t="str">
        <f aca="false">HYPERLINK("https://www.google.com/search?q=Sioux+City+Public+Library+Sioux+City+IA+library+website","Search")</f>
        <v>Search</v>
      </c>
      <c r="L732" s="7"/>
      <c r="M732" s="7"/>
    </row>
    <row r="733" customFormat="false" ht="15" hidden="false" customHeight="true" outlineLevel="0" collapsed="false">
      <c r="A733" s="4" t="s">
        <v>2870</v>
      </c>
      <c r="B733" s="4" t="s">
        <v>3117</v>
      </c>
      <c r="C733" s="4" t="s">
        <v>3118</v>
      </c>
      <c r="D733" s="4" t="s">
        <v>2322</v>
      </c>
      <c r="E733" s="5" t="n">
        <v>13228</v>
      </c>
      <c r="F733" s="4" t="n">
        <v>1</v>
      </c>
      <c r="G733" s="4" t="s">
        <v>3119</v>
      </c>
      <c r="H733" s="4" t="n">
        <v>43.14045</v>
      </c>
      <c r="I733" s="4" t="n">
        <v>-95.1436</v>
      </c>
      <c r="J733" s="4" t="s">
        <v>3120</v>
      </c>
      <c r="K733" s="6" t="str">
        <f aca="false">HYPERLINK("https://www.google.com/search?q=Spencer+Public+Library+Spencer+IA+library+website","Search")</f>
        <v>Search</v>
      </c>
      <c r="L733" s="7"/>
      <c r="M733" s="7"/>
    </row>
    <row r="734" customFormat="false" ht="15" hidden="false" customHeight="true" outlineLevel="0" collapsed="false">
      <c r="A734" s="4" t="s">
        <v>2870</v>
      </c>
      <c r="B734" s="4" t="s">
        <v>3121</v>
      </c>
      <c r="C734" s="4" t="s">
        <v>3122</v>
      </c>
      <c r="D734" s="4" t="s">
        <v>3123</v>
      </c>
      <c r="E734" s="5" t="n">
        <v>10537</v>
      </c>
      <c r="F734" s="4" t="n">
        <v>1</v>
      </c>
      <c r="G734" s="4" t="s">
        <v>3124</v>
      </c>
      <c r="H734" s="4" t="n">
        <v>43.42455</v>
      </c>
      <c r="I734" s="4" t="n">
        <v>-95.10099</v>
      </c>
      <c r="J734" s="4" t="s">
        <v>3125</v>
      </c>
      <c r="K734" s="6" t="str">
        <f aca="false">HYPERLINK("https://www.google.com/search?q=Spirit+Lake+Public+Library+Spirit+Lake+IA+library+website","Search")</f>
        <v>Search</v>
      </c>
      <c r="L734" s="7"/>
      <c r="M734" s="7"/>
    </row>
    <row r="735" customFormat="false" ht="15" hidden="false" customHeight="true" outlineLevel="0" collapsed="false">
      <c r="A735" s="4" t="s">
        <v>2870</v>
      </c>
      <c r="B735" s="4" t="s">
        <v>3126</v>
      </c>
      <c r="C735" s="4" t="s">
        <v>3127</v>
      </c>
      <c r="D735" s="4" t="s">
        <v>3128</v>
      </c>
      <c r="E735" s="5" t="n">
        <v>12428</v>
      </c>
      <c r="F735" s="4" t="n">
        <v>1</v>
      </c>
      <c r="G735" s="4" t="s">
        <v>3129</v>
      </c>
      <c r="H735" s="4" t="n">
        <v>42.64495</v>
      </c>
      <c r="I735" s="4" t="n">
        <v>-95.19833</v>
      </c>
      <c r="J735" s="4" t="s">
        <v>3130</v>
      </c>
      <c r="K735" s="6" t="str">
        <f aca="false">HYPERLINK("https://www.google.com/search?q=Storm+Lake+Public+Library+Storm+Lake+IA+library+website","Search")</f>
        <v>Search</v>
      </c>
      <c r="L735" s="7"/>
      <c r="M735" s="7"/>
    </row>
    <row r="736" customFormat="false" ht="15" hidden="false" customHeight="true" outlineLevel="0" collapsed="false">
      <c r="A736" s="4" t="s">
        <v>2870</v>
      </c>
      <c r="B736" s="4" t="s">
        <v>3131</v>
      </c>
      <c r="C736" s="4" t="s">
        <v>3132</v>
      </c>
      <c r="D736" s="4" t="s">
        <v>2523</v>
      </c>
      <c r="E736" s="5" t="n">
        <v>46040</v>
      </c>
      <c r="F736" s="4" t="n">
        <v>1</v>
      </c>
      <c r="G736" s="4" t="s">
        <v>3133</v>
      </c>
      <c r="H736" s="4" t="n">
        <v>41.62659</v>
      </c>
      <c r="I736" s="4" t="n">
        <v>-93.73864</v>
      </c>
      <c r="J736" s="4" t="s">
        <v>3134</v>
      </c>
      <c r="K736" s="6" t="str">
        <f aca="false">HYPERLINK("https://www.google.com/search?q=Urbandale+Public+Library+Urbandale+IA+library+website","Search")</f>
        <v>Search</v>
      </c>
      <c r="L736" s="7"/>
      <c r="M736" s="7"/>
    </row>
    <row r="737" customFormat="false" ht="15" hidden="false" customHeight="true" outlineLevel="0" collapsed="false">
      <c r="A737" s="4" t="s">
        <v>2870</v>
      </c>
      <c r="B737" s="4" t="s">
        <v>3135</v>
      </c>
      <c r="C737" s="4" t="s">
        <v>441</v>
      </c>
      <c r="D737" s="4" t="s">
        <v>441</v>
      </c>
      <c r="E737" s="5" t="n">
        <v>11233</v>
      </c>
      <c r="F737" s="4" t="n">
        <v>1</v>
      </c>
      <c r="G737" s="4" t="s">
        <v>3136</v>
      </c>
      <c r="H737" s="4" t="n">
        <v>41.29833</v>
      </c>
      <c r="I737" s="4" t="n">
        <v>-91.69235</v>
      </c>
      <c r="J737" s="4" t="s">
        <v>3137</v>
      </c>
      <c r="K737" s="6" t="str">
        <f aca="false">HYPERLINK("https://www.google.com/search?q=Washington+Free+Public+Library+Washington+IA+library+website","Search")</f>
        <v>Search</v>
      </c>
      <c r="L737" s="7"/>
      <c r="M737" s="7"/>
    </row>
    <row r="738" customFormat="false" ht="15" hidden="false" customHeight="true" outlineLevel="0" collapsed="false">
      <c r="A738" s="4" t="s">
        <v>2870</v>
      </c>
      <c r="B738" s="4" t="s">
        <v>3138</v>
      </c>
      <c r="C738" s="4" t="s">
        <v>3139</v>
      </c>
      <c r="D738" s="4" t="s">
        <v>2916</v>
      </c>
      <c r="E738" s="5" t="n">
        <v>70813</v>
      </c>
      <c r="F738" s="4" t="n">
        <v>1</v>
      </c>
      <c r="G738" s="4" t="s">
        <v>3140</v>
      </c>
      <c r="H738" s="4" t="n">
        <v>42.49613</v>
      </c>
      <c r="I738" s="4" t="n">
        <v>-92.3412</v>
      </c>
      <c r="J738" s="4" t="s">
        <v>3141</v>
      </c>
      <c r="K738" s="6" t="str">
        <f aca="false">HYPERLINK("https://www.google.com/search?q=Waterloo+Public+Library+Waterloo+IA+library+website","Search")</f>
        <v>Search</v>
      </c>
      <c r="L738" s="7"/>
      <c r="M738" s="7"/>
    </row>
    <row r="739" customFormat="false" ht="15" hidden="false" customHeight="true" outlineLevel="0" collapsed="false">
      <c r="A739" s="4" t="s">
        <v>2870</v>
      </c>
      <c r="B739" s="4" t="s">
        <v>3142</v>
      </c>
      <c r="C739" s="4" t="s">
        <v>3143</v>
      </c>
      <c r="D739" s="4" t="s">
        <v>394</v>
      </c>
      <c r="E739" s="5" t="n">
        <v>24676</v>
      </c>
      <c r="F739" s="4" t="n">
        <v>1</v>
      </c>
      <c r="G739" s="4" t="s">
        <v>3144</v>
      </c>
      <c r="H739" s="4" t="n">
        <v>41.60458</v>
      </c>
      <c r="I739" s="4" t="n">
        <v>-93.87225</v>
      </c>
      <c r="J739" s="4" t="s">
        <v>3145</v>
      </c>
      <c r="K739" s="6" t="str">
        <f aca="false">HYPERLINK("https://www.google.com/search?q=Waukee+Public+Library+Waukee+IA+library+website","Search")</f>
        <v>Search</v>
      </c>
      <c r="L739" s="7"/>
      <c r="M739" s="7"/>
    </row>
    <row r="740" customFormat="false" ht="15" hidden="false" customHeight="true" outlineLevel="0" collapsed="false">
      <c r="A740" s="4" t="s">
        <v>2870</v>
      </c>
      <c r="B740" s="4" t="s">
        <v>3146</v>
      </c>
      <c r="C740" s="4" t="s">
        <v>3147</v>
      </c>
      <c r="D740" s="4" t="s">
        <v>3148</v>
      </c>
      <c r="E740" s="5" t="n">
        <v>14259</v>
      </c>
      <c r="F740" s="4" t="n">
        <v>1</v>
      </c>
      <c r="G740" s="4" t="s">
        <v>3149</v>
      </c>
      <c r="H740" s="4" t="n">
        <v>42.72567</v>
      </c>
      <c r="I740" s="4" t="n">
        <v>-92.4893</v>
      </c>
      <c r="J740" s="4" t="s">
        <v>3150</v>
      </c>
      <c r="K740" s="6" t="str">
        <f aca="false">HYPERLINK("https://www.google.com/search?q=Waverly+Public+Library+Waverly+IA+library+website","Search")</f>
        <v>Search</v>
      </c>
      <c r="L740" s="7"/>
      <c r="M740" s="7"/>
    </row>
    <row r="741" customFormat="false" ht="15" hidden="false" customHeight="true" outlineLevel="0" collapsed="false">
      <c r="A741" s="4" t="s">
        <v>2870</v>
      </c>
      <c r="B741" s="4" t="s">
        <v>3151</v>
      </c>
      <c r="C741" s="4" t="s">
        <v>3152</v>
      </c>
      <c r="D741" s="4" t="s">
        <v>2523</v>
      </c>
      <c r="E741" s="5" t="n">
        <v>69178</v>
      </c>
      <c r="F741" s="4" t="n">
        <v>1</v>
      </c>
      <c r="G741" s="4" t="s">
        <v>3153</v>
      </c>
      <c r="H741" s="4" t="n">
        <v>41.56694</v>
      </c>
      <c r="I741" s="4" t="n">
        <v>-93.75918</v>
      </c>
      <c r="J741" s="4" t="s">
        <v>3154</v>
      </c>
      <c r="K741" s="6" t="str">
        <f aca="false">HYPERLINK("https://www.google.com/search?q=West+Des+Moines+Public+Library+West+Des+Moines+IA+library+website","Search")</f>
        <v>Search</v>
      </c>
      <c r="L741" s="7"/>
      <c r="M741" s="7"/>
    </row>
    <row r="742" customFormat="false" ht="15" hidden="false" customHeight="true" outlineLevel="0" collapsed="false">
      <c r="A742" s="4" t="s">
        <v>2870</v>
      </c>
      <c r="B742" s="4" t="s">
        <v>3155</v>
      </c>
      <c r="C742" s="4" t="s">
        <v>3156</v>
      </c>
      <c r="D742" s="4" t="s">
        <v>261</v>
      </c>
      <c r="E742" s="5" t="n">
        <v>12824</v>
      </c>
      <c r="F742" s="4" t="n">
        <v>1</v>
      </c>
      <c r="G742" s="4" t="s">
        <v>3157</v>
      </c>
      <c r="H742" s="4" t="n">
        <v>41.33516</v>
      </c>
      <c r="I742" s="4" t="n">
        <v>-94.01213</v>
      </c>
      <c r="J742" s="4" t="s">
        <v>3158</v>
      </c>
      <c r="K742" s="6" t="str">
        <f aca="false">HYPERLINK("https://www.google.com/search?q=Winterset+Public+Library+Winterset+IA+library+website","Search")</f>
        <v>Search</v>
      </c>
      <c r="L742" s="7"/>
      <c r="M742" s="7"/>
    </row>
    <row r="743" customFormat="false" ht="15" hidden="false" customHeight="true" outlineLevel="0" collapsed="false">
      <c r="A743" s="4" t="s">
        <v>2870</v>
      </c>
      <c r="B743" s="4" t="s">
        <v>3159</v>
      </c>
      <c r="C743" s="4" t="s">
        <v>3160</v>
      </c>
      <c r="D743" s="4" t="s">
        <v>3114</v>
      </c>
      <c r="E743" s="5" t="n">
        <v>12004</v>
      </c>
      <c r="F743" s="4" t="n">
        <v>4</v>
      </c>
      <c r="G743" s="4" t="s">
        <v>3161</v>
      </c>
      <c r="H743" s="4" t="n">
        <v>42.48934</v>
      </c>
      <c r="I743" s="4" t="n">
        <v>-96.05839</v>
      </c>
      <c r="J743" s="4" t="s">
        <v>3162</v>
      </c>
      <c r="K743" s="6" t="str">
        <f aca="false">HYPERLINK("https://www.google.com/search?q=Woodbury+County+Library+Moville+IA+library+website","Search")</f>
        <v>Search</v>
      </c>
      <c r="L743" s="7"/>
      <c r="M743" s="7"/>
    </row>
    <row r="744" customFormat="false" ht="15" hidden="false" customHeight="true" outlineLevel="0" collapsed="false">
      <c r="A744" s="4" t="s">
        <v>3163</v>
      </c>
      <c r="B744" s="4" t="s">
        <v>3164</v>
      </c>
      <c r="C744" s="4" t="s">
        <v>3165</v>
      </c>
      <c r="D744" s="4" t="s">
        <v>3166</v>
      </c>
      <c r="E744" s="5" t="n">
        <v>63240</v>
      </c>
      <c r="F744" s="4" t="n">
        <v>4</v>
      </c>
      <c r="G744" s="4" t="s">
        <v>3167</v>
      </c>
      <c r="H744" s="4" t="n">
        <v>43.57574</v>
      </c>
      <c r="I744" s="4" t="n">
        <v>-116.31461</v>
      </c>
      <c r="J744" s="4" t="s">
        <v>3168</v>
      </c>
      <c r="K744" s="6" t="str">
        <f aca="false">HYPERLINK("https://www.google.com/search?q=Ada+County+District+Boise+ID+library+website","Search")</f>
        <v>Search</v>
      </c>
      <c r="L744" s="7"/>
      <c r="M744" s="7"/>
    </row>
    <row r="745" customFormat="false" ht="15" hidden="false" customHeight="true" outlineLevel="0" collapsed="false">
      <c r="A745" s="4" t="s">
        <v>3163</v>
      </c>
      <c r="B745" s="4" t="s">
        <v>3169</v>
      </c>
      <c r="C745" s="4" t="s">
        <v>3170</v>
      </c>
      <c r="D745" s="4" t="s">
        <v>3171</v>
      </c>
      <c r="E745" s="5" t="n">
        <v>12676</v>
      </c>
      <c r="F745" s="4" t="n">
        <v>1</v>
      </c>
      <c r="G745" s="4" t="s">
        <v>3172</v>
      </c>
      <c r="H745" s="4" t="n">
        <v>43.19031</v>
      </c>
      <c r="I745" s="4" t="n">
        <v>-112.34505</v>
      </c>
      <c r="J745" s="4" t="s">
        <v>3173</v>
      </c>
      <c r="K745" s="6" t="str">
        <f aca="false">HYPERLINK("https://www.google.com/search?q=Blackfoot+Public+Blackfoot+ID+library+website","Search")</f>
        <v>Search</v>
      </c>
      <c r="L745" s="7"/>
      <c r="M745" s="8" t="str">
        <f aca="false">HYPERLINK("https://blackfoot.overdrive.com","https://blackfoot.overdrive.com")</f>
        <v>https://blackfoot.overdrive.com</v>
      </c>
    </row>
    <row r="746" customFormat="false" ht="15" hidden="false" customHeight="true" outlineLevel="0" collapsed="false">
      <c r="A746" s="4" t="s">
        <v>3163</v>
      </c>
      <c r="B746" s="4" t="s">
        <v>3174</v>
      </c>
      <c r="C746" s="4" t="s">
        <v>3165</v>
      </c>
      <c r="D746" s="4" t="s">
        <v>3166</v>
      </c>
      <c r="E746" s="5" t="n">
        <v>241190</v>
      </c>
      <c r="F746" s="4" t="n">
        <v>5</v>
      </c>
      <c r="G746" s="4" t="s">
        <v>3175</v>
      </c>
      <c r="H746" s="4" t="n">
        <v>43.60991</v>
      </c>
      <c r="I746" s="4" t="n">
        <v>-116.20727</v>
      </c>
      <c r="J746" s="4" t="s">
        <v>3176</v>
      </c>
      <c r="K746" s="6" t="str">
        <f aca="false">HYPERLINK("https://www.google.com/search?q=Boise+Public+Boise+ID+library+website","Search")</f>
        <v>Search</v>
      </c>
      <c r="L746" s="7"/>
      <c r="M746" s="8" t="str">
        <f aca="false">HYPERLINK("https://boise.overdrive.com","https://boise.overdrive.com")</f>
        <v>https://boise.overdrive.com</v>
      </c>
    </row>
    <row r="747" customFormat="false" ht="15" hidden="false" customHeight="true" outlineLevel="0" collapsed="false">
      <c r="A747" s="4" t="s">
        <v>3163</v>
      </c>
      <c r="B747" s="4" t="s">
        <v>3177</v>
      </c>
      <c r="C747" s="4" t="s">
        <v>3178</v>
      </c>
      <c r="D747" s="4" t="s">
        <v>3179</v>
      </c>
      <c r="E747" s="5" t="n">
        <v>12418</v>
      </c>
      <c r="F747" s="4" t="n">
        <v>1</v>
      </c>
      <c r="G747" s="4" t="s">
        <v>3180</v>
      </c>
      <c r="H747" s="4" t="n">
        <v>48.69634</v>
      </c>
      <c r="I747" s="4" t="n">
        <v>-116.31073</v>
      </c>
      <c r="J747" s="4" t="s">
        <v>3181</v>
      </c>
      <c r="K747" s="6" t="str">
        <f aca="false">HYPERLINK("https://www.google.com/search?q=Boundary+County+District+Bonners+Ferry+ID+library+website","Search")</f>
        <v>Search</v>
      </c>
      <c r="L747" s="7"/>
      <c r="M747" s="7"/>
    </row>
    <row r="748" customFormat="false" ht="15" hidden="false" customHeight="true" outlineLevel="0" collapsed="false">
      <c r="A748" s="4" t="s">
        <v>3163</v>
      </c>
      <c r="B748" s="4" t="s">
        <v>3182</v>
      </c>
      <c r="C748" s="4" t="s">
        <v>3183</v>
      </c>
      <c r="D748" s="4" t="s">
        <v>3184</v>
      </c>
      <c r="E748" s="5" t="n">
        <v>12193</v>
      </c>
      <c r="F748" s="4" t="n">
        <v>1</v>
      </c>
      <c r="G748" s="4" t="s">
        <v>3185</v>
      </c>
      <c r="H748" s="4" t="n">
        <v>42.53651</v>
      </c>
      <c r="I748" s="4" t="n">
        <v>-113.79591</v>
      </c>
      <c r="J748" s="4" t="s">
        <v>3186</v>
      </c>
      <c r="K748" s="6" t="str">
        <f aca="false">HYPERLINK("https://www.google.com/search?q=Burley+Public+Burley+ID+library+website","Search")</f>
        <v>Search</v>
      </c>
      <c r="L748" s="7"/>
      <c r="M748" s="7"/>
    </row>
    <row r="749" customFormat="false" ht="15" hidden="false" customHeight="true" outlineLevel="0" collapsed="false">
      <c r="A749" s="4" t="s">
        <v>3163</v>
      </c>
      <c r="B749" s="4" t="s">
        <v>3187</v>
      </c>
      <c r="C749" s="4" t="s">
        <v>3188</v>
      </c>
      <c r="D749" s="4" t="s">
        <v>3189</v>
      </c>
      <c r="E749" s="5" t="n">
        <v>65000</v>
      </c>
      <c r="F749" s="4" t="n">
        <v>1</v>
      </c>
      <c r="G749" s="4" t="s">
        <v>3190</v>
      </c>
      <c r="H749" s="4" t="n">
        <v>43.66154</v>
      </c>
      <c r="I749" s="4" t="n">
        <v>-116.68822</v>
      </c>
      <c r="J749" s="4" t="s">
        <v>3191</v>
      </c>
      <c r="K749" s="6" t="str">
        <f aca="false">HYPERLINK("https://www.google.com/search?q=Caldwell+Public+Caldwell+ID+library+website","Search")</f>
        <v>Search</v>
      </c>
      <c r="L749" s="7"/>
      <c r="M749" s="7"/>
    </row>
    <row r="750" customFormat="false" ht="15" hidden="false" customHeight="true" outlineLevel="0" collapsed="false">
      <c r="A750" s="4" t="s">
        <v>3163</v>
      </c>
      <c r="B750" s="4" t="s">
        <v>3192</v>
      </c>
      <c r="C750" s="4" t="s">
        <v>3193</v>
      </c>
      <c r="D750" s="4" t="s">
        <v>3194</v>
      </c>
      <c r="E750" s="5" t="n">
        <v>57638</v>
      </c>
      <c r="F750" s="4" t="n">
        <v>1</v>
      </c>
      <c r="G750" s="4" t="s">
        <v>3195</v>
      </c>
      <c r="H750" s="4" t="n">
        <v>47.67251</v>
      </c>
      <c r="I750" s="4" t="n">
        <v>-116.77664</v>
      </c>
      <c r="J750" s="4" t="s">
        <v>3196</v>
      </c>
      <c r="K750" s="6" t="str">
        <f aca="false">HYPERLINK("https://www.google.com/search?q=Coeur+D%60Alene+Public+Coeur+D%60Alene+ID+library+website","Search")</f>
        <v>Search</v>
      </c>
      <c r="L750" s="7"/>
      <c r="M750" s="7"/>
    </row>
    <row r="751" customFormat="false" ht="15" hidden="false" customHeight="true" outlineLevel="0" collapsed="false">
      <c r="A751" s="4" t="s">
        <v>3163</v>
      </c>
      <c r="B751" s="4" t="s">
        <v>3197</v>
      </c>
      <c r="C751" s="4" t="s">
        <v>3198</v>
      </c>
      <c r="D751" s="4" t="s">
        <v>3194</v>
      </c>
      <c r="E751" s="5" t="n">
        <v>127692</v>
      </c>
      <c r="F751" s="4" t="n">
        <v>7</v>
      </c>
      <c r="G751" s="4" t="s">
        <v>3199</v>
      </c>
      <c r="H751" s="4" t="n">
        <v>47.71642</v>
      </c>
      <c r="I751" s="4" t="n">
        <v>-116.94811</v>
      </c>
      <c r="J751" s="4" t="s">
        <v>3200</v>
      </c>
      <c r="K751" s="6" t="str">
        <f aca="false">HYPERLINK("https://www.google.com/search?q=Community+Library+Network+Post+Falls+ID+library+website","Search")</f>
        <v>Search</v>
      </c>
      <c r="L751" s="7"/>
      <c r="M751" s="7"/>
    </row>
    <row r="752" customFormat="false" ht="15" hidden="false" customHeight="true" outlineLevel="0" collapsed="false">
      <c r="A752" s="4" t="s">
        <v>3163</v>
      </c>
      <c r="B752" s="4" t="s">
        <v>3201</v>
      </c>
      <c r="C752" s="4" t="s">
        <v>1592</v>
      </c>
      <c r="D752" s="4" t="s">
        <v>3166</v>
      </c>
      <c r="E752" s="5" t="n">
        <v>33512</v>
      </c>
      <c r="F752" s="4" t="n">
        <v>1</v>
      </c>
      <c r="G752" s="4" t="s">
        <v>3202</v>
      </c>
      <c r="H752" s="4" t="n">
        <v>43.69605</v>
      </c>
      <c r="I752" s="4" t="n">
        <v>-116.3473</v>
      </c>
      <c r="J752" s="4" t="s">
        <v>3203</v>
      </c>
      <c r="K752" s="6" t="str">
        <f aca="false">HYPERLINK("https://www.google.com/search?q=Eagle+Public+Eagle+ID+library+website","Search")</f>
        <v>Search</v>
      </c>
      <c r="L752" s="7"/>
      <c r="M752" s="7"/>
    </row>
    <row r="753" customFormat="false" ht="15" hidden="false" customHeight="true" outlineLevel="0" collapsed="false">
      <c r="A753" s="4" t="s">
        <v>3163</v>
      </c>
      <c r="B753" s="4" t="s">
        <v>3204</v>
      </c>
      <c r="C753" s="4" t="s">
        <v>3205</v>
      </c>
      <c r="D753" s="4" t="s">
        <v>3206</v>
      </c>
      <c r="E753" s="5" t="n">
        <v>39451</v>
      </c>
      <c r="F753" s="4" t="n">
        <v>2</v>
      </c>
      <c r="G753" s="4" t="s">
        <v>3207</v>
      </c>
      <c r="H753" s="4" t="n">
        <v>48.27598</v>
      </c>
      <c r="I753" s="4" t="n">
        <v>-116.56864</v>
      </c>
      <c r="J753" s="4" t="s">
        <v>3208</v>
      </c>
      <c r="K753" s="6" t="str">
        <f aca="false">HYPERLINK("https://www.google.com/search?q=East+Bonner+County+District+Sandpoint+ID+library+website","Search")</f>
        <v>Search</v>
      </c>
      <c r="L753" s="7"/>
      <c r="M753" s="8" t="str">
        <f aca="false">HYPERLINK("https://ebonnerlibrary.overdrive.com","https://ebonnerlibrary.overdrive.com")</f>
        <v>https://ebonnerlibrary.overdrive.com</v>
      </c>
    </row>
    <row r="754" customFormat="false" ht="15" hidden="false" customHeight="true" outlineLevel="0" collapsed="false">
      <c r="A754" s="4" t="s">
        <v>3163</v>
      </c>
      <c r="B754" s="4" t="s">
        <v>3209</v>
      </c>
      <c r="C754" s="4" t="s">
        <v>3210</v>
      </c>
      <c r="D754" s="4" t="s">
        <v>863</v>
      </c>
      <c r="E754" s="5" t="n">
        <v>12222</v>
      </c>
      <c r="F754" s="4" t="n">
        <v>3</v>
      </c>
      <c r="G754" s="4" t="s">
        <v>3211</v>
      </c>
      <c r="H754" s="4" t="n">
        <v>44.07136</v>
      </c>
      <c r="I754" s="4" t="n">
        <v>-111.44221</v>
      </c>
      <c r="J754" s="4" t="s">
        <v>3212</v>
      </c>
      <c r="K754" s="6" t="str">
        <f aca="false">HYPERLINK("https://www.google.com/search?q=Fremont+County+District+Ashton+ID+library+website","Search")</f>
        <v>Search</v>
      </c>
      <c r="L754" s="7"/>
      <c r="M754" s="7"/>
    </row>
    <row r="755" customFormat="false" ht="15" hidden="false" customHeight="true" outlineLevel="0" collapsed="false">
      <c r="A755" s="4" t="s">
        <v>3163</v>
      </c>
      <c r="B755" s="4" t="s">
        <v>3213</v>
      </c>
      <c r="C755" s="4" t="s">
        <v>3214</v>
      </c>
      <c r="D755" s="4" t="s">
        <v>3166</v>
      </c>
      <c r="E755" s="5" t="n">
        <v>12506</v>
      </c>
      <c r="F755" s="4" t="n">
        <v>1</v>
      </c>
      <c r="G755" s="4" t="s">
        <v>3215</v>
      </c>
      <c r="H755" s="4" t="n">
        <v>43.66018</v>
      </c>
      <c r="I755" s="4" t="n">
        <v>-116.27976</v>
      </c>
      <c r="J755" s="4" t="s">
        <v>3216</v>
      </c>
      <c r="K755" s="6" t="str">
        <f aca="false">HYPERLINK("https://www.google.com/search?q=Garden+City+Public+Garden+City+ID+library+website","Search")</f>
        <v>Search</v>
      </c>
      <c r="L755" s="7"/>
      <c r="M755" s="7"/>
    </row>
    <row r="756" customFormat="false" ht="15" hidden="false" customHeight="true" outlineLevel="0" collapsed="false">
      <c r="A756" s="4" t="s">
        <v>3163</v>
      </c>
      <c r="B756" s="4" t="s">
        <v>3217</v>
      </c>
      <c r="C756" s="4" t="s">
        <v>3218</v>
      </c>
      <c r="D756" s="4" t="s">
        <v>3219</v>
      </c>
      <c r="E756" s="5" t="n">
        <v>68314</v>
      </c>
      <c r="F756" s="4" t="n">
        <v>3</v>
      </c>
      <c r="G756" s="4" t="s">
        <v>3220</v>
      </c>
      <c r="H756" s="4" t="n">
        <v>43.49199</v>
      </c>
      <c r="I756" s="4" t="n">
        <v>-112.04214</v>
      </c>
      <c r="J756" s="4" t="s">
        <v>3221</v>
      </c>
      <c r="K756" s="6" t="str">
        <f aca="false">HYPERLINK("https://www.google.com/search?q=Idaho+Falls+Public+Idaho+Falls+ID+library+website","Search")</f>
        <v>Search</v>
      </c>
      <c r="L756" s="7"/>
      <c r="M756" s="8" t="str">
        <f aca="false">HYPERLINK("https://ifpl.overdrive.com","https://ifpl.overdrive.com")</f>
        <v>https://ifpl.overdrive.com</v>
      </c>
    </row>
    <row r="757" customFormat="false" ht="15" hidden="false" customHeight="true" outlineLevel="0" collapsed="false">
      <c r="A757" s="4" t="s">
        <v>3163</v>
      </c>
      <c r="B757" s="4" t="s">
        <v>3222</v>
      </c>
      <c r="C757" s="4" t="s">
        <v>3223</v>
      </c>
      <c r="D757" s="4" t="s">
        <v>3223</v>
      </c>
      <c r="E757" s="5" t="n">
        <v>12795</v>
      </c>
      <c r="F757" s="4" t="n">
        <v>1</v>
      </c>
      <c r="G757" s="4" t="s">
        <v>3224</v>
      </c>
      <c r="H757" s="4" t="n">
        <v>42.72517</v>
      </c>
      <c r="I757" s="4" t="n">
        <v>-114.51841</v>
      </c>
      <c r="J757" s="4" t="s">
        <v>3225</v>
      </c>
      <c r="K757" s="6" t="str">
        <f aca="false">HYPERLINK("https://www.google.com/search?q=Jerome+Public+Jerome+ID+library+website","Search")</f>
        <v>Search</v>
      </c>
      <c r="L757" s="7"/>
      <c r="M757" s="7"/>
    </row>
    <row r="758" customFormat="false" ht="15" hidden="false" customHeight="true" outlineLevel="0" collapsed="false">
      <c r="A758" s="4" t="s">
        <v>3163</v>
      </c>
      <c r="B758" s="4" t="s">
        <v>3226</v>
      </c>
      <c r="C758" s="4" t="s">
        <v>3227</v>
      </c>
      <c r="D758" s="4" t="s">
        <v>3166</v>
      </c>
      <c r="E758" s="5" t="n">
        <v>39721</v>
      </c>
      <c r="F758" s="4" t="n">
        <v>1</v>
      </c>
      <c r="G758" s="4" t="s">
        <v>3228</v>
      </c>
      <c r="H758" s="4" t="n">
        <v>43.49244</v>
      </c>
      <c r="I758" s="4" t="n">
        <v>-116.4199</v>
      </c>
      <c r="J758" s="4" t="s">
        <v>3229</v>
      </c>
      <c r="K758" s="6" t="str">
        <f aca="false">HYPERLINK("https://www.google.com/search?q=Kuna+District+Kuna+ID+library+website","Search")</f>
        <v>Search</v>
      </c>
      <c r="L758" s="7"/>
      <c r="M758" s="8" t="str">
        <f aca="false">HYPERLINK("https://kuna.overdrive.com","https://kuna.overdrive.com")</f>
        <v>https://kuna.overdrive.com</v>
      </c>
    </row>
    <row r="759" customFormat="false" ht="15" hidden="false" customHeight="true" outlineLevel="0" collapsed="false">
      <c r="A759" s="4" t="s">
        <v>3163</v>
      </c>
      <c r="B759" s="4" t="s">
        <v>3230</v>
      </c>
      <c r="C759" s="4" t="s">
        <v>3231</v>
      </c>
      <c r="D759" s="4" t="s">
        <v>384</v>
      </c>
      <c r="E759" s="5" t="n">
        <v>14685</v>
      </c>
      <c r="F759" s="4" t="n">
        <v>1</v>
      </c>
      <c r="G759" s="4" t="s">
        <v>3232</v>
      </c>
      <c r="H759" s="4" t="n">
        <v>42.09415</v>
      </c>
      <c r="I759" s="4" t="n">
        <v>-111.87338</v>
      </c>
      <c r="J759" s="4" t="s">
        <v>3233</v>
      </c>
      <c r="K759" s="6" t="str">
        <f aca="false">HYPERLINK("https://www.google.com/search?q=Larsen-Sant%2FFranklin+District+Preston+ID+library+website","Search")</f>
        <v>Search</v>
      </c>
      <c r="L759" s="7"/>
      <c r="M759" s="7"/>
    </row>
    <row r="760" customFormat="false" ht="15" hidden="false" customHeight="true" outlineLevel="0" collapsed="false">
      <c r="A760" s="4" t="s">
        <v>3163</v>
      </c>
      <c r="B760" s="4" t="s">
        <v>3234</v>
      </c>
      <c r="C760" s="4" t="s">
        <v>3235</v>
      </c>
      <c r="D760" s="4" t="s">
        <v>3236</v>
      </c>
      <c r="E760" s="5" t="n">
        <v>40254</v>
      </c>
      <c r="F760" s="4" t="n">
        <v>7</v>
      </c>
      <c r="G760" s="4" t="s">
        <v>3237</v>
      </c>
      <c r="H760" s="4" t="n">
        <v>46.73346</v>
      </c>
      <c r="I760" s="4" t="n">
        <v>-116.99863</v>
      </c>
      <c r="J760" s="4" t="s">
        <v>3238</v>
      </c>
      <c r="K760" s="6" t="str">
        <f aca="false">HYPERLINK("https://www.google.com/search?q=Latah+County+District+Moscow+ID+library+website","Search")</f>
        <v>Search</v>
      </c>
      <c r="L760" s="7"/>
      <c r="M760" s="7"/>
    </row>
    <row r="761" customFormat="false" ht="15" hidden="false" customHeight="true" outlineLevel="0" collapsed="false">
      <c r="A761" s="4" t="s">
        <v>3163</v>
      </c>
      <c r="B761" s="4" t="s">
        <v>3239</v>
      </c>
      <c r="C761" s="4" t="s">
        <v>3240</v>
      </c>
      <c r="D761" s="4" t="s">
        <v>3241</v>
      </c>
      <c r="E761" s="5" t="n">
        <v>34807</v>
      </c>
      <c r="F761" s="4" t="n">
        <v>1</v>
      </c>
      <c r="G761" s="4" t="s">
        <v>3242</v>
      </c>
      <c r="H761" s="4" t="n">
        <v>46.42189</v>
      </c>
      <c r="I761" s="4" t="n">
        <v>-117.02754</v>
      </c>
      <c r="J761" s="4" t="s">
        <v>3243</v>
      </c>
      <c r="K761" s="6" t="str">
        <f aca="false">HYPERLINK("https://www.google.com/search?q=Lewiston+City+Public+Lewiston+ID+library+website","Search")</f>
        <v>Search</v>
      </c>
      <c r="L761" s="7"/>
      <c r="M761" s="7"/>
    </row>
    <row r="762" customFormat="false" ht="15" hidden="false" customHeight="true" outlineLevel="0" collapsed="false">
      <c r="A762" s="4" t="s">
        <v>3163</v>
      </c>
      <c r="B762" s="4" t="s">
        <v>3244</v>
      </c>
      <c r="C762" s="4" t="s">
        <v>3245</v>
      </c>
      <c r="D762" s="4" t="s">
        <v>261</v>
      </c>
      <c r="E762" s="5" t="n">
        <v>49681</v>
      </c>
      <c r="F762" s="4" t="n">
        <v>1</v>
      </c>
      <c r="G762" s="4" t="s">
        <v>3246</v>
      </c>
      <c r="H762" s="4" t="n">
        <v>43.82795</v>
      </c>
      <c r="I762" s="4" t="n">
        <v>-111.78386</v>
      </c>
      <c r="J762" s="4" t="s">
        <v>3247</v>
      </c>
      <c r="K762" s="6" t="str">
        <f aca="false">HYPERLINK("https://www.google.com/search?q=Madison+Library+District+Rexburg+ID+library+website","Search")</f>
        <v>Search</v>
      </c>
      <c r="L762" s="7"/>
      <c r="M762" s="7"/>
    </row>
    <row r="763" customFormat="false" ht="15" hidden="false" customHeight="true" outlineLevel="0" collapsed="false">
      <c r="A763" s="4" t="s">
        <v>3163</v>
      </c>
      <c r="B763" s="4" t="s">
        <v>3248</v>
      </c>
      <c r="C763" s="4" t="s">
        <v>3249</v>
      </c>
      <c r="D763" s="4" t="s">
        <v>3250</v>
      </c>
      <c r="E763" s="5" t="n">
        <v>57468</v>
      </c>
      <c r="F763" s="4" t="n">
        <v>1</v>
      </c>
      <c r="G763" s="4" t="s">
        <v>3251</v>
      </c>
      <c r="H763" s="4" t="n">
        <v>42.86069</v>
      </c>
      <c r="I763" s="4" t="n">
        <v>-112.45253</v>
      </c>
      <c r="J763" s="4" t="s">
        <v>3252</v>
      </c>
      <c r="K763" s="6" t="str">
        <f aca="false">HYPERLINK("https://www.google.com/search?q=Marshall+Public+Pocatello+ID+library+website","Search")</f>
        <v>Search</v>
      </c>
      <c r="L763" s="7"/>
      <c r="M763" s="7"/>
    </row>
    <row r="764" customFormat="false" ht="15" hidden="false" customHeight="true" outlineLevel="0" collapsed="false">
      <c r="A764" s="4" t="s">
        <v>3163</v>
      </c>
      <c r="B764" s="4" t="s">
        <v>3253</v>
      </c>
      <c r="C764" s="4" t="s">
        <v>3254</v>
      </c>
      <c r="D764" s="4" t="s">
        <v>3166</v>
      </c>
      <c r="E764" s="5" t="n">
        <v>138164</v>
      </c>
      <c r="F764" s="4" t="n">
        <v>4</v>
      </c>
      <c r="G764" s="4" t="s">
        <v>3255</v>
      </c>
      <c r="H764" s="4" t="n">
        <v>43.61983</v>
      </c>
      <c r="I764" s="4" t="n">
        <v>-116.4091</v>
      </c>
      <c r="J764" s="4" t="s">
        <v>3256</v>
      </c>
      <c r="K764" s="6" t="str">
        <f aca="false">HYPERLINK("https://www.google.com/search?q=Meridian+District+Meridian+ID+library+website","Search")</f>
        <v>Search</v>
      </c>
      <c r="L764" s="7"/>
      <c r="M764" s="8" t="str">
        <f aca="false">HYPERLINK("https://meridian.overdrive.com","https://meridian.overdrive.com")</f>
        <v>https://meridian.overdrive.com</v>
      </c>
    </row>
    <row r="765" customFormat="false" ht="15" hidden="false" customHeight="true" outlineLevel="0" collapsed="false">
      <c r="A765" s="4" t="s">
        <v>3163</v>
      </c>
      <c r="B765" s="4" t="s">
        <v>3257</v>
      </c>
      <c r="C765" s="4" t="s">
        <v>3258</v>
      </c>
      <c r="D765" s="4" t="s">
        <v>3189</v>
      </c>
      <c r="E765" s="5" t="n">
        <v>10285</v>
      </c>
      <c r="F765" s="4" t="n">
        <v>1</v>
      </c>
      <c r="G765" s="4" t="s">
        <v>3259</v>
      </c>
      <c r="H765" s="4" t="n">
        <v>43.70672</v>
      </c>
      <c r="I765" s="4" t="n">
        <v>-116.61891</v>
      </c>
      <c r="J765" s="4" t="s">
        <v>3260</v>
      </c>
      <c r="K765" s="6" t="str">
        <f aca="false">HYPERLINK("https://www.google.com/search?q=Middleton+Public+Middleton+ID+library+website","Search")</f>
        <v>Search</v>
      </c>
      <c r="L765" s="7"/>
      <c r="M765" s="7"/>
    </row>
    <row r="766" customFormat="false" ht="15" hidden="false" customHeight="true" outlineLevel="0" collapsed="false">
      <c r="A766" s="4" t="s">
        <v>3163</v>
      </c>
      <c r="B766" s="4" t="s">
        <v>3261</v>
      </c>
      <c r="C766" s="4" t="s">
        <v>471</v>
      </c>
      <c r="D766" s="4" t="s">
        <v>302</v>
      </c>
      <c r="E766" s="5" t="n">
        <v>16268</v>
      </c>
      <c r="F766" s="4" t="n">
        <v>1</v>
      </c>
      <c r="G766" s="4" t="s">
        <v>3262</v>
      </c>
      <c r="H766" s="4" t="n">
        <v>43.13719</v>
      </c>
      <c r="I766" s="4" t="n">
        <v>-115.68746</v>
      </c>
      <c r="J766" s="4" t="s">
        <v>3263</v>
      </c>
      <c r="K766" s="6" t="str">
        <f aca="false">HYPERLINK("https://www.google.com/search?q=Mountain+Home+Public+Mountain+Home+ID+library+website","Search")</f>
        <v>Search</v>
      </c>
      <c r="L766" s="7"/>
      <c r="M766" s="7"/>
    </row>
    <row r="767" customFormat="false" ht="15" hidden="false" customHeight="true" outlineLevel="0" collapsed="false">
      <c r="A767" s="4" t="s">
        <v>3163</v>
      </c>
      <c r="B767" s="4" t="s">
        <v>3264</v>
      </c>
      <c r="C767" s="4" t="s">
        <v>3265</v>
      </c>
      <c r="D767" s="4" t="s">
        <v>3189</v>
      </c>
      <c r="E767" s="5" t="n">
        <v>106925</v>
      </c>
      <c r="F767" s="4" t="n">
        <v>1</v>
      </c>
      <c r="G767" s="4" t="s">
        <v>3266</v>
      </c>
      <c r="H767" s="4" t="n">
        <v>43.57778</v>
      </c>
      <c r="I767" s="4" t="n">
        <v>-116.5617</v>
      </c>
      <c r="J767" s="4" t="s">
        <v>3267</v>
      </c>
      <c r="K767" s="6" t="str">
        <f aca="false">HYPERLINK("https://www.google.com/search?q=Nampa+Public+Nampa+ID+library+website","Search")</f>
        <v>Search</v>
      </c>
      <c r="L767" s="7"/>
      <c r="M767" s="7"/>
    </row>
    <row r="768" customFormat="false" ht="15" hidden="false" customHeight="true" outlineLevel="0" collapsed="false">
      <c r="A768" s="4" t="s">
        <v>3163</v>
      </c>
      <c r="B768" s="4" t="s">
        <v>3268</v>
      </c>
      <c r="C768" s="4" t="s">
        <v>3269</v>
      </c>
      <c r="D768" s="4" t="s">
        <v>3171</v>
      </c>
      <c r="E768" s="5" t="n">
        <v>14040</v>
      </c>
      <c r="F768" s="4" t="n">
        <v>1</v>
      </c>
      <c r="G768" s="4" t="s">
        <v>3270</v>
      </c>
      <c r="H768" s="4" t="n">
        <v>43.37801</v>
      </c>
      <c r="I768" s="4" t="n">
        <v>-112.12552</v>
      </c>
      <c r="J768" s="4" t="s">
        <v>3271</v>
      </c>
      <c r="K768" s="6" t="str">
        <f aca="false">HYPERLINK("https://www.google.com/search?q=North+Bingham+County+District+Shelley+ID+library+website","Search")</f>
        <v>Search</v>
      </c>
      <c r="L768" s="7"/>
      <c r="M768" s="7"/>
    </row>
    <row r="769" customFormat="false" ht="15" hidden="false" customHeight="true" outlineLevel="0" collapsed="false">
      <c r="A769" s="4" t="s">
        <v>3163</v>
      </c>
      <c r="B769" s="4" t="s">
        <v>3272</v>
      </c>
      <c r="C769" s="4" t="s">
        <v>3273</v>
      </c>
      <c r="D769" s="4" t="s">
        <v>3250</v>
      </c>
      <c r="E769" s="5" t="n">
        <v>24269</v>
      </c>
      <c r="F769" s="4" t="n">
        <v>1</v>
      </c>
      <c r="G769" s="4" t="s">
        <v>3274</v>
      </c>
      <c r="H769" s="4" t="n">
        <v>42.92825</v>
      </c>
      <c r="I769" s="4" t="n">
        <v>-112.4744</v>
      </c>
      <c r="J769" s="4" t="s">
        <v>3275</v>
      </c>
      <c r="K769" s="6" t="str">
        <f aca="false">HYPERLINK("https://www.google.com/search?q=Portneuf+District+Chubbuck+ID+library+website","Search")</f>
        <v>Search</v>
      </c>
      <c r="L769" s="7"/>
      <c r="M769" s="7"/>
    </row>
    <row r="770" customFormat="false" ht="15" hidden="false" customHeight="true" outlineLevel="0" collapsed="false">
      <c r="A770" s="4" t="s">
        <v>3163</v>
      </c>
      <c r="B770" s="4" t="s">
        <v>3276</v>
      </c>
      <c r="C770" s="4" t="s">
        <v>3277</v>
      </c>
      <c r="D770" s="4" t="s">
        <v>3241</v>
      </c>
      <c r="E770" s="5" t="n">
        <v>17137</v>
      </c>
      <c r="F770" s="4" t="n">
        <v>8</v>
      </c>
      <c r="G770" s="4" t="s">
        <v>3278</v>
      </c>
      <c r="H770" s="4" t="n">
        <v>46.40539</v>
      </c>
      <c r="I770" s="4" t="n">
        <v>-116.80463</v>
      </c>
      <c r="J770" s="4" t="s">
        <v>3279</v>
      </c>
      <c r="K770" s="6" t="str">
        <f aca="false">HYPERLINK("https://www.google.com/search?q=Prairie-River+District+Lapwai+ID+library+website","Search")</f>
        <v>Search</v>
      </c>
      <c r="L770" s="7"/>
      <c r="M770" s="7"/>
    </row>
    <row r="771" customFormat="false" ht="15" hidden="false" customHeight="true" outlineLevel="0" collapsed="false">
      <c r="A771" s="4" t="s">
        <v>3163</v>
      </c>
      <c r="B771" s="4" t="s">
        <v>3280</v>
      </c>
      <c r="C771" s="4" t="s">
        <v>3281</v>
      </c>
      <c r="D771" s="4" t="s">
        <v>3281</v>
      </c>
      <c r="E771" s="5" t="n">
        <v>53639</v>
      </c>
      <c r="F771" s="4" t="n">
        <v>1</v>
      </c>
      <c r="G771" s="4" t="s">
        <v>3282</v>
      </c>
      <c r="H771" s="4" t="n">
        <v>42.5567</v>
      </c>
      <c r="I771" s="4" t="n">
        <v>-114.4656</v>
      </c>
      <c r="J771" s="4" t="s">
        <v>3283</v>
      </c>
      <c r="K771" s="6" t="str">
        <f aca="false">HYPERLINK("https://www.google.com/search?q=Twin+Falls+Public+Twin+Falls+ID+library+website","Search")</f>
        <v>Search</v>
      </c>
      <c r="L771" s="7"/>
      <c r="M771" s="7"/>
    </row>
    <row r="772" customFormat="false" ht="15" hidden="false" customHeight="true" outlineLevel="0" collapsed="false">
      <c r="A772" s="4" t="s">
        <v>3163</v>
      </c>
      <c r="B772" s="4" t="s">
        <v>3284</v>
      </c>
      <c r="C772" s="4" t="s">
        <v>3285</v>
      </c>
      <c r="D772" s="4" t="s">
        <v>3286</v>
      </c>
      <c r="E772" s="5" t="n">
        <v>12097</v>
      </c>
      <c r="F772" s="4" t="n">
        <v>2</v>
      </c>
      <c r="G772" s="4" t="s">
        <v>3287</v>
      </c>
      <c r="H772" s="4" t="n">
        <v>43.60382</v>
      </c>
      <c r="I772" s="4" t="n">
        <v>-111.11132</v>
      </c>
      <c r="J772" s="4" t="s">
        <v>3288</v>
      </c>
      <c r="K772" s="6" t="str">
        <f aca="false">HYPERLINK("https://www.google.com/search?q=Valley+Of+The+Tetons+District+Victor+ID+library+website","Search")</f>
        <v>Search</v>
      </c>
      <c r="L772" s="7"/>
      <c r="M772" s="7"/>
    </row>
    <row r="773" customFormat="false" ht="15" hidden="false" customHeight="true" outlineLevel="0" collapsed="false">
      <c r="A773" s="4" t="s">
        <v>3289</v>
      </c>
      <c r="B773" s="4" t="s">
        <v>3290</v>
      </c>
      <c r="C773" s="4" t="s">
        <v>3291</v>
      </c>
      <c r="D773" s="4" t="s">
        <v>3292</v>
      </c>
      <c r="E773" s="5" t="n">
        <v>30735</v>
      </c>
      <c r="F773" s="4" t="n">
        <v>1</v>
      </c>
      <c r="G773" s="4" t="s">
        <v>3293</v>
      </c>
      <c r="H773" s="4" t="n">
        <v>41.60739</v>
      </c>
      <c r="I773" s="4" t="n">
        <v>-87.75618</v>
      </c>
      <c r="J773" s="4" t="s">
        <v>3294</v>
      </c>
      <c r="K773" s="6" t="str">
        <f aca="false">HYPERLINK("https://www.google.com/search?q=Acorn+Public+Library+District+Oak+Forest+IL+library+website","Search")</f>
        <v>Search</v>
      </c>
      <c r="L773" s="7"/>
      <c r="M773" s="7"/>
    </row>
    <row r="774" customFormat="false" ht="15" hidden="false" customHeight="true" outlineLevel="0" collapsed="false">
      <c r="A774" s="4" t="s">
        <v>3289</v>
      </c>
      <c r="B774" s="4" t="s">
        <v>3295</v>
      </c>
      <c r="C774" s="4" t="s">
        <v>3296</v>
      </c>
      <c r="D774" s="4" t="s">
        <v>3297</v>
      </c>
      <c r="E774" s="5" t="n">
        <v>35702</v>
      </c>
      <c r="F774" s="4" t="n">
        <v>1</v>
      </c>
      <c r="G774" s="4" t="s">
        <v>3298</v>
      </c>
      <c r="H774" s="4" t="n">
        <v>41.93288</v>
      </c>
      <c r="I774" s="4" t="n">
        <v>-87.99296</v>
      </c>
      <c r="J774" s="4" t="s">
        <v>3299</v>
      </c>
      <c r="K774" s="6" t="str">
        <f aca="false">HYPERLINK("https://www.google.com/search?q=Addison+Public+Library+Addison+IL+library+website","Search")</f>
        <v>Search</v>
      </c>
      <c r="L774" s="7"/>
      <c r="M774" s="7"/>
    </row>
    <row r="775" customFormat="false" ht="15" hidden="false" customHeight="true" outlineLevel="0" collapsed="false">
      <c r="A775" s="4" t="s">
        <v>3289</v>
      </c>
      <c r="B775" s="4" t="s">
        <v>3300</v>
      </c>
      <c r="C775" s="4" t="s">
        <v>3301</v>
      </c>
      <c r="D775" s="4" t="s">
        <v>3302</v>
      </c>
      <c r="E775" s="5" t="n">
        <v>40679</v>
      </c>
      <c r="F775" s="4" t="n">
        <v>2</v>
      </c>
      <c r="G775" s="4" t="s">
        <v>3303</v>
      </c>
      <c r="H775" s="4" t="n">
        <v>42.16131</v>
      </c>
      <c r="I775" s="4" t="n">
        <v>-88.34612</v>
      </c>
      <c r="J775" s="4" t="s">
        <v>3304</v>
      </c>
      <c r="K775" s="6" t="str">
        <f aca="false">HYPERLINK("https://www.google.com/search?q=Algonquin+Area+Public+Library+District+Algonquin+IL+library+website","Search")</f>
        <v>Search</v>
      </c>
      <c r="L775" s="7"/>
      <c r="M775" s="7"/>
    </row>
    <row r="776" customFormat="false" ht="15" hidden="false" customHeight="true" outlineLevel="0" collapsed="false">
      <c r="A776" s="4" t="s">
        <v>3289</v>
      </c>
      <c r="B776" s="4" t="s">
        <v>3305</v>
      </c>
      <c r="C776" s="4" t="s">
        <v>3306</v>
      </c>
      <c r="D776" s="4" t="s">
        <v>796</v>
      </c>
      <c r="E776" s="5" t="n">
        <v>24397</v>
      </c>
      <c r="F776" s="4" t="n">
        <v>1</v>
      </c>
      <c r="G776" s="4" t="s">
        <v>3307</v>
      </c>
      <c r="H776" s="4" t="n">
        <v>40.64593</v>
      </c>
      <c r="I776" s="4" t="n">
        <v>-89.68042</v>
      </c>
      <c r="J776" s="4" t="s">
        <v>3308</v>
      </c>
      <c r="K776" s="6" t="str">
        <f aca="false">HYPERLINK("https://www.google.com/search?q=Alpha+Park+Public+Library+District+Bartonville+IL+library+website","Search")</f>
        <v>Search</v>
      </c>
      <c r="L776" s="7"/>
      <c r="M776" s="7"/>
    </row>
    <row r="777" customFormat="false" ht="15" hidden="false" customHeight="true" outlineLevel="0" collapsed="false">
      <c r="A777" s="4" t="s">
        <v>3289</v>
      </c>
      <c r="B777" s="4" t="s">
        <v>3309</v>
      </c>
      <c r="C777" s="4" t="s">
        <v>3310</v>
      </c>
      <c r="D777" s="4" t="s">
        <v>3292</v>
      </c>
      <c r="E777" s="5" t="n">
        <v>21796</v>
      </c>
      <c r="F777" s="4" t="n">
        <v>1</v>
      </c>
      <c r="G777" s="4" t="s">
        <v>3311</v>
      </c>
      <c r="H777" s="4" t="n">
        <v>41.67506</v>
      </c>
      <c r="I777" s="4" t="n">
        <v>-87.7197</v>
      </c>
      <c r="J777" s="4" t="s">
        <v>3312</v>
      </c>
      <c r="K777" s="6" t="str">
        <f aca="false">HYPERLINK("https://www.google.com/search?q=Alsip-Merrionette+Park+Public+Library+District+Alsip+IL+library+website","Search")</f>
        <v>Search</v>
      </c>
      <c r="L777" s="7"/>
      <c r="M777" s="7"/>
    </row>
    <row r="778" customFormat="false" ht="15" hidden="false" customHeight="true" outlineLevel="0" collapsed="false">
      <c r="A778" s="4" t="s">
        <v>3289</v>
      </c>
      <c r="B778" s="4" t="s">
        <v>3313</v>
      </c>
      <c r="C778" s="4" t="s">
        <v>3314</v>
      </c>
      <c r="D778" s="4" t="s">
        <v>3315</v>
      </c>
      <c r="E778" s="5" t="n">
        <v>11508</v>
      </c>
      <c r="F778" s="4" t="n">
        <v>1</v>
      </c>
      <c r="G778" s="4" t="s">
        <v>3316</v>
      </c>
      <c r="H778" s="4" t="n">
        <v>37.76809</v>
      </c>
      <c r="I778" s="4" t="n">
        <v>-89.07727</v>
      </c>
      <c r="J778" s="4" t="s">
        <v>3317</v>
      </c>
      <c r="K778" s="6" t="str">
        <f aca="false">HYPERLINK("https://www.google.com/search?q=Anne+West+Lindsey+District+Library+Carterville+IL+library+website","Search")</f>
        <v>Search</v>
      </c>
      <c r="L778" s="7"/>
      <c r="M778" s="7"/>
    </row>
    <row r="779" customFormat="false" ht="15" hidden="false" customHeight="true" outlineLevel="0" collapsed="false">
      <c r="A779" s="4" t="s">
        <v>3289</v>
      </c>
      <c r="B779" s="4" t="s">
        <v>3318</v>
      </c>
      <c r="C779" s="4" t="s">
        <v>3319</v>
      </c>
      <c r="D779" s="4" t="s">
        <v>1118</v>
      </c>
      <c r="E779" s="5" t="n">
        <v>25814</v>
      </c>
      <c r="F779" s="4" t="n">
        <v>1</v>
      </c>
      <c r="G779" s="4" t="s">
        <v>3320</v>
      </c>
      <c r="H779" s="4" t="n">
        <v>42.48241</v>
      </c>
      <c r="I779" s="4" t="n">
        <v>-88.09577</v>
      </c>
      <c r="J779" s="4" t="s">
        <v>3321</v>
      </c>
      <c r="K779" s="6" t="str">
        <f aca="false">HYPERLINK("https://www.google.com/search?q=Antioch+Public+Library+District+Antioch+IL+library+website","Search")</f>
        <v>Search</v>
      </c>
      <c r="L779" s="7"/>
      <c r="M779" s="7"/>
    </row>
    <row r="780" customFormat="false" ht="15" hidden="false" customHeight="true" outlineLevel="0" collapsed="false">
      <c r="A780" s="4" t="s">
        <v>3289</v>
      </c>
      <c r="B780" s="4" t="s">
        <v>3322</v>
      </c>
      <c r="C780" s="4" t="s">
        <v>3323</v>
      </c>
      <c r="D780" s="4" t="s">
        <v>3292</v>
      </c>
      <c r="E780" s="5" t="n">
        <v>77676</v>
      </c>
      <c r="F780" s="4" t="n">
        <v>3</v>
      </c>
      <c r="G780" s="4" t="s">
        <v>3324</v>
      </c>
      <c r="H780" s="4" t="n">
        <v>42.0878</v>
      </c>
      <c r="I780" s="4" t="n">
        <v>-87.9829</v>
      </c>
      <c r="J780" s="4" t="s">
        <v>3325</v>
      </c>
      <c r="K780" s="6" t="str">
        <f aca="false">HYPERLINK("https://www.google.com/search?q=Arlington+Heights+Memorial+Library+Arlington+Heights+IL+library+website","Search")</f>
        <v>Search</v>
      </c>
      <c r="L780" s="7"/>
      <c r="M780" s="8" t="str">
        <f aca="false">HYPERLINK("https://ahmlil.overdrive.com","https://ahmlil.overdrive.com")</f>
        <v>https://ahmlil.overdrive.com</v>
      </c>
    </row>
    <row r="781" customFormat="false" ht="15" hidden="false" customHeight="true" outlineLevel="0" collapsed="false">
      <c r="A781" s="4" t="s">
        <v>3289</v>
      </c>
      <c r="B781" s="4" t="s">
        <v>3326</v>
      </c>
      <c r="C781" s="4" t="s">
        <v>1587</v>
      </c>
      <c r="D781" s="4" t="s">
        <v>3327</v>
      </c>
      <c r="E781" s="5" t="n">
        <v>180542</v>
      </c>
      <c r="F781" s="4" t="n">
        <v>3</v>
      </c>
      <c r="G781" s="4" t="s">
        <v>3328</v>
      </c>
      <c r="H781" s="4" t="n">
        <v>41.75689</v>
      </c>
      <c r="I781" s="4" t="n">
        <v>-88.31978</v>
      </c>
      <c r="J781" s="4" t="s">
        <v>3329</v>
      </c>
      <c r="K781" s="6" t="str">
        <f aca="false">HYPERLINK("https://www.google.com/search?q=Aurora+Public+Library+District+Aurora+IL+library+website","Search")</f>
        <v>Search</v>
      </c>
      <c r="L781" s="7"/>
      <c r="M781" s="7"/>
    </row>
    <row r="782" customFormat="false" ht="15" hidden="false" customHeight="true" outlineLevel="0" collapsed="false">
      <c r="A782" s="4" t="s">
        <v>3289</v>
      </c>
      <c r="B782" s="4" t="s">
        <v>3330</v>
      </c>
      <c r="C782" s="4" t="s">
        <v>3331</v>
      </c>
      <c r="D782" s="4" t="s">
        <v>1118</v>
      </c>
      <c r="E782" s="5" t="n">
        <v>45360</v>
      </c>
      <c r="F782" s="4" t="n">
        <v>1</v>
      </c>
      <c r="G782" s="4" t="s">
        <v>3332</v>
      </c>
      <c r="H782" s="4" t="n">
        <v>42.15938</v>
      </c>
      <c r="I782" s="4" t="n">
        <v>-88.12761</v>
      </c>
      <c r="J782" s="4" t="s">
        <v>3333</v>
      </c>
      <c r="K782" s="6" t="str">
        <f aca="false">HYPERLINK("https://www.google.com/search?q=Barrington+Public+Library+District+Barrington+IL+library+website","Search")</f>
        <v>Search</v>
      </c>
      <c r="L782" s="7"/>
      <c r="M782" s="7"/>
    </row>
    <row r="783" customFormat="false" ht="15" hidden="false" customHeight="true" outlineLevel="0" collapsed="false">
      <c r="A783" s="4" t="s">
        <v>3289</v>
      </c>
      <c r="B783" s="4" t="s">
        <v>3334</v>
      </c>
      <c r="C783" s="4" t="s">
        <v>3335</v>
      </c>
      <c r="D783" s="4" t="s">
        <v>3297</v>
      </c>
      <c r="E783" s="5" t="n">
        <v>36034</v>
      </c>
      <c r="F783" s="4" t="n">
        <v>1</v>
      </c>
      <c r="G783" s="4" t="s">
        <v>3336</v>
      </c>
      <c r="H783" s="4" t="n">
        <v>41.97681</v>
      </c>
      <c r="I783" s="4" t="n">
        <v>-88.18371</v>
      </c>
      <c r="J783" s="4" t="s">
        <v>3337</v>
      </c>
      <c r="K783" s="6" t="str">
        <f aca="false">HYPERLINK("https://www.google.com/search?q=Bartlett+Public+Library+District+Bartlett+IL+library+website","Search")</f>
        <v>Search</v>
      </c>
      <c r="L783" s="7"/>
      <c r="M783" s="7"/>
    </row>
    <row r="784" customFormat="false" ht="15" hidden="false" customHeight="true" outlineLevel="0" collapsed="false">
      <c r="A784" s="4" t="s">
        <v>3289</v>
      </c>
      <c r="B784" s="4" t="s">
        <v>3338</v>
      </c>
      <c r="C784" s="4" t="s">
        <v>3339</v>
      </c>
      <c r="D784" s="4" t="s">
        <v>3327</v>
      </c>
      <c r="E784" s="5" t="n">
        <v>26256</v>
      </c>
      <c r="F784" s="4" t="n">
        <v>1</v>
      </c>
      <c r="G784" s="4" t="s">
        <v>3340</v>
      </c>
      <c r="H784" s="4" t="n">
        <v>41.84939</v>
      </c>
      <c r="I784" s="4" t="n">
        <v>-88.31189</v>
      </c>
      <c r="J784" s="4" t="s">
        <v>3341</v>
      </c>
      <c r="K784" s="6" t="str">
        <f aca="false">HYPERLINK("https://www.google.com/search?q=Batavia+Public+Library+District+Batavia+IL+library+website","Search")</f>
        <v>Search</v>
      </c>
      <c r="L784" s="7"/>
      <c r="M784" s="7"/>
    </row>
    <row r="785" customFormat="false" ht="15" hidden="false" customHeight="true" outlineLevel="0" collapsed="false">
      <c r="A785" s="4" t="s">
        <v>3289</v>
      </c>
      <c r="B785" s="4" t="s">
        <v>3342</v>
      </c>
      <c r="C785" s="4" t="s">
        <v>3343</v>
      </c>
      <c r="D785" s="4" t="s">
        <v>320</v>
      </c>
      <c r="E785" s="5" t="n">
        <v>42404</v>
      </c>
      <c r="F785" s="4" t="n">
        <v>2</v>
      </c>
      <c r="G785" s="4" t="s">
        <v>3344</v>
      </c>
      <c r="H785" s="4" t="n">
        <v>38.51264</v>
      </c>
      <c r="I785" s="4" t="n">
        <v>-89.98188</v>
      </c>
      <c r="J785" s="4" t="s">
        <v>3345</v>
      </c>
      <c r="K785" s="6" t="str">
        <f aca="false">HYPERLINK("https://www.google.com/search?q=Belleville+Public+Library+Belleville+IL+library+website","Search")</f>
        <v>Search</v>
      </c>
      <c r="L785" s="7"/>
      <c r="M785" s="7"/>
    </row>
    <row r="786" customFormat="false" ht="15" hidden="false" customHeight="true" outlineLevel="0" collapsed="false">
      <c r="A786" s="4" t="s">
        <v>3289</v>
      </c>
      <c r="B786" s="4" t="s">
        <v>3346</v>
      </c>
      <c r="C786" s="4" t="s">
        <v>3347</v>
      </c>
      <c r="D786" s="4" t="s">
        <v>3292</v>
      </c>
      <c r="E786" s="5" t="n">
        <v>18789</v>
      </c>
      <c r="F786" s="4" t="n">
        <v>1</v>
      </c>
      <c r="G786" s="4" t="s">
        <v>3348</v>
      </c>
      <c r="H786" s="4" t="n">
        <v>41.88134</v>
      </c>
      <c r="I786" s="4" t="n">
        <v>-87.87714</v>
      </c>
      <c r="J786" s="4" t="s">
        <v>3349</v>
      </c>
      <c r="K786" s="6" t="str">
        <f aca="false">HYPERLINK("https://www.google.com/search?q=Bellwood+Public+Library+Bellwood+IL+library+website","Search")</f>
        <v>Search</v>
      </c>
      <c r="L786" s="7"/>
      <c r="M786" s="7"/>
    </row>
    <row r="787" customFormat="false" ht="15" hidden="false" customHeight="true" outlineLevel="0" collapsed="false">
      <c r="A787" s="4" t="s">
        <v>3289</v>
      </c>
      <c r="B787" s="4" t="s">
        <v>3350</v>
      </c>
      <c r="C787" s="4" t="s">
        <v>3351</v>
      </c>
      <c r="D787" s="4" t="s">
        <v>3297</v>
      </c>
      <c r="E787" s="5" t="n">
        <v>21772</v>
      </c>
      <c r="F787" s="4" t="n">
        <v>1</v>
      </c>
      <c r="G787" s="4" t="s">
        <v>3352</v>
      </c>
      <c r="H787" s="4" t="n">
        <v>41.95226</v>
      </c>
      <c r="I787" s="4" t="n">
        <v>-87.95112</v>
      </c>
      <c r="J787" s="4" t="s">
        <v>3353</v>
      </c>
      <c r="K787" s="6" t="str">
        <f aca="false">HYPERLINK("https://www.google.com/search?q=Bensenville+Community+Public+Library+District+Bensenville+IL+library+website","Search")</f>
        <v>Search</v>
      </c>
      <c r="L787" s="7"/>
      <c r="M787" s="7"/>
    </row>
    <row r="788" customFormat="false" ht="15" hidden="false" customHeight="true" outlineLevel="0" collapsed="false">
      <c r="A788" s="4" t="s">
        <v>3289</v>
      </c>
      <c r="B788" s="4" t="s">
        <v>3354</v>
      </c>
      <c r="C788" s="4" t="s">
        <v>477</v>
      </c>
      <c r="D788" s="4" t="s">
        <v>384</v>
      </c>
      <c r="E788" s="5" t="n">
        <v>12417</v>
      </c>
      <c r="F788" s="4" t="n">
        <v>1</v>
      </c>
      <c r="G788" s="4" t="s">
        <v>3355</v>
      </c>
      <c r="H788" s="4" t="n">
        <v>37.99139</v>
      </c>
      <c r="I788" s="4" t="n">
        <v>-88.92039</v>
      </c>
      <c r="J788" s="4" t="s">
        <v>3356</v>
      </c>
      <c r="K788" s="6" t="str">
        <f aca="false">HYPERLINK("https://www.google.com/search?q=Benton+Public+Library+District+Benton+IL+library+website","Search")</f>
        <v>Search</v>
      </c>
      <c r="L788" s="7"/>
      <c r="M788" s="7"/>
    </row>
    <row r="789" customFormat="false" ht="15" hidden="false" customHeight="true" outlineLevel="0" collapsed="false">
      <c r="A789" s="4" t="s">
        <v>3289</v>
      </c>
      <c r="B789" s="4" t="s">
        <v>3357</v>
      </c>
      <c r="C789" s="4" t="s">
        <v>3358</v>
      </c>
      <c r="D789" s="4" t="s">
        <v>3292</v>
      </c>
      <c r="E789" s="5" t="n">
        <v>57250</v>
      </c>
      <c r="F789" s="4" t="n">
        <v>1</v>
      </c>
      <c r="G789" s="4" t="s">
        <v>3359</v>
      </c>
      <c r="H789" s="4" t="n">
        <v>41.8418</v>
      </c>
      <c r="I789" s="4" t="n">
        <v>-87.80328</v>
      </c>
      <c r="J789" s="4" t="s">
        <v>3360</v>
      </c>
      <c r="K789" s="6" t="str">
        <f aca="false">HYPERLINK("https://www.google.com/search?q=Berwyn+Public+Library+Berwyn+IL+library+website","Search")</f>
        <v>Search</v>
      </c>
      <c r="L789" s="7"/>
      <c r="M789" s="7"/>
    </row>
    <row r="790" customFormat="false" ht="15" hidden="false" customHeight="true" outlineLevel="0" collapsed="false">
      <c r="A790" s="4" t="s">
        <v>3289</v>
      </c>
      <c r="B790" s="4" t="s">
        <v>3361</v>
      </c>
      <c r="C790" s="4" t="s">
        <v>3362</v>
      </c>
      <c r="D790" s="4" t="s">
        <v>261</v>
      </c>
      <c r="E790" s="5" t="n">
        <v>15339</v>
      </c>
      <c r="F790" s="4" t="n">
        <v>1</v>
      </c>
      <c r="G790" s="4" t="s">
        <v>3363</v>
      </c>
      <c r="H790" s="4" t="n">
        <v>38.90747</v>
      </c>
      <c r="I790" s="4" t="n">
        <v>-90.04055</v>
      </c>
      <c r="J790" s="4" t="s">
        <v>3364</v>
      </c>
      <c r="K790" s="6" t="str">
        <f aca="false">HYPERLINK("https://www.google.com/search?q=Bethalto+Public+Library+District+Bethalto+IL+library+website","Search")</f>
        <v>Search</v>
      </c>
      <c r="L790" s="7"/>
      <c r="M790" s="7"/>
    </row>
    <row r="791" customFormat="false" ht="15" hidden="false" customHeight="true" outlineLevel="0" collapsed="false">
      <c r="A791" s="4" t="s">
        <v>3289</v>
      </c>
      <c r="B791" s="4" t="s">
        <v>3365</v>
      </c>
      <c r="C791" s="4" t="s">
        <v>3366</v>
      </c>
      <c r="D791" s="4" t="s">
        <v>3297</v>
      </c>
      <c r="E791" s="5" t="n">
        <v>22382</v>
      </c>
      <c r="F791" s="4" t="n">
        <v>1</v>
      </c>
      <c r="G791" s="4" t="s">
        <v>3367</v>
      </c>
      <c r="H791" s="4" t="n">
        <v>41.94852</v>
      </c>
      <c r="I791" s="4" t="n">
        <v>-88.07917</v>
      </c>
      <c r="J791" s="4" t="s">
        <v>3368</v>
      </c>
      <c r="K791" s="6" t="str">
        <f aca="false">HYPERLINK("https://www.google.com/search?q=Bloomingdale+Public+Library+Bloomingdale+IL+library+website","Search")</f>
        <v>Search</v>
      </c>
      <c r="L791" s="7"/>
      <c r="M791" s="7"/>
    </row>
    <row r="792" customFormat="false" ht="15" hidden="false" customHeight="true" outlineLevel="0" collapsed="false">
      <c r="A792" s="4" t="s">
        <v>3289</v>
      </c>
      <c r="B792" s="4" t="s">
        <v>3369</v>
      </c>
      <c r="C792" s="4" t="s">
        <v>3370</v>
      </c>
      <c r="D792" s="4" t="s">
        <v>3371</v>
      </c>
      <c r="E792" s="5" t="n">
        <v>78680</v>
      </c>
      <c r="F792" s="4" t="n">
        <v>1</v>
      </c>
      <c r="G792" s="4" t="s">
        <v>3372</v>
      </c>
      <c r="H792" s="4" t="n">
        <v>40.47687</v>
      </c>
      <c r="I792" s="4" t="n">
        <v>-88.9914</v>
      </c>
      <c r="J792" s="4" t="s">
        <v>3373</v>
      </c>
      <c r="K792" s="6" t="str">
        <f aca="false">HYPERLINK("https://www.google.com/search?q=Bloomington+Public+Library+Bloomington+IL+library+website","Search")</f>
        <v>Search</v>
      </c>
      <c r="L792" s="7"/>
      <c r="M792" s="7"/>
    </row>
    <row r="793" customFormat="false" ht="15" hidden="false" customHeight="true" outlineLevel="0" collapsed="false">
      <c r="A793" s="4" t="s">
        <v>3289</v>
      </c>
      <c r="B793" s="4" t="s">
        <v>3374</v>
      </c>
      <c r="C793" s="4" t="s">
        <v>3375</v>
      </c>
      <c r="D793" s="4" t="s">
        <v>3292</v>
      </c>
      <c r="E793" s="5" t="n">
        <v>22558</v>
      </c>
      <c r="F793" s="4" t="n">
        <v>1</v>
      </c>
      <c r="G793" s="4" t="s">
        <v>3376</v>
      </c>
      <c r="H793" s="4" t="n">
        <v>41.65712</v>
      </c>
      <c r="I793" s="4" t="n">
        <v>-87.68136</v>
      </c>
      <c r="J793" s="4" t="s">
        <v>3377</v>
      </c>
      <c r="K793" s="6" t="str">
        <f aca="false">HYPERLINK("https://www.google.com/search?q=Blue+Island+Public+Library+Blue+Island+IL+library+website","Search")</f>
        <v>Search</v>
      </c>
      <c r="L793" s="7"/>
      <c r="M793" s="7"/>
    </row>
    <row r="794" customFormat="false" ht="15" hidden="false" customHeight="true" outlineLevel="0" collapsed="false">
      <c r="A794" s="4" t="s">
        <v>3289</v>
      </c>
      <c r="B794" s="4" t="s">
        <v>3378</v>
      </c>
      <c r="C794" s="4" t="s">
        <v>3379</v>
      </c>
      <c r="D794" s="4" t="s">
        <v>3380</v>
      </c>
      <c r="E794" s="5" t="n">
        <v>26687</v>
      </c>
      <c r="F794" s="4" t="n">
        <v>1</v>
      </c>
      <c r="G794" s="4" t="s">
        <v>3381</v>
      </c>
      <c r="H794" s="4" t="n">
        <v>41.1657</v>
      </c>
      <c r="I794" s="4" t="n">
        <v>-87.87944</v>
      </c>
      <c r="J794" s="4" t="s">
        <v>3382</v>
      </c>
      <c r="K794" s="6" t="str">
        <f aca="false">HYPERLINK("https://www.google.com/search?q=Bourbonnais+Public+Library+District+Bourbonnais+IL+library+website","Search")</f>
        <v>Search</v>
      </c>
      <c r="L794" s="7"/>
      <c r="M794" s="7"/>
    </row>
    <row r="795" customFormat="false" ht="15" hidden="false" customHeight="true" outlineLevel="0" collapsed="false">
      <c r="A795" s="4" t="s">
        <v>3289</v>
      </c>
      <c r="B795" s="4" t="s">
        <v>3383</v>
      </c>
      <c r="C795" s="4" t="s">
        <v>3384</v>
      </c>
      <c r="D795" s="4" t="s">
        <v>3380</v>
      </c>
      <c r="E795" s="5" t="n">
        <v>12352</v>
      </c>
      <c r="F795" s="4" t="n">
        <v>1</v>
      </c>
      <c r="G795" s="4" t="s">
        <v>3385</v>
      </c>
      <c r="H795" s="4" t="n">
        <v>41.14772</v>
      </c>
      <c r="I795" s="4" t="n">
        <v>-87.85649</v>
      </c>
      <c r="J795" s="4" t="s">
        <v>3386</v>
      </c>
      <c r="K795" s="6" t="str">
        <f aca="false">HYPERLINK("https://www.google.com/search?q=Bradley+Public+Library+District+Bradley+IL+library+website","Search")</f>
        <v>Search</v>
      </c>
      <c r="L795" s="7"/>
      <c r="M795" s="7"/>
    </row>
    <row r="796" customFormat="false" ht="15" hidden="false" customHeight="true" outlineLevel="0" collapsed="false">
      <c r="A796" s="4" t="s">
        <v>3289</v>
      </c>
      <c r="B796" s="4" t="s">
        <v>3387</v>
      </c>
      <c r="C796" s="4" t="s">
        <v>3388</v>
      </c>
      <c r="D796" s="4" t="s">
        <v>3292</v>
      </c>
      <c r="E796" s="5" t="n">
        <v>17027</v>
      </c>
      <c r="F796" s="4" t="n">
        <v>1</v>
      </c>
      <c r="G796" s="4" t="s">
        <v>3389</v>
      </c>
      <c r="H796" s="4" t="n">
        <v>41.74775</v>
      </c>
      <c r="I796" s="4" t="n">
        <v>-87.81575</v>
      </c>
      <c r="J796" s="4" t="s">
        <v>3390</v>
      </c>
      <c r="K796" s="6" t="str">
        <f aca="false">HYPERLINK("https://www.google.com/search?q=Bridgeview+Public+Library+Bridgeview+IL+library+website","Search")</f>
        <v>Search</v>
      </c>
      <c r="L796" s="7"/>
      <c r="M796" s="7"/>
    </row>
    <row r="797" customFormat="false" ht="15" hidden="false" customHeight="true" outlineLevel="0" collapsed="false">
      <c r="A797" s="4" t="s">
        <v>3289</v>
      </c>
      <c r="B797" s="4" t="s">
        <v>3391</v>
      </c>
      <c r="C797" s="4" t="s">
        <v>3392</v>
      </c>
      <c r="D797" s="4" t="s">
        <v>98</v>
      </c>
      <c r="E797" s="5" t="n">
        <v>36213</v>
      </c>
      <c r="F797" s="4" t="n">
        <v>1</v>
      </c>
      <c r="G797" s="4" t="s">
        <v>3393</v>
      </c>
      <c r="H797" s="4" t="n">
        <v>38.31752</v>
      </c>
      <c r="I797" s="4" t="n">
        <v>-88.8991</v>
      </c>
      <c r="J797" s="4" t="s">
        <v>3394</v>
      </c>
      <c r="K797" s="6" t="str">
        <f aca="false">HYPERLINK("https://www.google.com/search?q=C.E.+Brehm+Memorial+Public+Library+District+Mount+Vernon+IL+library+website","Search")</f>
        <v>Search</v>
      </c>
      <c r="L797" s="7"/>
      <c r="M797" s="7"/>
    </row>
    <row r="798" customFormat="false" ht="15" hidden="false" customHeight="true" outlineLevel="0" collapsed="false">
      <c r="A798" s="4" t="s">
        <v>3289</v>
      </c>
      <c r="B798" s="4" t="s">
        <v>3395</v>
      </c>
      <c r="C798" s="4" t="s">
        <v>3396</v>
      </c>
      <c r="D798" s="4" t="s">
        <v>320</v>
      </c>
      <c r="E798" s="5" t="n">
        <v>14588</v>
      </c>
      <c r="F798" s="4" t="n">
        <v>1</v>
      </c>
      <c r="G798" s="4" t="s">
        <v>3397</v>
      </c>
      <c r="H798" s="4" t="n">
        <v>38.55641</v>
      </c>
      <c r="I798" s="4" t="n">
        <v>-90.17123</v>
      </c>
      <c r="J798" s="4" t="s">
        <v>3398</v>
      </c>
      <c r="K798" s="6" t="str">
        <f aca="false">HYPERLINK("https://www.google.com/search?q=Cahokia+Public+Library+District+Cahokia+Heights+IL+library+website","Search")</f>
        <v>Search</v>
      </c>
      <c r="L798" s="7"/>
      <c r="M798" s="7"/>
    </row>
    <row r="799" customFormat="false" ht="15" hidden="false" customHeight="true" outlineLevel="0" collapsed="false">
      <c r="A799" s="4" t="s">
        <v>3289</v>
      </c>
      <c r="B799" s="4" t="s">
        <v>3399</v>
      </c>
      <c r="C799" s="4" t="s">
        <v>3400</v>
      </c>
      <c r="D799" s="4" t="s">
        <v>3292</v>
      </c>
      <c r="E799" s="5" t="n">
        <v>36033</v>
      </c>
      <c r="F799" s="4" t="n">
        <v>1</v>
      </c>
      <c r="G799" s="4" t="s">
        <v>3401</v>
      </c>
      <c r="H799" s="4" t="n">
        <v>41.61674</v>
      </c>
      <c r="I799" s="4" t="n">
        <v>-87.55533</v>
      </c>
      <c r="J799" s="4" t="s">
        <v>3402</v>
      </c>
      <c r="K799" s="6" t="str">
        <f aca="false">HYPERLINK("https://www.google.com/search?q=Calumet+City+Public+Library+Calumet+City+IL+library+website","Search")</f>
        <v>Search</v>
      </c>
      <c r="L799" s="7"/>
      <c r="M799" s="7"/>
    </row>
    <row r="800" customFormat="false" ht="15" hidden="false" customHeight="true" outlineLevel="0" collapsed="false">
      <c r="A800" s="4" t="s">
        <v>3289</v>
      </c>
      <c r="B800" s="4" t="s">
        <v>3403</v>
      </c>
      <c r="C800" s="4" t="s">
        <v>3404</v>
      </c>
      <c r="D800" s="4" t="s">
        <v>389</v>
      </c>
      <c r="E800" s="5" t="n">
        <v>21857</v>
      </c>
      <c r="F800" s="4" t="n">
        <v>1</v>
      </c>
      <c r="G800" s="4" t="s">
        <v>3405</v>
      </c>
      <c r="H800" s="4" t="n">
        <v>37.72694</v>
      </c>
      <c r="I800" s="4" t="n">
        <v>-89.22007</v>
      </c>
      <c r="J800" s="4" t="s">
        <v>3406</v>
      </c>
      <c r="K800" s="6" t="str">
        <f aca="false">HYPERLINK("https://www.google.com/search?q=Carbondale+Public+Library+Carbondale+IL+library+website","Search")</f>
        <v>Search</v>
      </c>
      <c r="L800" s="7"/>
      <c r="M800" s="7"/>
    </row>
    <row r="801" customFormat="false" ht="15" hidden="false" customHeight="true" outlineLevel="0" collapsed="false">
      <c r="A801" s="4" t="s">
        <v>3289</v>
      </c>
      <c r="B801" s="4" t="s">
        <v>3407</v>
      </c>
      <c r="C801" s="4" t="s">
        <v>3408</v>
      </c>
      <c r="D801" s="4" t="s">
        <v>3297</v>
      </c>
      <c r="E801" s="5" t="n">
        <v>39854</v>
      </c>
      <c r="F801" s="4" t="n">
        <v>1</v>
      </c>
      <c r="G801" s="4" t="s">
        <v>3409</v>
      </c>
      <c r="H801" s="4" t="n">
        <v>41.91842</v>
      </c>
      <c r="I801" s="4" t="n">
        <v>-88.12941</v>
      </c>
      <c r="J801" s="4" t="s">
        <v>3410</v>
      </c>
      <c r="K801" s="6" t="str">
        <f aca="false">HYPERLINK("https://www.google.com/search?q=Carol+Stream+Public+Library+Carol+Stream+IL+library+website","Search")</f>
        <v>Search</v>
      </c>
      <c r="L801" s="7"/>
      <c r="M801" s="7"/>
    </row>
    <row r="802" customFormat="false" ht="15" hidden="false" customHeight="true" outlineLevel="0" collapsed="false">
      <c r="A802" s="4" t="s">
        <v>3289</v>
      </c>
      <c r="B802" s="4" t="s">
        <v>3411</v>
      </c>
      <c r="C802" s="4" t="s">
        <v>3412</v>
      </c>
      <c r="D802" s="4" t="s">
        <v>3302</v>
      </c>
      <c r="E802" s="5" t="n">
        <v>27256</v>
      </c>
      <c r="F802" s="4" t="n">
        <v>1</v>
      </c>
      <c r="G802" s="4" t="s">
        <v>3413</v>
      </c>
      <c r="H802" s="4" t="n">
        <v>42.21985</v>
      </c>
      <c r="I802" s="4" t="n">
        <v>-88.23081</v>
      </c>
      <c r="J802" s="4" t="s">
        <v>3414</v>
      </c>
      <c r="K802" s="6" t="str">
        <f aca="false">HYPERLINK("https://www.google.com/search?q=Cary+Area+Public+Library+District+Cary+IL+library+website","Search")</f>
        <v>Search</v>
      </c>
      <c r="L802" s="7"/>
      <c r="M802" s="7"/>
    </row>
    <row r="803" customFormat="false" ht="15" hidden="false" customHeight="true" outlineLevel="0" collapsed="false">
      <c r="A803" s="4" t="s">
        <v>3289</v>
      </c>
      <c r="B803" s="4" t="s">
        <v>3415</v>
      </c>
      <c r="C803" s="4" t="s">
        <v>3416</v>
      </c>
      <c r="D803" s="4" t="s">
        <v>572</v>
      </c>
      <c r="E803" s="5" t="n">
        <v>25678</v>
      </c>
      <c r="F803" s="4" t="n">
        <v>1</v>
      </c>
      <c r="G803" s="4" t="s">
        <v>3417</v>
      </c>
      <c r="H803" s="4" t="n">
        <v>38.52672</v>
      </c>
      <c r="I803" s="4" t="n">
        <v>-89.12964</v>
      </c>
      <c r="J803" s="4" t="s">
        <v>3418</v>
      </c>
      <c r="K803" s="6" t="str">
        <f aca="false">HYPERLINK("https://www.google.com/search?q=Centralia+Regional+Library+District+Centralia+IL+library+website","Search")</f>
        <v>Search</v>
      </c>
      <c r="L803" s="7"/>
      <c r="M803" s="7"/>
    </row>
    <row r="804" customFormat="false" ht="15" hidden="false" customHeight="true" outlineLevel="0" collapsed="false">
      <c r="A804" s="4" t="s">
        <v>3289</v>
      </c>
      <c r="B804" s="4" t="s">
        <v>3419</v>
      </c>
      <c r="C804" s="4" t="s">
        <v>3420</v>
      </c>
      <c r="D804" s="4" t="s">
        <v>3420</v>
      </c>
      <c r="E804" s="5" t="n">
        <v>88302</v>
      </c>
      <c r="F804" s="4" t="n">
        <v>2</v>
      </c>
      <c r="G804" s="4" t="s">
        <v>3421</v>
      </c>
      <c r="H804" s="4" t="n">
        <v>40.11022</v>
      </c>
      <c r="I804" s="4" t="n">
        <v>-88.24596</v>
      </c>
      <c r="J804" s="4" t="s">
        <v>3422</v>
      </c>
      <c r="K804" s="6" t="str">
        <f aca="false">HYPERLINK("https://www.google.com/search?q=Champaign+Public+Library+Champaign+IL+library+website","Search")</f>
        <v>Search</v>
      </c>
      <c r="L804" s="7"/>
      <c r="M804" s="7"/>
    </row>
    <row r="805" customFormat="false" ht="15" hidden="false" customHeight="true" outlineLevel="0" collapsed="false">
      <c r="A805" s="4" t="s">
        <v>3289</v>
      </c>
      <c r="B805" s="4" t="s">
        <v>3423</v>
      </c>
      <c r="C805" s="4" t="s">
        <v>3424</v>
      </c>
      <c r="D805" s="4" t="s">
        <v>3425</v>
      </c>
      <c r="E805" s="5" t="n">
        <v>17286</v>
      </c>
      <c r="F805" s="4" t="n">
        <v>1</v>
      </c>
      <c r="G805" s="4" t="s">
        <v>3426</v>
      </c>
      <c r="H805" s="4" t="n">
        <v>39.49347</v>
      </c>
      <c r="I805" s="4" t="n">
        <v>-88.1754</v>
      </c>
      <c r="J805" s="4" t="s">
        <v>3427</v>
      </c>
      <c r="K805" s="6" t="str">
        <f aca="false">HYPERLINK("https://www.google.com/search?q=Charleston+Carnegie+Public+Library+Charleston+IL+library+website","Search")</f>
        <v>Search</v>
      </c>
      <c r="L805" s="7"/>
      <c r="M805" s="7"/>
    </row>
    <row r="806" customFormat="false" ht="15" hidden="false" customHeight="true" outlineLevel="0" collapsed="false">
      <c r="A806" s="4" t="s">
        <v>3289</v>
      </c>
      <c r="B806" s="4" t="s">
        <v>3428</v>
      </c>
      <c r="C806" s="4" t="s">
        <v>2740</v>
      </c>
      <c r="D806" s="4" t="s">
        <v>3429</v>
      </c>
      <c r="E806" s="5" t="n">
        <v>17357</v>
      </c>
      <c r="F806" s="4" t="n">
        <v>1</v>
      </c>
      <c r="G806" s="4" t="s">
        <v>3430</v>
      </c>
      <c r="H806" s="4" t="n">
        <v>39.67236</v>
      </c>
      <c r="I806" s="4" t="n">
        <v>-89.69753</v>
      </c>
      <c r="J806" s="4" t="s">
        <v>3431</v>
      </c>
      <c r="K806" s="6" t="str">
        <f aca="false">HYPERLINK("https://www.google.com/search?q=Chatham+Area+Public+Library+District+Chatham+IL+library+website","Search")</f>
        <v>Search</v>
      </c>
      <c r="L806" s="7"/>
      <c r="M806" s="7"/>
    </row>
    <row r="807" customFormat="false" ht="15" hidden="false" customHeight="true" outlineLevel="0" collapsed="false">
      <c r="A807" s="4" t="s">
        <v>3289</v>
      </c>
      <c r="B807" s="4" t="s">
        <v>3432</v>
      </c>
      <c r="C807" s="4" t="s">
        <v>3433</v>
      </c>
      <c r="D807" s="4" t="s">
        <v>3434</v>
      </c>
      <c r="E807" s="5" t="n">
        <v>13894</v>
      </c>
      <c r="F807" s="4" t="n">
        <v>1</v>
      </c>
      <c r="G807" s="4" t="s">
        <v>3435</v>
      </c>
      <c r="H807" s="4" t="n">
        <v>42.23583</v>
      </c>
      <c r="I807" s="4" t="n">
        <v>-88.94517</v>
      </c>
      <c r="J807" s="4" t="s">
        <v>3436</v>
      </c>
      <c r="K807" s="6" t="str">
        <f aca="false">HYPERLINK("https://www.google.com/search?q=Cherry+Valley+Public+Library+District+Cherry+Valley+IL+library+website","Search")</f>
        <v>Search</v>
      </c>
      <c r="L807" s="7"/>
      <c r="M807" s="7"/>
    </row>
    <row r="808" customFormat="false" ht="15" hidden="false" customHeight="true" outlineLevel="0" collapsed="false">
      <c r="A808" s="4" t="s">
        <v>3289</v>
      </c>
      <c r="B808" s="4" t="s">
        <v>3437</v>
      </c>
      <c r="C808" s="4" t="s">
        <v>3438</v>
      </c>
      <c r="D808" s="4" t="s">
        <v>3292</v>
      </c>
      <c r="E808" s="5" t="n">
        <v>27480</v>
      </c>
      <c r="F808" s="4" t="n">
        <v>1</v>
      </c>
      <c r="G808" s="4" t="s">
        <v>3439</v>
      </c>
      <c r="H808" s="4" t="n">
        <v>41.50431</v>
      </c>
      <c r="I808" s="4" t="n">
        <v>-87.6396</v>
      </c>
      <c r="J808" s="4" t="s">
        <v>3440</v>
      </c>
      <c r="K808" s="6" t="str">
        <f aca="false">HYPERLINK("https://www.google.com/search?q=Chicago+Heights+Public+Library+Chicago+Heights+IL+library+website","Search")</f>
        <v>Search</v>
      </c>
      <c r="L808" s="7"/>
      <c r="M808" s="7"/>
    </row>
    <row r="809" customFormat="false" ht="15" hidden="false" customHeight="true" outlineLevel="0" collapsed="false">
      <c r="A809" s="4" t="s">
        <v>3289</v>
      </c>
      <c r="B809" s="4" t="s">
        <v>3441</v>
      </c>
      <c r="C809" s="4" t="s">
        <v>3442</v>
      </c>
      <c r="D809" s="4" t="s">
        <v>3292</v>
      </c>
      <c r="E809" s="5" t="n">
        <v>2746388</v>
      </c>
      <c r="F809" s="4" t="n">
        <v>81</v>
      </c>
      <c r="G809" s="4" t="s">
        <v>3443</v>
      </c>
      <c r="H809" s="4" t="n">
        <v>41.87633</v>
      </c>
      <c r="I809" s="4" t="n">
        <v>-87.62766</v>
      </c>
      <c r="J809" s="4" t="s">
        <v>3444</v>
      </c>
      <c r="K809" s="6" t="str">
        <f aca="false">HYPERLINK("https://www.google.com/search?q=Chicago+Public+Library+Chicago+IL+library+website","Search")</f>
        <v>Search</v>
      </c>
      <c r="L809" s="7"/>
      <c r="M809" s="8" t="str">
        <f aca="false">HYPERLINK("https://chipublib.overdrive.com","https://chipublib.overdrive.com")</f>
        <v>https://chipublib.overdrive.com</v>
      </c>
    </row>
    <row r="810" customFormat="false" ht="15" hidden="false" customHeight="true" outlineLevel="0" collapsed="false">
      <c r="A810" s="4" t="s">
        <v>3289</v>
      </c>
      <c r="B810" s="4" t="s">
        <v>3445</v>
      </c>
      <c r="C810" s="4" t="s">
        <v>3446</v>
      </c>
      <c r="D810" s="4" t="s">
        <v>3292</v>
      </c>
      <c r="E810" s="5" t="n">
        <v>14433</v>
      </c>
      <c r="F810" s="4" t="n">
        <v>1</v>
      </c>
      <c r="G810" s="4" t="s">
        <v>3447</v>
      </c>
      <c r="H810" s="4" t="n">
        <v>41.70305</v>
      </c>
      <c r="I810" s="4" t="n">
        <v>-87.77759</v>
      </c>
      <c r="J810" s="4" t="s">
        <v>3448</v>
      </c>
      <c r="K810" s="6" t="str">
        <f aca="false">HYPERLINK("https://www.google.com/search?q=Chicago+Ridge+Public+Library+Chicago+Ridge+IL+library+website","Search")</f>
        <v>Search</v>
      </c>
      <c r="L810" s="7"/>
      <c r="M810" s="7"/>
    </row>
    <row r="811" customFormat="false" ht="15" hidden="false" customHeight="true" outlineLevel="0" collapsed="false">
      <c r="A811" s="4" t="s">
        <v>3289</v>
      </c>
      <c r="B811" s="4" t="s">
        <v>3449</v>
      </c>
      <c r="C811" s="4" t="s">
        <v>3450</v>
      </c>
      <c r="D811" s="4" t="s">
        <v>796</v>
      </c>
      <c r="E811" s="5" t="n">
        <v>12259</v>
      </c>
      <c r="F811" s="4" t="n">
        <v>1</v>
      </c>
      <c r="G811" s="4" t="s">
        <v>3451</v>
      </c>
      <c r="H811" s="4" t="n">
        <v>40.91441</v>
      </c>
      <c r="I811" s="4" t="n">
        <v>-89.50057</v>
      </c>
      <c r="J811" s="4" t="s">
        <v>3452</v>
      </c>
      <c r="K811" s="6" t="str">
        <f aca="false">HYPERLINK("https://www.google.com/search?q=Chillicothe+Public+Library+District+Chillicothe+IL+library+website","Search")</f>
        <v>Search</v>
      </c>
      <c r="L811" s="7"/>
      <c r="M811" s="7"/>
    </row>
    <row r="812" customFormat="false" ht="15" hidden="false" customHeight="true" outlineLevel="0" collapsed="false">
      <c r="A812" s="4" t="s">
        <v>3289</v>
      </c>
      <c r="B812" s="4" t="s">
        <v>3453</v>
      </c>
      <c r="C812" s="4" t="s">
        <v>3454</v>
      </c>
      <c r="D812" s="4" t="s">
        <v>3292</v>
      </c>
      <c r="E812" s="5" t="n">
        <v>85268</v>
      </c>
      <c r="F812" s="4" t="n">
        <v>1</v>
      </c>
      <c r="G812" s="4" t="s">
        <v>3455</v>
      </c>
      <c r="H812" s="4" t="n">
        <v>41.85105</v>
      </c>
      <c r="I812" s="4" t="n">
        <v>-87.75531</v>
      </c>
      <c r="J812" s="4" t="s">
        <v>3456</v>
      </c>
      <c r="K812" s="6" t="str">
        <f aca="false">HYPERLINK("https://www.google.com/search?q=Cicero+Public+Library+Cicero+IL+library+website","Search")</f>
        <v>Search</v>
      </c>
      <c r="L812" s="7"/>
      <c r="M812" s="7"/>
    </row>
    <row r="813" customFormat="false" ht="15" hidden="false" customHeight="true" outlineLevel="0" collapsed="false">
      <c r="A813" s="4" t="s">
        <v>3289</v>
      </c>
      <c r="B813" s="4" t="s">
        <v>3457</v>
      </c>
      <c r="C813" s="4" t="s">
        <v>3458</v>
      </c>
      <c r="D813" s="4" t="s">
        <v>3459</v>
      </c>
      <c r="E813" s="5" t="n">
        <v>11524</v>
      </c>
      <c r="F813" s="4" t="n">
        <v>1</v>
      </c>
      <c r="G813" s="4" t="s">
        <v>3460</v>
      </c>
      <c r="H813" s="4" t="n">
        <v>41.28872</v>
      </c>
      <c r="I813" s="4" t="n">
        <v>-88.2813</v>
      </c>
      <c r="J813" s="4" t="s">
        <v>3461</v>
      </c>
      <c r="K813" s="6" t="str">
        <f aca="false">HYPERLINK("https://www.google.com/search?q=Coal+City+Public+Library+District+Coal+City+IL+library+website","Search")</f>
        <v>Search</v>
      </c>
      <c r="L813" s="7"/>
      <c r="M813" s="7"/>
    </row>
    <row r="814" customFormat="false" ht="15" hidden="false" customHeight="true" outlineLevel="0" collapsed="false">
      <c r="A814" s="4" t="s">
        <v>3289</v>
      </c>
      <c r="B814" s="4" t="s">
        <v>3462</v>
      </c>
      <c r="C814" s="4" t="s">
        <v>506</v>
      </c>
      <c r="D814" s="4" t="s">
        <v>311</v>
      </c>
      <c r="E814" s="5" t="n">
        <v>10999</v>
      </c>
      <c r="F814" s="4" t="n">
        <v>1</v>
      </c>
      <c r="G814" s="4" t="s">
        <v>3463</v>
      </c>
      <c r="H814" s="4" t="n">
        <v>38.44392</v>
      </c>
      <c r="I814" s="4" t="n">
        <v>-90.19922</v>
      </c>
      <c r="J814" s="4" t="s">
        <v>3464</v>
      </c>
      <c r="K814" s="6" t="str">
        <f aca="false">HYPERLINK("https://www.google.com/search?q=Columbia+Public+Library+Columbia+IL+library+website","Search")</f>
        <v>Search</v>
      </c>
      <c r="L814" s="7"/>
      <c r="M814" s="7"/>
    </row>
    <row r="815" customFormat="false" ht="15" hidden="false" customHeight="true" outlineLevel="0" collapsed="false">
      <c r="A815" s="4" t="s">
        <v>3289</v>
      </c>
      <c r="B815" s="4" t="s">
        <v>3465</v>
      </c>
      <c r="C815" s="4" t="s">
        <v>3466</v>
      </c>
      <c r="D815" s="4" t="s">
        <v>1118</v>
      </c>
      <c r="E815" s="5" t="n">
        <v>61297</v>
      </c>
      <c r="F815" s="4" t="n">
        <v>2</v>
      </c>
      <c r="G815" s="4" t="s">
        <v>3467</v>
      </c>
      <c r="H815" s="4" t="n">
        <v>42.28749</v>
      </c>
      <c r="I815" s="4" t="n">
        <v>-87.95569</v>
      </c>
      <c r="J815" s="4" t="s">
        <v>3468</v>
      </c>
      <c r="K815" s="6" t="str">
        <f aca="false">HYPERLINK("https://www.google.com/search?q=Cook+Memorial+Public+Library+District+Libertyville+IL+library+website","Search")</f>
        <v>Search</v>
      </c>
      <c r="L815" s="7"/>
      <c r="M815" s="8" t="str">
        <f aca="false">HYPERLINK("https://cookmemorial.overdrive.com","https://cookmemorial.overdrive.com")</f>
        <v>https://cookmemorial.overdrive.com</v>
      </c>
    </row>
    <row r="816" customFormat="false" ht="15" hidden="false" customHeight="true" outlineLevel="0" collapsed="false">
      <c r="A816" s="4" t="s">
        <v>3289</v>
      </c>
      <c r="B816" s="4" t="s">
        <v>3469</v>
      </c>
      <c r="C816" s="4" t="s">
        <v>3470</v>
      </c>
      <c r="D816" s="4" t="s">
        <v>3471</v>
      </c>
      <c r="E816" s="5" t="n">
        <v>17099</v>
      </c>
      <c r="F816" s="4" t="n">
        <v>1</v>
      </c>
      <c r="G816" s="4" t="s">
        <v>3472</v>
      </c>
      <c r="H816" s="4" t="n">
        <v>41.44999</v>
      </c>
      <c r="I816" s="4" t="n">
        <v>-87.63189</v>
      </c>
      <c r="J816" s="4" t="s">
        <v>3473</v>
      </c>
      <c r="K816" s="6" t="str">
        <f aca="false">HYPERLINK("https://www.google.com/search?q=Crete+Public+Library+District+Crete+IL+library+website","Search")</f>
        <v>Search</v>
      </c>
      <c r="L816" s="7"/>
      <c r="M816" s="7"/>
    </row>
    <row r="817" customFormat="false" ht="15" hidden="false" customHeight="true" outlineLevel="0" collapsed="false">
      <c r="A817" s="4" t="s">
        <v>3289</v>
      </c>
      <c r="B817" s="4" t="s">
        <v>3474</v>
      </c>
      <c r="C817" s="4" t="s">
        <v>3475</v>
      </c>
      <c r="D817" s="4" t="s">
        <v>3302</v>
      </c>
      <c r="E817" s="5" t="n">
        <v>40269</v>
      </c>
      <c r="F817" s="4" t="n">
        <v>1</v>
      </c>
      <c r="G817" s="4" t="s">
        <v>3476</v>
      </c>
      <c r="H817" s="4" t="n">
        <v>42.23933</v>
      </c>
      <c r="I817" s="4" t="n">
        <v>-88.32475</v>
      </c>
      <c r="J817" s="4" t="s">
        <v>3477</v>
      </c>
      <c r="K817" s="6" t="str">
        <f aca="false">HYPERLINK("https://www.google.com/search?q=Crystal+Lake+Public+Library+Crystal+Lake+IL+library+website","Search")</f>
        <v>Search</v>
      </c>
      <c r="L817" s="7"/>
      <c r="M817" s="7"/>
    </row>
    <row r="818" customFormat="false" ht="15" hidden="false" customHeight="true" outlineLevel="0" collapsed="false">
      <c r="A818" s="4" t="s">
        <v>3289</v>
      </c>
      <c r="B818" s="4" t="s">
        <v>3478</v>
      </c>
      <c r="C818" s="4" t="s">
        <v>3479</v>
      </c>
      <c r="D818" s="4" t="s">
        <v>3480</v>
      </c>
      <c r="E818" s="5" t="n">
        <v>29204</v>
      </c>
      <c r="F818" s="4" t="n">
        <v>1</v>
      </c>
      <c r="G818" s="4" t="s">
        <v>3481</v>
      </c>
      <c r="H818" s="4" t="n">
        <v>40.13</v>
      </c>
      <c r="I818" s="4" t="n">
        <v>-87.62997</v>
      </c>
      <c r="J818" s="4" t="s">
        <v>3482</v>
      </c>
      <c r="K818" s="6" t="str">
        <f aca="false">HYPERLINK("https://www.google.com/search?q=Danville+Public+Library+Danville+IL+library+website","Search")</f>
        <v>Search</v>
      </c>
      <c r="L818" s="7"/>
      <c r="M818" s="7"/>
    </row>
    <row r="819" customFormat="false" ht="15" hidden="false" customHeight="true" outlineLevel="0" collapsed="false">
      <c r="A819" s="4" t="s">
        <v>3289</v>
      </c>
      <c r="B819" s="4" t="s">
        <v>154</v>
      </c>
      <c r="C819" s="4" t="s">
        <v>155</v>
      </c>
      <c r="D819" s="4" t="s">
        <v>293</v>
      </c>
      <c r="E819" s="5" t="n">
        <v>70522</v>
      </c>
      <c r="F819" s="4" t="n">
        <v>1</v>
      </c>
      <c r="G819" s="4" t="s">
        <v>3483</v>
      </c>
      <c r="H819" s="4" t="n">
        <v>39.84204</v>
      </c>
      <c r="I819" s="4" t="n">
        <v>-88.95299</v>
      </c>
      <c r="J819" s="4" t="s">
        <v>3484</v>
      </c>
      <c r="K819" s="6" t="str">
        <f aca="false">HYPERLINK("https://www.google.com/search?q=Decatur+Public+Library+Decatur+IL+library+website","Search")</f>
        <v>Search</v>
      </c>
      <c r="L819" s="7"/>
      <c r="M819" s="7"/>
    </row>
    <row r="820" customFormat="false" ht="15" hidden="false" customHeight="true" outlineLevel="0" collapsed="false">
      <c r="A820" s="4" t="s">
        <v>3289</v>
      </c>
      <c r="B820" s="4" t="s">
        <v>3485</v>
      </c>
      <c r="C820" s="4" t="s">
        <v>3486</v>
      </c>
      <c r="D820" s="4" t="s">
        <v>1118</v>
      </c>
      <c r="E820" s="5" t="n">
        <v>19196</v>
      </c>
      <c r="F820" s="4" t="n">
        <v>1</v>
      </c>
      <c r="G820" s="4" t="s">
        <v>3487</v>
      </c>
      <c r="H820" s="4" t="n">
        <v>42.16946</v>
      </c>
      <c r="I820" s="4" t="n">
        <v>-87.84691</v>
      </c>
      <c r="J820" s="4" t="s">
        <v>3488</v>
      </c>
      <c r="K820" s="6" t="str">
        <f aca="false">HYPERLINK("https://www.google.com/search?q=Deerfield+Public+Library+Deerfield+IL+library+website","Search")</f>
        <v>Search</v>
      </c>
      <c r="L820" s="7"/>
      <c r="M820" s="7"/>
    </row>
    <row r="821" customFormat="false" ht="15" hidden="false" customHeight="true" outlineLevel="0" collapsed="false">
      <c r="A821" s="4" t="s">
        <v>3289</v>
      </c>
      <c r="B821" s="4" t="s">
        <v>3489</v>
      </c>
      <c r="C821" s="4" t="s">
        <v>211</v>
      </c>
      <c r="D821" s="4" t="s">
        <v>211</v>
      </c>
      <c r="E821" s="5" t="n">
        <v>40290</v>
      </c>
      <c r="F821" s="4" t="n">
        <v>1</v>
      </c>
      <c r="G821" s="4" t="s">
        <v>3490</v>
      </c>
      <c r="H821" s="4" t="n">
        <v>41.93183</v>
      </c>
      <c r="I821" s="4" t="n">
        <v>-88.74975</v>
      </c>
      <c r="J821" s="4" t="s">
        <v>3491</v>
      </c>
      <c r="K821" s="6" t="str">
        <f aca="false">HYPERLINK("https://www.google.com/search?q=Dekalb+Public+Library+Dekalb+IL+library+website","Search")</f>
        <v>Search</v>
      </c>
      <c r="L821" s="7"/>
      <c r="M821" s="7"/>
    </row>
    <row r="822" customFormat="false" ht="15" hidden="false" customHeight="true" outlineLevel="0" collapsed="false">
      <c r="A822" s="4" t="s">
        <v>3289</v>
      </c>
      <c r="B822" s="4" t="s">
        <v>3492</v>
      </c>
      <c r="C822" s="4" t="s">
        <v>3493</v>
      </c>
      <c r="D822" s="4" t="s">
        <v>3292</v>
      </c>
      <c r="E822" s="5" t="n">
        <v>60675</v>
      </c>
      <c r="F822" s="4" t="n">
        <v>1</v>
      </c>
      <c r="G822" s="4" t="s">
        <v>3494</v>
      </c>
      <c r="H822" s="4" t="n">
        <v>42.04072</v>
      </c>
      <c r="I822" s="4" t="n">
        <v>-87.88705</v>
      </c>
      <c r="J822" s="4" t="s">
        <v>3495</v>
      </c>
      <c r="K822" s="6" t="str">
        <f aca="false">HYPERLINK("https://www.google.com/search?q=Des+Plaines+Public+Library+Des+Plaines+IL+library+website","Search")</f>
        <v>Search</v>
      </c>
      <c r="L822" s="7"/>
      <c r="M822" s="7"/>
    </row>
    <row r="823" customFormat="false" ht="15" hidden="false" customHeight="true" outlineLevel="0" collapsed="false">
      <c r="A823" s="4" t="s">
        <v>3289</v>
      </c>
      <c r="B823" s="4" t="s">
        <v>3496</v>
      </c>
      <c r="C823" s="4" t="s">
        <v>3497</v>
      </c>
      <c r="D823" s="4" t="s">
        <v>83</v>
      </c>
      <c r="E823" s="5" t="n">
        <v>15274</v>
      </c>
      <c r="F823" s="4" t="n">
        <v>1</v>
      </c>
      <c r="G823" s="4" t="s">
        <v>3498</v>
      </c>
      <c r="H823" s="4" t="n">
        <v>41.84174</v>
      </c>
      <c r="I823" s="4" t="n">
        <v>-89.48334</v>
      </c>
      <c r="J823" s="4" t="s">
        <v>3499</v>
      </c>
      <c r="K823" s="6" t="str">
        <f aca="false">HYPERLINK("https://www.google.com/search?q=Dixon+Public+Library+Dixon+IL+library+website","Search")</f>
        <v>Search</v>
      </c>
      <c r="L823" s="7"/>
      <c r="M823" s="7"/>
    </row>
    <row r="824" customFormat="false" ht="15" hidden="false" customHeight="true" outlineLevel="0" collapsed="false">
      <c r="A824" s="4" t="s">
        <v>3289</v>
      </c>
      <c r="B824" s="4" t="s">
        <v>3500</v>
      </c>
      <c r="C824" s="4" t="s">
        <v>3501</v>
      </c>
      <c r="D824" s="4" t="s">
        <v>3292</v>
      </c>
      <c r="E824" s="5" t="n">
        <v>21432</v>
      </c>
      <c r="F824" s="4" t="n">
        <v>1</v>
      </c>
      <c r="G824" s="4" t="s">
        <v>3502</v>
      </c>
      <c r="H824" s="4" t="n">
        <v>41.63998</v>
      </c>
      <c r="I824" s="4" t="n">
        <v>-87.60893</v>
      </c>
      <c r="J824" s="4" t="s">
        <v>3503</v>
      </c>
      <c r="K824" s="6" t="str">
        <f aca="false">HYPERLINK("https://www.google.com/search?q=Dolton+Public+Library+District+Dolton+IL+library+website","Search")</f>
        <v>Search</v>
      </c>
      <c r="L824" s="7"/>
      <c r="M824" s="7"/>
    </row>
    <row r="825" customFormat="false" ht="15" hidden="false" customHeight="true" outlineLevel="0" collapsed="false">
      <c r="A825" s="4" t="s">
        <v>3289</v>
      </c>
      <c r="B825" s="4" t="s">
        <v>3504</v>
      </c>
      <c r="C825" s="4" t="s">
        <v>3505</v>
      </c>
      <c r="D825" s="4" t="s">
        <v>3297</v>
      </c>
      <c r="E825" s="5" t="n">
        <v>50247</v>
      </c>
      <c r="F825" s="4" t="n">
        <v>1</v>
      </c>
      <c r="G825" s="4" t="s">
        <v>3506</v>
      </c>
      <c r="H825" s="4" t="n">
        <v>41.79377</v>
      </c>
      <c r="I825" s="4" t="n">
        <v>-88.01118</v>
      </c>
      <c r="J825" s="4" t="s">
        <v>3507</v>
      </c>
      <c r="K825" s="6" t="str">
        <f aca="false">HYPERLINK("https://www.google.com/search?q=Downers+Grove+Public+Library+Downers+Grove+IL+library+website","Search")</f>
        <v>Search</v>
      </c>
      <c r="L825" s="7"/>
      <c r="M825" s="7"/>
    </row>
    <row r="826" customFormat="false" ht="15" hidden="false" customHeight="true" outlineLevel="0" collapsed="false">
      <c r="A826" s="4" t="s">
        <v>3289</v>
      </c>
      <c r="B826" s="4" t="s">
        <v>3508</v>
      </c>
      <c r="C826" s="4" t="s">
        <v>3509</v>
      </c>
      <c r="D826" s="4" t="s">
        <v>3510</v>
      </c>
      <c r="E826" s="5" t="n">
        <v>21374</v>
      </c>
      <c r="F826" s="4" t="n">
        <v>1</v>
      </c>
      <c r="G826" s="4" t="s">
        <v>3511</v>
      </c>
      <c r="H826" s="4" t="n">
        <v>41.51497</v>
      </c>
      <c r="I826" s="4" t="n">
        <v>-90.44348</v>
      </c>
      <c r="J826" s="4" t="s">
        <v>3512</v>
      </c>
      <c r="K826" s="6" t="str">
        <f aca="false">HYPERLINK("https://www.google.com/search?q=East+Moline+Public+Library+East+Moline+IL+library+website","Search")</f>
        <v>Search</v>
      </c>
      <c r="L826" s="7"/>
      <c r="M826" s="7"/>
    </row>
    <row r="827" customFormat="false" ht="15" hidden="false" customHeight="true" outlineLevel="0" collapsed="false">
      <c r="A827" s="4" t="s">
        <v>3289</v>
      </c>
      <c r="B827" s="4" t="s">
        <v>3513</v>
      </c>
      <c r="C827" s="4" t="s">
        <v>3514</v>
      </c>
      <c r="D827" s="4" t="s">
        <v>320</v>
      </c>
      <c r="E827" s="5" t="n">
        <v>18469</v>
      </c>
      <c r="F827" s="4" t="n">
        <v>1</v>
      </c>
      <c r="G827" s="4" t="s">
        <v>3515</v>
      </c>
      <c r="H827" s="4" t="n">
        <v>38.60612</v>
      </c>
      <c r="I827" s="4" t="n">
        <v>-90.0989</v>
      </c>
      <c r="J827" s="4" t="s">
        <v>3516</v>
      </c>
      <c r="K827" s="6" t="str">
        <f aca="false">HYPERLINK("https://www.google.com/search?q=East+Saint+Louis+Public+Library+East+Saint+Louis+IL+library+website","Search")</f>
        <v>Search</v>
      </c>
      <c r="L827" s="7"/>
      <c r="M827" s="7"/>
    </row>
    <row r="828" customFormat="false" ht="15" hidden="false" customHeight="true" outlineLevel="0" collapsed="false">
      <c r="A828" s="4" t="s">
        <v>3289</v>
      </c>
      <c r="B828" s="4" t="s">
        <v>3517</v>
      </c>
      <c r="C828" s="4" t="s">
        <v>3518</v>
      </c>
      <c r="D828" s="4" t="s">
        <v>261</v>
      </c>
      <c r="E828" s="5" t="n">
        <v>26808</v>
      </c>
      <c r="F828" s="4" t="n">
        <v>1</v>
      </c>
      <c r="G828" s="4" t="s">
        <v>3519</v>
      </c>
      <c r="H828" s="4" t="n">
        <v>38.81134</v>
      </c>
      <c r="I828" s="4" t="n">
        <v>-89.95431</v>
      </c>
      <c r="J828" s="4" t="s">
        <v>3520</v>
      </c>
      <c r="K828" s="6" t="str">
        <f aca="false">HYPERLINK("https://www.google.com/search?q=Edwardsville+Public+Library+Edwardsville+IL+library+website","Search")</f>
        <v>Search</v>
      </c>
      <c r="L828" s="7"/>
      <c r="M828" s="7"/>
    </row>
    <row r="829" customFormat="false" ht="15" hidden="false" customHeight="true" outlineLevel="0" collapsed="false">
      <c r="A829" s="4" t="s">
        <v>3289</v>
      </c>
      <c r="B829" s="4" t="s">
        <v>3521</v>
      </c>
      <c r="C829" s="4" t="s">
        <v>3522</v>
      </c>
      <c r="D829" s="4" t="s">
        <v>3522</v>
      </c>
      <c r="E829" s="5" t="n">
        <v>12252</v>
      </c>
      <c r="F829" s="4" t="n">
        <v>1</v>
      </c>
      <c r="G829" s="4" t="s">
        <v>3523</v>
      </c>
      <c r="H829" s="4" t="n">
        <v>39.1222</v>
      </c>
      <c r="I829" s="4" t="n">
        <v>-88.54076</v>
      </c>
      <c r="J829" s="4" t="s">
        <v>3524</v>
      </c>
      <c r="K829" s="6" t="str">
        <f aca="false">HYPERLINK("https://www.google.com/search?q=Effingham+Public+Library+Effingham+IL+library+website","Search")</f>
        <v>Search</v>
      </c>
      <c r="L829" s="7"/>
      <c r="M829" s="7"/>
    </row>
    <row r="830" customFormat="false" ht="15" hidden="false" customHeight="true" outlineLevel="0" collapsed="false">
      <c r="A830" s="4" t="s">
        <v>3289</v>
      </c>
      <c r="B830" s="4" t="s">
        <v>3525</v>
      </c>
      <c r="C830" s="4" t="s">
        <v>3526</v>
      </c>
      <c r="D830" s="4" t="s">
        <v>3292</v>
      </c>
      <c r="E830" s="5" t="n">
        <v>24360</v>
      </c>
      <c r="F830" s="4" t="n">
        <v>1</v>
      </c>
      <c r="G830" s="4" t="s">
        <v>3527</v>
      </c>
      <c r="H830" s="4" t="n">
        <v>41.96401</v>
      </c>
      <c r="I830" s="4" t="n">
        <v>-87.81207</v>
      </c>
      <c r="J830" s="4" t="s">
        <v>3528</v>
      </c>
      <c r="K830" s="6" t="str">
        <f aca="false">HYPERLINK("https://www.google.com/search?q=Eisenhower+Public+Library+District+Harwood+Heights+IL+library+website","Search")</f>
        <v>Search</v>
      </c>
      <c r="L830" s="7"/>
      <c r="M830" s="7"/>
    </row>
    <row r="831" customFormat="false" ht="15" hidden="false" customHeight="true" outlineLevel="0" collapsed="false">
      <c r="A831" s="4" t="s">
        <v>3289</v>
      </c>
      <c r="B831" s="4" t="s">
        <v>3529</v>
      </c>
      <c r="C831" s="4" t="s">
        <v>3530</v>
      </c>
      <c r="D831" s="4" t="s">
        <v>1118</v>
      </c>
      <c r="E831" s="5" t="n">
        <v>36366</v>
      </c>
      <c r="F831" s="4" t="n">
        <v>1</v>
      </c>
      <c r="G831" s="4" t="s">
        <v>3531</v>
      </c>
      <c r="H831" s="4" t="n">
        <v>42.19484</v>
      </c>
      <c r="I831" s="4" t="n">
        <v>-88.08848</v>
      </c>
      <c r="J831" s="4" t="s">
        <v>3532</v>
      </c>
      <c r="K831" s="6" t="str">
        <f aca="false">HYPERLINK("https://www.google.com/search?q=Ela+Area+Public+Library+District+Lake+Zurich+IL+library+website","Search")</f>
        <v>Search</v>
      </c>
      <c r="L831" s="7"/>
      <c r="M831" s="7"/>
    </row>
    <row r="832" customFormat="false" ht="15" hidden="false" customHeight="true" outlineLevel="0" collapsed="false">
      <c r="A832" s="4" t="s">
        <v>3289</v>
      </c>
      <c r="B832" s="4" t="s">
        <v>3533</v>
      </c>
      <c r="C832" s="4" t="s">
        <v>3534</v>
      </c>
      <c r="D832" s="4" t="s">
        <v>3292</v>
      </c>
      <c r="E832" s="5" t="n">
        <v>22205</v>
      </c>
      <c r="F832" s="4" t="n">
        <v>1</v>
      </c>
      <c r="G832" s="4" t="s">
        <v>3535</v>
      </c>
      <c r="H832" s="4" t="n">
        <v>42.00136</v>
      </c>
      <c r="I832" s="4" t="n">
        <v>-88.00861</v>
      </c>
      <c r="J832" s="4" t="s">
        <v>3536</v>
      </c>
      <c r="K832" s="6" t="str">
        <f aca="false">HYPERLINK("https://www.google.com/search?q=Elk+Grove+Village+Public+Library+Elk+Grove+Village+IL+library+website","Search")</f>
        <v>Search</v>
      </c>
      <c r="L832" s="7"/>
      <c r="M832" s="7"/>
    </row>
    <row r="833" customFormat="false" ht="15" hidden="false" customHeight="true" outlineLevel="0" collapsed="false">
      <c r="A833" s="4" t="s">
        <v>3289</v>
      </c>
      <c r="B833" s="4" t="s">
        <v>3537</v>
      </c>
      <c r="C833" s="4" t="s">
        <v>3538</v>
      </c>
      <c r="D833" s="4" t="s">
        <v>3327</v>
      </c>
      <c r="E833" s="5" t="n">
        <v>25277</v>
      </c>
      <c r="F833" s="4" t="n">
        <v>1</v>
      </c>
      <c r="G833" s="4" t="s">
        <v>3539</v>
      </c>
      <c r="H833" s="4" t="n">
        <v>42.09889</v>
      </c>
      <c r="I833" s="4" t="n">
        <v>-88.53011</v>
      </c>
      <c r="J833" s="4" t="s">
        <v>3540</v>
      </c>
      <c r="K833" s="6" t="str">
        <f aca="false">HYPERLINK("https://www.google.com/search?q=Ella+Johnson+Memorial+Public+Library+District+Hampshire+IL+library+website","Search")</f>
        <v>Search</v>
      </c>
      <c r="L833" s="7"/>
      <c r="M833" s="7"/>
    </row>
    <row r="834" customFormat="false" ht="15" hidden="false" customHeight="true" outlineLevel="0" collapsed="false">
      <c r="A834" s="4" t="s">
        <v>3289</v>
      </c>
      <c r="B834" s="4" t="s">
        <v>3541</v>
      </c>
      <c r="C834" s="4" t="s">
        <v>3542</v>
      </c>
      <c r="D834" s="4" t="s">
        <v>3297</v>
      </c>
      <c r="E834" s="5" t="n">
        <v>45786</v>
      </c>
      <c r="F834" s="4" t="n">
        <v>1</v>
      </c>
      <c r="G834" s="4" t="s">
        <v>3543</v>
      </c>
      <c r="H834" s="4" t="n">
        <v>41.89849</v>
      </c>
      <c r="I834" s="4" t="n">
        <v>-87.94477</v>
      </c>
      <c r="J834" s="4" t="s">
        <v>3544</v>
      </c>
      <c r="K834" s="6" t="str">
        <f aca="false">HYPERLINK("https://www.google.com/search?q=Elmhurst+Public+Library+Elmhurst+IL+library+website","Search")</f>
        <v>Search</v>
      </c>
      <c r="L834" s="7"/>
      <c r="M834" s="7"/>
    </row>
    <row r="835" customFormat="false" ht="15" hidden="false" customHeight="true" outlineLevel="0" collapsed="false">
      <c r="A835" s="4" t="s">
        <v>3289</v>
      </c>
      <c r="B835" s="4" t="s">
        <v>3545</v>
      </c>
      <c r="C835" s="4" t="s">
        <v>3546</v>
      </c>
      <c r="D835" s="4" t="s">
        <v>3292</v>
      </c>
      <c r="E835" s="5" t="n">
        <v>24521</v>
      </c>
      <c r="F835" s="4" t="n">
        <v>1</v>
      </c>
      <c r="G835" s="4" t="s">
        <v>3547</v>
      </c>
      <c r="H835" s="4" t="n">
        <v>41.92656</v>
      </c>
      <c r="I835" s="4" t="n">
        <v>-87.81702</v>
      </c>
      <c r="J835" s="4" t="s">
        <v>3548</v>
      </c>
      <c r="K835" s="6" t="str">
        <f aca="false">HYPERLINK("https://www.google.com/search?q=Elmwood+Park+Public+Library+Elmwood+Park+IL+library+website","Search")</f>
        <v>Search</v>
      </c>
      <c r="L835" s="7"/>
      <c r="M835" s="7"/>
    </row>
    <row r="836" customFormat="false" ht="15" hidden="false" customHeight="true" outlineLevel="0" collapsed="false">
      <c r="A836" s="4" t="s">
        <v>3289</v>
      </c>
      <c r="B836" s="4" t="s">
        <v>3549</v>
      </c>
      <c r="C836" s="4" t="s">
        <v>3550</v>
      </c>
      <c r="D836" s="4" t="s">
        <v>197</v>
      </c>
      <c r="E836" s="5" t="n">
        <v>11960</v>
      </c>
      <c r="F836" s="4" t="n">
        <v>1</v>
      </c>
      <c r="G836" s="4" t="s">
        <v>3551</v>
      </c>
      <c r="H836" s="4" t="n">
        <v>38.96024</v>
      </c>
      <c r="I836" s="4" t="n">
        <v>-89.09619</v>
      </c>
      <c r="J836" s="4" t="s">
        <v>3552</v>
      </c>
      <c r="K836" s="6" t="str">
        <f aca="false">HYPERLINK("https://www.google.com/search?q=Evans+Public+Library+District+Vandalia+IL+library+website","Search")</f>
        <v>Search</v>
      </c>
      <c r="L836" s="7"/>
      <c r="M836" s="7"/>
    </row>
    <row r="837" customFormat="false" ht="15" hidden="false" customHeight="true" outlineLevel="0" collapsed="false">
      <c r="A837" s="4" t="s">
        <v>3289</v>
      </c>
      <c r="B837" s="4" t="s">
        <v>3553</v>
      </c>
      <c r="C837" s="4" t="s">
        <v>3554</v>
      </c>
      <c r="D837" s="4" t="s">
        <v>3292</v>
      </c>
      <c r="E837" s="5" t="n">
        <v>78110</v>
      </c>
      <c r="F837" s="4" t="n">
        <v>2</v>
      </c>
      <c r="G837" s="4" t="s">
        <v>3555</v>
      </c>
      <c r="H837" s="4" t="n">
        <v>42.04866</v>
      </c>
      <c r="I837" s="4" t="n">
        <v>-87.68058</v>
      </c>
      <c r="J837" s="4" t="s">
        <v>3556</v>
      </c>
      <c r="K837" s="6" t="str">
        <f aca="false">HYPERLINK("https://www.google.com/search?q=Evanston+Public+Library+Evanston+IL+library+website","Search")</f>
        <v>Search</v>
      </c>
      <c r="L837" s="7"/>
      <c r="M837" s="7"/>
    </row>
    <row r="838" customFormat="false" ht="15" hidden="false" customHeight="true" outlineLevel="0" collapsed="false">
      <c r="A838" s="4" t="s">
        <v>3289</v>
      </c>
      <c r="B838" s="4" t="s">
        <v>3557</v>
      </c>
      <c r="C838" s="4" t="s">
        <v>3558</v>
      </c>
      <c r="D838" s="4" t="s">
        <v>3292</v>
      </c>
      <c r="E838" s="5" t="n">
        <v>19943</v>
      </c>
      <c r="F838" s="4" t="n">
        <v>1</v>
      </c>
      <c r="G838" s="4" t="s">
        <v>3559</v>
      </c>
      <c r="H838" s="4" t="n">
        <v>41.72224</v>
      </c>
      <c r="I838" s="4" t="n">
        <v>-87.70068</v>
      </c>
      <c r="J838" s="4" t="s">
        <v>3560</v>
      </c>
      <c r="K838" s="6" t="str">
        <f aca="false">HYPERLINK("https://www.google.com/search?q=Evergreen+Park+Public+Library+Evergreen+Park+IL+library+website","Search")</f>
        <v>Search</v>
      </c>
      <c r="L838" s="7"/>
      <c r="M838" s="7"/>
    </row>
    <row r="839" customFormat="false" ht="15" hidden="false" customHeight="true" outlineLevel="0" collapsed="false">
      <c r="A839" s="4" t="s">
        <v>3289</v>
      </c>
      <c r="B839" s="4" t="s">
        <v>3561</v>
      </c>
      <c r="C839" s="4" t="s">
        <v>3562</v>
      </c>
      <c r="D839" s="4" t="s">
        <v>320</v>
      </c>
      <c r="E839" s="5" t="n">
        <v>16706</v>
      </c>
      <c r="F839" s="4" t="n">
        <v>1</v>
      </c>
      <c r="G839" s="4" t="s">
        <v>3563</v>
      </c>
      <c r="H839" s="4" t="n">
        <v>38.59826</v>
      </c>
      <c r="I839" s="4" t="n">
        <v>-90.01265</v>
      </c>
      <c r="J839" s="4" t="s">
        <v>3564</v>
      </c>
      <c r="K839" s="6" t="str">
        <f aca="false">HYPERLINK("https://www.google.com/search?q=Fairview+Heights+Public+Library+Fairview+Heights+IL+library+website","Search")</f>
        <v>Search</v>
      </c>
      <c r="L839" s="7"/>
      <c r="M839" s="7"/>
    </row>
    <row r="840" customFormat="false" ht="15" hidden="false" customHeight="true" outlineLevel="0" collapsed="false">
      <c r="A840" s="4" t="s">
        <v>3289</v>
      </c>
      <c r="B840" s="4" t="s">
        <v>3565</v>
      </c>
      <c r="C840" s="4" t="s">
        <v>3566</v>
      </c>
      <c r="D840" s="4" t="s">
        <v>3567</v>
      </c>
      <c r="E840" s="5" t="n">
        <v>13296</v>
      </c>
      <c r="F840" s="4" t="n">
        <v>1</v>
      </c>
      <c r="G840" s="4" t="s">
        <v>3568</v>
      </c>
      <c r="H840" s="4" t="n">
        <v>41.9228</v>
      </c>
      <c r="I840" s="4" t="n">
        <v>-89.06827</v>
      </c>
      <c r="J840" s="4" t="s">
        <v>3569</v>
      </c>
      <c r="K840" s="6" t="str">
        <f aca="false">HYPERLINK("https://www.google.com/search?q=Flagg-Rochelle+Public+Library+District+Rochelle+IL+library+website","Search")</f>
        <v>Search</v>
      </c>
      <c r="L840" s="7"/>
      <c r="M840" s="7"/>
    </row>
    <row r="841" customFormat="false" ht="15" hidden="false" customHeight="true" outlineLevel="0" collapsed="false">
      <c r="A841" s="4" t="s">
        <v>3289</v>
      </c>
      <c r="B841" s="4" t="s">
        <v>3570</v>
      </c>
      <c r="C841" s="4" t="s">
        <v>3571</v>
      </c>
      <c r="D841" s="4" t="s">
        <v>3572</v>
      </c>
      <c r="E841" s="5" t="n">
        <v>20276</v>
      </c>
      <c r="F841" s="4" t="n">
        <v>1</v>
      </c>
      <c r="G841" s="4" t="s">
        <v>3573</v>
      </c>
      <c r="H841" s="4" t="n">
        <v>40.67024</v>
      </c>
      <c r="I841" s="4" t="n">
        <v>-89.58609</v>
      </c>
      <c r="J841" s="4" t="s">
        <v>3574</v>
      </c>
      <c r="K841" s="6" t="str">
        <f aca="false">HYPERLINK("https://www.google.com/search?q=Fondulac+Public+Library+District+East+Peoria+IL+library+website","Search")</f>
        <v>Search</v>
      </c>
      <c r="L841" s="7"/>
      <c r="M841" s="7"/>
    </row>
    <row r="842" customFormat="false" ht="15" hidden="false" customHeight="true" outlineLevel="0" collapsed="false">
      <c r="A842" s="4" t="s">
        <v>3289</v>
      </c>
      <c r="B842" s="4" t="s">
        <v>3575</v>
      </c>
      <c r="C842" s="4" t="s">
        <v>3576</v>
      </c>
      <c r="D842" s="4" t="s">
        <v>3292</v>
      </c>
      <c r="E842" s="5" t="n">
        <v>14339</v>
      </c>
      <c r="F842" s="4" t="n">
        <v>1</v>
      </c>
      <c r="G842" s="4" t="s">
        <v>3577</v>
      </c>
      <c r="H842" s="4" t="n">
        <v>41.87581</v>
      </c>
      <c r="I842" s="4" t="n">
        <v>-87.81431</v>
      </c>
      <c r="J842" s="4" t="s">
        <v>3578</v>
      </c>
      <c r="K842" s="6" t="str">
        <f aca="false">HYPERLINK("https://www.google.com/search?q=Forest+Park+Public+Library+Forest+Park+IL+library+website","Search")</f>
        <v>Search</v>
      </c>
      <c r="L842" s="7"/>
      <c r="M842" s="7"/>
    </row>
    <row r="843" customFormat="false" ht="15" hidden="false" customHeight="true" outlineLevel="0" collapsed="false">
      <c r="A843" s="4" t="s">
        <v>3289</v>
      </c>
      <c r="B843" s="4" t="s">
        <v>3579</v>
      </c>
      <c r="C843" s="4" t="s">
        <v>3580</v>
      </c>
      <c r="D843" s="4" t="s">
        <v>3471</v>
      </c>
      <c r="E843" s="5" t="n">
        <v>14254</v>
      </c>
      <c r="F843" s="4" t="n">
        <v>1</v>
      </c>
      <c r="G843" s="4" t="s">
        <v>3581</v>
      </c>
      <c r="H843" s="4" t="n">
        <v>41.26019</v>
      </c>
      <c r="I843" s="4" t="n">
        <v>-88.22363</v>
      </c>
      <c r="J843" s="4" t="s">
        <v>3582</v>
      </c>
      <c r="K843" s="6" t="str">
        <f aca="false">HYPERLINK("https://www.google.com/search?q=Fossil+Ridge+Public+Library+District+Braidwood+IL+library+website","Search")</f>
        <v>Search</v>
      </c>
      <c r="L843" s="7"/>
      <c r="M843" s="7"/>
    </row>
    <row r="844" customFormat="false" ht="15" hidden="false" customHeight="true" outlineLevel="0" collapsed="false">
      <c r="A844" s="4" t="s">
        <v>3289</v>
      </c>
      <c r="B844" s="4" t="s">
        <v>3583</v>
      </c>
      <c r="C844" s="4" t="s">
        <v>3584</v>
      </c>
      <c r="D844" s="4" t="s">
        <v>3471</v>
      </c>
      <c r="E844" s="5" t="n">
        <v>67049</v>
      </c>
      <c r="F844" s="4" t="n">
        <v>1</v>
      </c>
      <c r="G844" s="4" t="s">
        <v>3585</v>
      </c>
      <c r="H844" s="4" t="n">
        <v>41.69824</v>
      </c>
      <c r="I844" s="4" t="n">
        <v>-88.07938</v>
      </c>
      <c r="J844" s="4" t="s">
        <v>3586</v>
      </c>
      <c r="K844" s="6" t="str">
        <f aca="false">HYPERLINK("https://www.google.com/search?q=Fountaindale+Public+Library+District+Bolingbrook+IL+library+website","Search")</f>
        <v>Search</v>
      </c>
      <c r="L844" s="7"/>
      <c r="M844" s="7"/>
    </row>
    <row r="845" customFormat="false" ht="15" hidden="false" customHeight="true" outlineLevel="0" collapsed="false">
      <c r="A845" s="4" t="s">
        <v>3289</v>
      </c>
      <c r="B845" s="4" t="s">
        <v>3587</v>
      </c>
      <c r="C845" s="4" t="s">
        <v>3588</v>
      </c>
      <c r="D845" s="4" t="s">
        <v>1118</v>
      </c>
      <c r="E845" s="5" t="n">
        <v>26718</v>
      </c>
      <c r="F845" s="4" t="n">
        <v>1</v>
      </c>
      <c r="G845" s="4" t="s">
        <v>3589</v>
      </c>
      <c r="H845" s="4" t="n">
        <v>42.39361</v>
      </c>
      <c r="I845" s="4" t="n">
        <v>-88.16092</v>
      </c>
      <c r="J845" s="4" t="s">
        <v>3590</v>
      </c>
      <c r="K845" s="6" t="str">
        <f aca="false">HYPERLINK("https://www.google.com/search?q=Fox+Lake+Public+Library+District+Fox+Lake+IL+library+website","Search")</f>
        <v>Search</v>
      </c>
      <c r="L845" s="7"/>
      <c r="M845" s="7"/>
    </row>
    <row r="846" customFormat="false" ht="15" hidden="false" customHeight="true" outlineLevel="0" collapsed="false">
      <c r="A846" s="4" t="s">
        <v>3289</v>
      </c>
      <c r="B846" s="4" t="s">
        <v>3591</v>
      </c>
      <c r="C846" s="4" t="s">
        <v>3592</v>
      </c>
      <c r="D846" s="4" t="s">
        <v>3327</v>
      </c>
      <c r="E846" s="5" t="n">
        <v>71530</v>
      </c>
      <c r="F846" s="4" t="n">
        <v>2</v>
      </c>
      <c r="G846" s="4" t="s">
        <v>3593</v>
      </c>
      <c r="H846" s="4" t="n">
        <v>42.10382</v>
      </c>
      <c r="I846" s="4" t="n">
        <v>-88.26414</v>
      </c>
      <c r="J846" s="4" t="s">
        <v>3594</v>
      </c>
      <c r="K846" s="6" t="str">
        <f aca="false">HYPERLINK("https://www.google.com/search?q=Fox+River+Valley+Public+Library+District+East+Dundee+IL+library+website","Search")</f>
        <v>Search</v>
      </c>
      <c r="L846" s="7"/>
      <c r="M846" s="7"/>
    </row>
    <row r="847" customFormat="false" ht="15" hidden="false" customHeight="true" outlineLevel="0" collapsed="false">
      <c r="A847" s="4" t="s">
        <v>3289</v>
      </c>
      <c r="B847" s="4" t="s">
        <v>3595</v>
      </c>
      <c r="C847" s="4" t="s">
        <v>3596</v>
      </c>
      <c r="D847" s="4" t="s">
        <v>3471</v>
      </c>
      <c r="E847" s="5" t="n">
        <v>33761</v>
      </c>
      <c r="F847" s="4" t="n">
        <v>1</v>
      </c>
      <c r="G847" s="4" t="s">
        <v>3597</v>
      </c>
      <c r="H847" s="4" t="n">
        <v>41.50591</v>
      </c>
      <c r="I847" s="4" t="n">
        <v>-87.82902</v>
      </c>
      <c r="J847" s="4" t="s">
        <v>3598</v>
      </c>
      <c r="K847" s="6" t="str">
        <f aca="false">HYPERLINK("https://www.google.com/search?q=Frankfort+Public+Library+District+Frankfort+IL+library+website","Search")</f>
        <v>Search</v>
      </c>
      <c r="L847" s="7"/>
      <c r="M847" s="7"/>
    </row>
    <row r="848" customFormat="false" ht="15" hidden="false" customHeight="true" outlineLevel="0" collapsed="false">
      <c r="A848" s="4" t="s">
        <v>3289</v>
      </c>
      <c r="B848" s="4" t="s">
        <v>3599</v>
      </c>
      <c r="C848" s="4" t="s">
        <v>3600</v>
      </c>
      <c r="D848" s="4" t="s">
        <v>3292</v>
      </c>
      <c r="E848" s="5" t="n">
        <v>18559</v>
      </c>
      <c r="F848" s="4" t="n">
        <v>1</v>
      </c>
      <c r="G848" s="4" t="s">
        <v>3601</v>
      </c>
      <c r="H848" s="4" t="n">
        <v>41.9302</v>
      </c>
      <c r="I848" s="4" t="n">
        <v>-87.8828</v>
      </c>
      <c r="J848" s="4" t="s">
        <v>3602</v>
      </c>
      <c r="K848" s="6" t="str">
        <f aca="false">HYPERLINK("https://www.google.com/search?q=Franklin+Park+Public+Library+District+Franklin+Park+IL+library+website","Search")</f>
        <v>Search</v>
      </c>
      <c r="L848" s="7"/>
      <c r="M848" s="7"/>
    </row>
    <row r="849" customFormat="false" ht="15" hidden="false" customHeight="true" outlineLevel="0" collapsed="false">
      <c r="A849" s="4" t="s">
        <v>3289</v>
      </c>
      <c r="B849" s="4" t="s">
        <v>3603</v>
      </c>
      <c r="C849" s="4" t="s">
        <v>3604</v>
      </c>
      <c r="D849" s="4" t="s">
        <v>3605</v>
      </c>
      <c r="E849" s="5" t="n">
        <v>23973</v>
      </c>
      <c r="F849" s="4" t="n">
        <v>1</v>
      </c>
      <c r="G849" s="4" t="s">
        <v>3606</v>
      </c>
      <c r="H849" s="4" t="n">
        <v>42.29997</v>
      </c>
      <c r="I849" s="4" t="n">
        <v>-89.62053</v>
      </c>
      <c r="J849" s="4" t="s">
        <v>3607</v>
      </c>
      <c r="K849" s="6" t="str">
        <f aca="false">HYPERLINK("https://www.google.com/search?q=Freeport+Public+Library+Freeport+IL+library+website","Search")</f>
        <v>Search</v>
      </c>
      <c r="L849" s="7"/>
      <c r="M849" s="7"/>
    </row>
    <row r="850" customFormat="false" ht="15" hidden="false" customHeight="true" outlineLevel="0" collapsed="false">
      <c r="A850" s="4" t="s">
        <v>3289</v>
      </c>
      <c r="B850" s="4" t="s">
        <v>3608</v>
      </c>
      <c r="C850" s="4" t="s">
        <v>3609</v>
      </c>
      <c r="D850" s="4" t="s">
        <v>1118</v>
      </c>
      <c r="E850" s="5" t="n">
        <v>38792</v>
      </c>
      <c r="F850" s="4" t="n">
        <v>1</v>
      </c>
      <c r="G850" s="4" t="s">
        <v>3610</v>
      </c>
      <c r="H850" s="4" t="n">
        <v>42.28207</v>
      </c>
      <c r="I850" s="4" t="n">
        <v>-88.02015</v>
      </c>
      <c r="J850" s="4" t="s">
        <v>3611</v>
      </c>
      <c r="K850" s="6" t="str">
        <f aca="false">HYPERLINK("https://www.google.com/search?q=Fremont+Public+Library+District+Mundelein+IL+library+website","Search")</f>
        <v>Search</v>
      </c>
      <c r="L850" s="7"/>
      <c r="M850" s="8" t="str">
        <f aca="false">HYPERLINK("https://fremont.overdrive.com","https://fremont.overdrive.com")</f>
        <v>https://fremont.overdrive.com</v>
      </c>
    </row>
    <row r="851" customFormat="false" ht="15" hidden="false" customHeight="true" outlineLevel="0" collapsed="false">
      <c r="A851" s="4" t="s">
        <v>3289</v>
      </c>
      <c r="B851" s="4" t="s">
        <v>3612</v>
      </c>
      <c r="C851" s="4" t="s">
        <v>3613</v>
      </c>
      <c r="D851" s="4" t="s">
        <v>3327</v>
      </c>
      <c r="E851" s="5" t="n">
        <v>149907</v>
      </c>
      <c r="F851" s="4" t="n">
        <v>3</v>
      </c>
      <c r="G851" s="4" t="s">
        <v>3614</v>
      </c>
      <c r="H851" s="4" t="n">
        <v>42.04253</v>
      </c>
      <c r="I851" s="4" t="n">
        <v>-88.28689</v>
      </c>
      <c r="J851" s="4" t="s">
        <v>3615</v>
      </c>
      <c r="K851" s="6" t="str">
        <f aca="false">HYPERLINK("https://www.google.com/search?q=Gail+Borden+Public+Library+District+Elgin+IL+library+website","Search")</f>
        <v>Search</v>
      </c>
      <c r="L851" s="7"/>
      <c r="M851" s="7"/>
    </row>
    <row r="852" customFormat="false" ht="15" hidden="false" customHeight="true" outlineLevel="0" collapsed="false">
      <c r="A852" s="4" t="s">
        <v>3289</v>
      </c>
      <c r="B852" s="4" t="s">
        <v>3616</v>
      </c>
      <c r="C852" s="4" t="s">
        <v>3617</v>
      </c>
      <c r="D852" s="4" t="s">
        <v>3618</v>
      </c>
      <c r="E852" s="5" t="n">
        <v>30052</v>
      </c>
      <c r="F852" s="4" t="n">
        <v>1</v>
      </c>
      <c r="G852" s="4" t="s">
        <v>3619</v>
      </c>
      <c r="H852" s="4" t="n">
        <v>40.94637</v>
      </c>
      <c r="I852" s="4" t="n">
        <v>-90.37041</v>
      </c>
      <c r="J852" s="4" t="s">
        <v>3620</v>
      </c>
      <c r="K852" s="6" t="str">
        <f aca="false">HYPERLINK("https://www.google.com/search?q=Galesburg+Public+Library+Galesburg+IL+library+website","Search")</f>
        <v>Search</v>
      </c>
      <c r="L852" s="7"/>
      <c r="M852" s="7"/>
    </row>
    <row r="853" customFormat="false" ht="15" hidden="false" customHeight="true" outlineLevel="0" collapsed="false">
      <c r="A853" s="4" t="s">
        <v>3289</v>
      </c>
      <c r="B853" s="4" t="s">
        <v>3621</v>
      </c>
      <c r="C853" s="4" t="s">
        <v>3622</v>
      </c>
      <c r="D853" s="4" t="s">
        <v>2715</v>
      </c>
      <c r="E853" s="5" t="n">
        <v>12974</v>
      </c>
      <c r="F853" s="4" t="n">
        <v>1</v>
      </c>
      <c r="G853" s="4" t="s">
        <v>3623</v>
      </c>
      <c r="H853" s="4" t="n">
        <v>41.46314</v>
      </c>
      <c r="I853" s="4" t="n">
        <v>-90.14376</v>
      </c>
      <c r="J853" s="4" t="s">
        <v>3624</v>
      </c>
      <c r="K853" s="6" t="str">
        <f aca="false">HYPERLINK("https://www.google.com/search?q=Geneseo+Public+Library+District+Geneseo+IL+library+website","Search")</f>
        <v>Search</v>
      </c>
      <c r="L853" s="7"/>
      <c r="M853" s="7"/>
    </row>
    <row r="854" customFormat="false" ht="15" hidden="false" customHeight="true" outlineLevel="0" collapsed="false">
      <c r="A854" s="4" t="s">
        <v>3289</v>
      </c>
      <c r="B854" s="4" t="s">
        <v>3625</v>
      </c>
      <c r="C854" s="4" t="s">
        <v>3626</v>
      </c>
      <c r="D854" s="4" t="s">
        <v>3327</v>
      </c>
      <c r="E854" s="5" t="n">
        <v>32791</v>
      </c>
      <c r="F854" s="4" t="n">
        <v>1</v>
      </c>
      <c r="G854" s="4" t="s">
        <v>3627</v>
      </c>
      <c r="H854" s="4" t="n">
        <v>41.88622</v>
      </c>
      <c r="I854" s="4" t="n">
        <v>-88.31383</v>
      </c>
      <c r="J854" s="4" t="s">
        <v>3628</v>
      </c>
      <c r="K854" s="6" t="str">
        <f aca="false">HYPERLINK("https://www.google.com/search?q=Geneva+Public+Library+District+Geneva+IL+library+website","Search")</f>
        <v>Search</v>
      </c>
      <c r="L854" s="7"/>
      <c r="M854" s="7"/>
    </row>
    <row r="855" customFormat="false" ht="15" hidden="false" customHeight="true" outlineLevel="0" collapsed="false">
      <c r="A855" s="4" t="s">
        <v>3289</v>
      </c>
      <c r="B855" s="4" t="s">
        <v>3629</v>
      </c>
      <c r="C855" s="4" t="s">
        <v>3630</v>
      </c>
      <c r="D855" s="4" t="s">
        <v>261</v>
      </c>
      <c r="E855" s="5" t="n">
        <v>13865</v>
      </c>
      <c r="F855" s="4" t="n">
        <v>1</v>
      </c>
      <c r="G855" s="4" t="s">
        <v>3631</v>
      </c>
      <c r="H855" s="4" t="n">
        <v>38.74842</v>
      </c>
      <c r="I855" s="4" t="n">
        <v>-89.98392</v>
      </c>
      <c r="J855" s="4" t="s">
        <v>3632</v>
      </c>
      <c r="K855" s="6" t="str">
        <f aca="false">HYPERLINK("https://www.google.com/search?q=Glen+Carbon+Centennial+Library+District+Glen+Carbon+IL+library+website","Search")</f>
        <v>Search</v>
      </c>
      <c r="L855" s="7"/>
      <c r="M855" s="7"/>
    </row>
    <row r="856" customFormat="false" ht="15" hidden="false" customHeight="true" outlineLevel="0" collapsed="false">
      <c r="A856" s="4" t="s">
        <v>3289</v>
      </c>
      <c r="B856" s="4" t="s">
        <v>3633</v>
      </c>
      <c r="C856" s="4" t="s">
        <v>3634</v>
      </c>
      <c r="D856" s="4" t="s">
        <v>3297</v>
      </c>
      <c r="E856" s="5" t="n">
        <v>28846</v>
      </c>
      <c r="F856" s="4" t="n">
        <v>1</v>
      </c>
      <c r="G856" s="4" t="s">
        <v>3635</v>
      </c>
      <c r="H856" s="4" t="n">
        <v>41.87547</v>
      </c>
      <c r="I856" s="4" t="n">
        <v>-88.0707</v>
      </c>
      <c r="J856" s="4" t="s">
        <v>3636</v>
      </c>
      <c r="K856" s="6" t="str">
        <f aca="false">HYPERLINK("https://www.google.com/search?q=Glen+Ellyn+Public+Library+Glen+Ellyn+IL+library+website","Search")</f>
        <v>Search</v>
      </c>
      <c r="L856" s="7"/>
      <c r="M856" s="7"/>
    </row>
    <row r="857" customFormat="false" ht="15" hidden="false" customHeight="true" outlineLevel="0" collapsed="false">
      <c r="A857" s="4" t="s">
        <v>3289</v>
      </c>
      <c r="B857" s="4" t="s">
        <v>3637</v>
      </c>
      <c r="C857" s="4" t="s">
        <v>3638</v>
      </c>
      <c r="D857" s="4" t="s">
        <v>3297</v>
      </c>
      <c r="E857" s="5" t="n">
        <v>35094</v>
      </c>
      <c r="F857" s="4" t="n">
        <v>1</v>
      </c>
      <c r="G857" s="4" t="s">
        <v>3639</v>
      </c>
      <c r="H857" s="4" t="n">
        <v>41.91721</v>
      </c>
      <c r="I857" s="4" t="n">
        <v>-88.08977</v>
      </c>
      <c r="J857" s="4" t="s">
        <v>3640</v>
      </c>
      <c r="K857" s="6" t="str">
        <f aca="false">HYPERLINK("https://www.google.com/search?q=Glenside+Public+Library+District+Glendale+Heights+IL+library+website","Search")</f>
        <v>Search</v>
      </c>
      <c r="L857" s="7"/>
      <c r="M857" s="7"/>
    </row>
    <row r="858" customFormat="false" ht="15" hidden="false" customHeight="true" outlineLevel="0" collapsed="false">
      <c r="A858" s="4" t="s">
        <v>3289</v>
      </c>
      <c r="B858" s="4" t="s">
        <v>3641</v>
      </c>
      <c r="C858" s="4" t="s">
        <v>3642</v>
      </c>
      <c r="D858" s="4" t="s">
        <v>3292</v>
      </c>
      <c r="E858" s="5" t="n">
        <v>48705</v>
      </c>
      <c r="F858" s="4" t="n">
        <v>1</v>
      </c>
      <c r="G858" s="4" t="s">
        <v>3643</v>
      </c>
      <c r="H858" s="4" t="n">
        <v>42.0728</v>
      </c>
      <c r="I858" s="4" t="n">
        <v>-87.80682</v>
      </c>
      <c r="J858" s="4" t="s">
        <v>3644</v>
      </c>
      <c r="K858" s="6" t="str">
        <f aca="false">HYPERLINK("https://www.google.com/search?q=Glenview+Public+Library+Glenview+IL+library+website","Search")</f>
        <v>Search</v>
      </c>
      <c r="L858" s="7"/>
      <c r="M858" s="7"/>
    </row>
    <row r="859" customFormat="false" ht="15" hidden="false" customHeight="true" outlineLevel="0" collapsed="false">
      <c r="A859" s="4" t="s">
        <v>3289</v>
      </c>
      <c r="B859" s="4" t="s">
        <v>3645</v>
      </c>
      <c r="C859" s="4" t="s">
        <v>3646</v>
      </c>
      <c r="D859" s="4" t="s">
        <v>3292</v>
      </c>
      <c r="E859" s="5" t="n">
        <v>18513</v>
      </c>
      <c r="F859" s="4" t="n">
        <v>1</v>
      </c>
      <c r="G859" s="4" t="s">
        <v>3647</v>
      </c>
      <c r="H859" s="4" t="n">
        <v>41.53337</v>
      </c>
      <c r="I859" s="4" t="n">
        <v>-87.5779</v>
      </c>
      <c r="J859" s="4" t="s">
        <v>3648</v>
      </c>
      <c r="K859" s="6" t="str">
        <f aca="false">HYPERLINK("https://www.google.com/search?q=Glenwood-Lynwood+Public+Library+District+Lynwood+IL+library+website","Search")</f>
        <v>Search</v>
      </c>
      <c r="L859" s="7"/>
      <c r="M859" s="7"/>
    </row>
    <row r="860" customFormat="false" ht="15" hidden="false" customHeight="true" outlineLevel="0" collapsed="false">
      <c r="A860" s="4" t="s">
        <v>3289</v>
      </c>
      <c r="B860" s="4" t="s">
        <v>3649</v>
      </c>
      <c r="C860" s="4" t="s">
        <v>3650</v>
      </c>
      <c r="D860" s="4" t="s">
        <v>3292</v>
      </c>
      <c r="E860" s="5" t="n">
        <v>29682</v>
      </c>
      <c r="F860" s="4" t="n">
        <v>1</v>
      </c>
      <c r="G860" s="4" t="s">
        <v>3651</v>
      </c>
      <c r="H860" s="4" t="n">
        <v>41.55713</v>
      </c>
      <c r="I860" s="4" t="n">
        <v>-87.70091</v>
      </c>
      <c r="J860" s="4" t="s">
        <v>3652</v>
      </c>
      <c r="K860" s="6" t="str">
        <f aca="false">HYPERLINK("https://www.google.com/search?q=Grande+Prairie+Public+Library+District+Hazel+Crest+IL+library+website","Search")</f>
        <v>Search</v>
      </c>
      <c r="L860" s="7"/>
      <c r="M860" s="7"/>
    </row>
    <row r="861" customFormat="false" ht="15" hidden="false" customHeight="true" outlineLevel="0" collapsed="false">
      <c r="A861" s="4" t="s">
        <v>3289</v>
      </c>
      <c r="B861" s="4" t="s">
        <v>3653</v>
      </c>
      <c r="C861" s="4" t="s">
        <v>3654</v>
      </c>
      <c r="D861" s="4" t="s">
        <v>1118</v>
      </c>
      <c r="E861" s="5" t="n">
        <v>27919</v>
      </c>
      <c r="F861" s="4" t="n">
        <v>1</v>
      </c>
      <c r="G861" s="4" t="s">
        <v>3655</v>
      </c>
      <c r="H861" s="4" t="n">
        <v>42.34668</v>
      </c>
      <c r="I861" s="4" t="n">
        <v>-88.03628</v>
      </c>
      <c r="J861" s="4" t="s">
        <v>3656</v>
      </c>
      <c r="K861" s="6" t="str">
        <f aca="false">HYPERLINK("https://www.google.com/search?q=Grayslake+Area+Public+Library+District+Grayslake+IL+library+website","Search")</f>
        <v>Search</v>
      </c>
      <c r="L861" s="7"/>
      <c r="M861" s="7"/>
    </row>
    <row r="862" customFormat="false" ht="15" hidden="false" customHeight="true" outlineLevel="0" collapsed="false">
      <c r="A862" s="4" t="s">
        <v>3289</v>
      </c>
      <c r="B862" s="4" t="s">
        <v>3657</v>
      </c>
      <c r="C862" s="4" t="s">
        <v>3658</v>
      </c>
      <c r="D862" s="4" t="s">
        <v>3292</v>
      </c>
      <c r="E862" s="5" t="n">
        <v>33209</v>
      </c>
      <c r="F862" s="4" t="n">
        <v>1</v>
      </c>
      <c r="G862" s="4" t="s">
        <v>3659</v>
      </c>
      <c r="H862" s="4" t="n">
        <v>41.70369</v>
      </c>
      <c r="I862" s="4" t="n">
        <v>-87.83218</v>
      </c>
      <c r="J862" s="4" t="s">
        <v>3660</v>
      </c>
      <c r="K862" s="6" t="str">
        <f aca="false">HYPERLINK("https://www.google.com/search?q=Green+Hills+Public+Library+District+Palos+Hills+IL+library+website","Search")</f>
        <v>Search</v>
      </c>
      <c r="L862" s="7"/>
      <c r="M862" s="7"/>
    </row>
    <row r="863" customFormat="false" ht="15" hidden="false" customHeight="true" outlineLevel="0" collapsed="false">
      <c r="A863" s="4" t="s">
        <v>3289</v>
      </c>
      <c r="B863" s="4" t="s">
        <v>3661</v>
      </c>
      <c r="C863" s="4" t="s">
        <v>3662</v>
      </c>
      <c r="D863" s="4" t="s">
        <v>3663</v>
      </c>
      <c r="E863" s="5" t="n">
        <v>12463</v>
      </c>
      <c r="F863" s="4" t="n">
        <v>1</v>
      </c>
      <c r="G863" s="4" t="s">
        <v>3664</v>
      </c>
      <c r="H863" s="4" t="n">
        <v>37.74042</v>
      </c>
      <c r="I863" s="4" t="n">
        <v>-88.54035</v>
      </c>
      <c r="J863" s="4" t="s">
        <v>3665</v>
      </c>
      <c r="K863" s="6" t="str">
        <f aca="false">HYPERLINK("https://www.google.com/search?q=Harrisburg+Public+Library+District+Harrisburg+IL+library+website","Search")</f>
        <v>Search</v>
      </c>
      <c r="L863" s="7"/>
      <c r="M863" s="7"/>
    </row>
    <row r="864" customFormat="false" ht="15" hidden="false" customHeight="true" outlineLevel="0" collapsed="false">
      <c r="A864" s="4" t="s">
        <v>3289</v>
      </c>
      <c r="B864" s="4" t="s">
        <v>3666</v>
      </c>
      <c r="C864" s="4" t="s">
        <v>3667</v>
      </c>
      <c r="D864" s="4" t="s">
        <v>3292</v>
      </c>
      <c r="E864" s="5" t="n">
        <v>20324</v>
      </c>
      <c r="F864" s="4" t="n">
        <v>1</v>
      </c>
      <c r="G864" s="4" t="s">
        <v>3668</v>
      </c>
      <c r="H864" s="4" t="n">
        <v>41.60881</v>
      </c>
      <c r="I864" s="4" t="n">
        <v>-87.64772</v>
      </c>
      <c r="J864" s="4" t="s">
        <v>3669</v>
      </c>
      <c r="K864" s="6" t="str">
        <f aca="false">HYPERLINK("https://www.google.com/search?q=Harvey+Public+Library+District+Harvey+IL+library+website","Search")</f>
        <v>Search</v>
      </c>
      <c r="L864" s="7"/>
      <c r="M864" s="7"/>
    </row>
    <row r="865" customFormat="false" ht="15" hidden="false" customHeight="true" outlineLevel="0" collapsed="false">
      <c r="A865" s="4" t="s">
        <v>3289</v>
      </c>
      <c r="B865" s="4" t="s">
        <v>3670</v>
      </c>
      <c r="C865" s="4" t="s">
        <v>3671</v>
      </c>
      <c r="D865" s="4" t="s">
        <v>261</v>
      </c>
      <c r="E865" s="5" t="n">
        <v>46753</v>
      </c>
      <c r="F865" s="4" t="n">
        <v>3</v>
      </c>
      <c r="G865" s="4" t="s">
        <v>3672</v>
      </c>
      <c r="H865" s="4" t="n">
        <v>38.89231</v>
      </c>
      <c r="I865" s="4" t="n">
        <v>-90.18839</v>
      </c>
      <c r="J865" s="4" t="s">
        <v>3673</v>
      </c>
      <c r="K865" s="6" t="str">
        <f aca="false">HYPERLINK("https://www.google.com/search?q=Hayner+Public+Library+District+Alton+IL+library+website","Search")</f>
        <v>Search</v>
      </c>
      <c r="L865" s="7"/>
      <c r="M865" s="7"/>
    </row>
    <row r="866" customFormat="false" ht="15" hidden="false" customHeight="true" outlineLevel="0" collapsed="false">
      <c r="A866" s="4" t="s">
        <v>3289</v>
      </c>
      <c r="B866" s="4" t="s">
        <v>3674</v>
      </c>
      <c r="C866" s="4" t="s">
        <v>3675</v>
      </c>
      <c r="D866" s="4" t="s">
        <v>3297</v>
      </c>
      <c r="E866" s="5" t="n">
        <v>44585</v>
      </c>
      <c r="F866" s="4" t="n">
        <v>1</v>
      </c>
      <c r="G866" s="4" t="s">
        <v>3676</v>
      </c>
      <c r="H866" s="4" t="n">
        <v>41.88395</v>
      </c>
      <c r="I866" s="4" t="n">
        <v>-88.02033</v>
      </c>
      <c r="J866" s="4" t="s">
        <v>3677</v>
      </c>
      <c r="K866" s="6" t="str">
        <f aca="false">HYPERLINK("https://www.google.com/search?q=Helen+M.+Plum+Memorial+Public+Library+District+Lombard+IL+library+website","Search")</f>
        <v>Search</v>
      </c>
      <c r="L866" s="7"/>
      <c r="M866" s="7"/>
    </row>
    <row r="867" customFormat="false" ht="15" hidden="false" customHeight="true" outlineLevel="0" collapsed="false">
      <c r="A867" s="4" t="s">
        <v>3289</v>
      </c>
      <c r="B867" s="4" t="s">
        <v>3678</v>
      </c>
      <c r="C867" s="4" t="s">
        <v>3679</v>
      </c>
      <c r="D867" s="4" t="s">
        <v>3315</v>
      </c>
      <c r="E867" s="5" t="n">
        <v>12352</v>
      </c>
      <c r="F867" s="4" t="n">
        <v>1</v>
      </c>
      <c r="G867" s="4" t="s">
        <v>3680</v>
      </c>
      <c r="H867" s="4" t="n">
        <v>37.80413</v>
      </c>
      <c r="I867" s="4" t="n">
        <v>-89.02524</v>
      </c>
      <c r="J867" s="4" t="s">
        <v>3681</v>
      </c>
      <c r="K867" s="6" t="str">
        <f aca="false">HYPERLINK("https://www.google.com/search?q=Herrin+City+Library+Herrin+IL+library+website","Search")</f>
        <v>Search</v>
      </c>
      <c r="L867" s="7"/>
      <c r="M867" s="7"/>
    </row>
    <row r="868" customFormat="false" ht="15" hidden="false" customHeight="true" outlineLevel="0" collapsed="false">
      <c r="A868" s="4" t="s">
        <v>3289</v>
      </c>
      <c r="B868" s="4" t="s">
        <v>3682</v>
      </c>
      <c r="C868" s="4" t="s">
        <v>3683</v>
      </c>
      <c r="D868" s="4" t="s">
        <v>1118</v>
      </c>
      <c r="E868" s="5" t="n">
        <v>30176</v>
      </c>
      <c r="F868" s="4" t="n">
        <v>1</v>
      </c>
      <c r="G868" s="4" t="s">
        <v>3684</v>
      </c>
      <c r="H868" s="4" t="n">
        <v>42.18448</v>
      </c>
      <c r="I868" s="4" t="n">
        <v>-87.79672</v>
      </c>
      <c r="J868" s="4" t="s">
        <v>3685</v>
      </c>
      <c r="K868" s="6" t="str">
        <f aca="false">HYPERLINK("https://www.google.com/search?q=Highland+Park+Public+Library+Highland+Park+IL+library+website","Search")</f>
        <v>Search</v>
      </c>
      <c r="L868" s="7"/>
      <c r="M868" s="7"/>
    </row>
    <row r="869" customFormat="false" ht="15" hidden="false" customHeight="true" outlineLevel="0" collapsed="false">
      <c r="A869" s="4" t="s">
        <v>3289</v>
      </c>
      <c r="B869" s="4" t="s">
        <v>3686</v>
      </c>
      <c r="C869" s="4" t="s">
        <v>3687</v>
      </c>
      <c r="D869" s="4" t="s">
        <v>315</v>
      </c>
      <c r="E869" s="5" t="n">
        <v>11345</v>
      </c>
      <c r="F869" s="4" t="n">
        <v>1</v>
      </c>
      <c r="G869" s="4" t="s">
        <v>3688</v>
      </c>
      <c r="H869" s="4" t="n">
        <v>39.15594</v>
      </c>
      <c r="I869" s="4" t="n">
        <v>-89.49168</v>
      </c>
      <c r="J869" s="4" t="s">
        <v>3689</v>
      </c>
      <c r="K869" s="6" t="str">
        <f aca="false">HYPERLINK("https://www.google.com/search?q=Hillsboro+Area+Public+Library+District+Hillsboro+IL+library+website","Search")</f>
        <v>Search</v>
      </c>
      <c r="L869" s="7"/>
      <c r="M869" s="7"/>
    </row>
    <row r="870" customFormat="false" ht="15" hidden="false" customHeight="true" outlineLevel="0" collapsed="false">
      <c r="A870" s="4" t="s">
        <v>3289</v>
      </c>
      <c r="B870" s="4" t="s">
        <v>3690</v>
      </c>
      <c r="C870" s="4" t="s">
        <v>3691</v>
      </c>
      <c r="D870" s="4" t="s">
        <v>3297</v>
      </c>
      <c r="E870" s="5" t="n">
        <v>17395</v>
      </c>
      <c r="F870" s="4" t="n">
        <v>1</v>
      </c>
      <c r="G870" s="4" t="s">
        <v>3692</v>
      </c>
      <c r="H870" s="4" t="n">
        <v>41.80469</v>
      </c>
      <c r="I870" s="4" t="n">
        <v>-87.92893</v>
      </c>
      <c r="J870" s="4" t="s">
        <v>3693</v>
      </c>
      <c r="K870" s="6" t="str">
        <f aca="false">HYPERLINK("https://www.google.com/search?q=Hinsdale+Public+Library+Hinsdale+IL+library+website","Search")</f>
        <v>Search</v>
      </c>
      <c r="L870" s="7"/>
      <c r="M870" s="7"/>
    </row>
    <row r="871" customFormat="false" ht="15" hidden="false" customHeight="true" outlineLevel="0" collapsed="false">
      <c r="A871" s="4" t="s">
        <v>3289</v>
      </c>
      <c r="B871" s="4" t="s">
        <v>3694</v>
      </c>
      <c r="C871" s="4" t="s">
        <v>3695</v>
      </c>
      <c r="D871" s="4" t="s">
        <v>3471</v>
      </c>
      <c r="E871" s="5" t="n">
        <v>40759</v>
      </c>
      <c r="F871" s="4" t="n">
        <v>1</v>
      </c>
      <c r="G871" s="4" t="s">
        <v>3696</v>
      </c>
      <c r="H871" s="4" t="n">
        <v>41.61377</v>
      </c>
      <c r="I871" s="4" t="n">
        <v>-87.96747</v>
      </c>
      <c r="J871" s="4" t="s">
        <v>3697</v>
      </c>
      <c r="K871" s="6" t="str">
        <f aca="false">HYPERLINK("https://www.google.com/search?q=Homer+Township+Public+Library+District+Homer+Glen+IL+library+website","Search")</f>
        <v>Search</v>
      </c>
      <c r="L871" s="7"/>
      <c r="M871" s="7"/>
    </row>
    <row r="872" customFormat="false" ht="15" hidden="false" customHeight="true" outlineLevel="0" collapsed="false">
      <c r="A872" s="4" t="s">
        <v>3289</v>
      </c>
      <c r="B872" s="4" t="s">
        <v>3698</v>
      </c>
      <c r="C872" s="4" t="s">
        <v>244</v>
      </c>
      <c r="D872" s="4" t="s">
        <v>3292</v>
      </c>
      <c r="E872" s="5" t="n">
        <v>19520</v>
      </c>
      <c r="F872" s="4" t="n">
        <v>1</v>
      </c>
      <c r="G872" s="4" t="s">
        <v>3699</v>
      </c>
      <c r="H872" s="4" t="n">
        <v>41.56401</v>
      </c>
      <c r="I872" s="4" t="n">
        <v>-87.66539</v>
      </c>
      <c r="J872" s="4" t="s">
        <v>3700</v>
      </c>
      <c r="K872" s="6" t="str">
        <f aca="false">HYPERLINK("https://www.google.com/search?q=Homewood+Public+Library+District+Homewood+IL+library+website","Search")</f>
        <v>Search</v>
      </c>
      <c r="L872" s="7"/>
      <c r="M872" s="7"/>
    </row>
    <row r="873" customFormat="false" ht="15" hidden="false" customHeight="true" outlineLevel="0" collapsed="false">
      <c r="A873" s="4" t="s">
        <v>3289</v>
      </c>
      <c r="B873" s="4" t="s">
        <v>3701</v>
      </c>
      <c r="C873" s="4" t="s">
        <v>3702</v>
      </c>
      <c r="D873" s="4" t="s">
        <v>3302</v>
      </c>
      <c r="E873" s="5" t="n">
        <v>43839</v>
      </c>
      <c r="F873" s="4" t="n">
        <v>1</v>
      </c>
      <c r="G873" s="4" t="s">
        <v>3703</v>
      </c>
      <c r="H873" s="4" t="n">
        <v>42.16968</v>
      </c>
      <c r="I873" s="4" t="n">
        <v>-88.4127</v>
      </c>
      <c r="J873" s="4" t="s">
        <v>3704</v>
      </c>
      <c r="K873" s="6" t="str">
        <f aca="false">HYPERLINK("https://www.google.com/search?q=Huntley+Area+Public+Library+District+Huntley+IL+library+website","Search")</f>
        <v>Search</v>
      </c>
      <c r="L873" s="7"/>
      <c r="M873" s="7"/>
    </row>
    <row r="874" customFormat="false" ht="15" hidden="false" customHeight="true" outlineLevel="0" collapsed="false">
      <c r="A874" s="4" t="s">
        <v>3289</v>
      </c>
      <c r="B874" s="4" t="s">
        <v>3705</v>
      </c>
      <c r="C874" s="4" t="s">
        <v>3706</v>
      </c>
      <c r="D874" s="4" t="s">
        <v>486</v>
      </c>
      <c r="E874" s="5" t="n">
        <v>25339</v>
      </c>
      <c r="F874" s="4" t="n">
        <v>1</v>
      </c>
      <c r="G874" s="4" t="s">
        <v>3707</v>
      </c>
      <c r="H874" s="4" t="n">
        <v>42.26194</v>
      </c>
      <c r="I874" s="4" t="n">
        <v>-88.84577</v>
      </c>
      <c r="J874" s="4" t="s">
        <v>3708</v>
      </c>
      <c r="K874" s="6" t="str">
        <f aca="false">HYPERLINK("https://www.google.com/search?q=Ida+Public+Library+Belvidere+IL+library+website","Search")</f>
        <v>Search</v>
      </c>
      <c r="L874" s="7"/>
      <c r="M874" s="7"/>
    </row>
    <row r="875" customFormat="false" ht="15" hidden="false" customHeight="true" outlineLevel="0" collapsed="false">
      <c r="A875" s="4" t="s">
        <v>3289</v>
      </c>
      <c r="B875" s="4" t="s">
        <v>3709</v>
      </c>
      <c r="C875" s="4" t="s">
        <v>3710</v>
      </c>
      <c r="D875" s="4" t="s">
        <v>3711</v>
      </c>
      <c r="E875" s="5" t="n">
        <v>21481</v>
      </c>
      <c r="F875" s="4" t="n">
        <v>6</v>
      </c>
      <c r="G875" s="4" t="s">
        <v>3712</v>
      </c>
      <c r="H875" s="4" t="n">
        <v>40.79153</v>
      </c>
      <c r="I875" s="4" t="n">
        <v>-89.36131</v>
      </c>
      <c r="J875" s="4" t="s">
        <v>3713</v>
      </c>
      <c r="K875" s="6" t="str">
        <f aca="false">HYPERLINK("https://www.google.com/search?q=Illinois+Prairie+District+Public+Library+Metamora+IL+library+website","Search")</f>
        <v>Search</v>
      </c>
      <c r="L875" s="7"/>
      <c r="M875" s="7"/>
    </row>
    <row r="876" customFormat="false" ht="15" hidden="false" customHeight="true" outlineLevel="0" collapsed="false">
      <c r="A876" s="4" t="s">
        <v>3289</v>
      </c>
      <c r="B876" s="4" t="s">
        <v>3714</v>
      </c>
      <c r="C876" s="4" t="s">
        <v>1884</v>
      </c>
      <c r="D876" s="4" t="s">
        <v>3297</v>
      </c>
      <c r="E876" s="5" t="n">
        <v>43892</v>
      </c>
      <c r="F876" s="4" t="n">
        <v>1</v>
      </c>
      <c r="G876" s="4" t="s">
        <v>3715</v>
      </c>
      <c r="H876" s="4" t="n">
        <v>41.75651</v>
      </c>
      <c r="I876" s="4" t="n">
        <v>-87.95586</v>
      </c>
      <c r="J876" s="4" t="s">
        <v>3716</v>
      </c>
      <c r="K876" s="6" t="str">
        <f aca="false">HYPERLINK("https://www.google.com/search?q=Indian+Prairie+Public+Library+District+Darien+IL+library+website","Search")</f>
        <v>Search</v>
      </c>
      <c r="L876" s="7"/>
      <c r="M876" s="7"/>
    </row>
    <row r="877" customFormat="false" ht="15" hidden="false" customHeight="true" outlineLevel="0" collapsed="false">
      <c r="A877" s="4" t="s">
        <v>3289</v>
      </c>
      <c r="B877" s="4" t="s">
        <v>3717</v>
      </c>
      <c r="C877" s="4" t="s">
        <v>3718</v>
      </c>
      <c r="D877" s="4" t="s">
        <v>3292</v>
      </c>
      <c r="E877" s="5" t="n">
        <v>65423</v>
      </c>
      <c r="F877" s="4" t="n">
        <v>2</v>
      </c>
      <c r="G877" s="4" t="s">
        <v>3719</v>
      </c>
      <c r="H877" s="4" t="n">
        <v>42.13275</v>
      </c>
      <c r="I877" s="4" t="n">
        <v>-87.94649</v>
      </c>
      <c r="J877" s="4" t="s">
        <v>3720</v>
      </c>
      <c r="K877" s="6" t="str">
        <f aca="false">HYPERLINK("https://www.google.com/search?q=Indian+Trails+Public+Library+District+Wheeling+IL+library+website","Search")</f>
        <v>Search</v>
      </c>
      <c r="L877" s="7"/>
      <c r="M877" s="7"/>
    </row>
    <row r="878" customFormat="false" ht="15" hidden="false" customHeight="true" outlineLevel="0" collapsed="false">
      <c r="A878" s="4" t="s">
        <v>3289</v>
      </c>
      <c r="B878" s="4" t="s">
        <v>268</v>
      </c>
      <c r="C878" s="4" t="s">
        <v>269</v>
      </c>
      <c r="D878" s="4" t="s">
        <v>156</v>
      </c>
      <c r="E878" s="5" t="n">
        <v>17616</v>
      </c>
      <c r="F878" s="4" t="n">
        <v>1</v>
      </c>
      <c r="G878" s="4" t="s">
        <v>3721</v>
      </c>
      <c r="H878" s="4" t="n">
        <v>39.73245</v>
      </c>
      <c r="I878" s="4" t="n">
        <v>-90.23022</v>
      </c>
      <c r="J878" s="4" t="s">
        <v>3722</v>
      </c>
      <c r="K878" s="6" t="str">
        <f aca="false">HYPERLINK("https://www.google.com/search?q=Jacksonville+Public+Library+Jacksonville+IL+library+website","Search")</f>
        <v>Search</v>
      </c>
      <c r="L878" s="7"/>
      <c r="M878" s="7"/>
    </row>
    <row r="879" customFormat="false" ht="15" hidden="false" customHeight="true" outlineLevel="0" collapsed="false">
      <c r="A879" s="4" t="s">
        <v>3289</v>
      </c>
      <c r="B879" s="4" t="s">
        <v>3723</v>
      </c>
      <c r="C879" s="4" t="s">
        <v>3724</v>
      </c>
      <c r="D879" s="4" t="s">
        <v>3302</v>
      </c>
      <c r="E879" s="5" t="n">
        <v>12128</v>
      </c>
      <c r="F879" s="4" t="n">
        <v>1</v>
      </c>
      <c r="G879" s="4" t="s">
        <v>3725</v>
      </c>
      <c r="H879" s="4" t="n">
        <v>42.38166</v>
      </c>
      <c r="I879" s="4" t="n">
        <v>-88.23669</v>
      </c>
      <c r="J879" s="4" t="s">
        <v>3726</v>
      </c>
      <c r="K879" s="6" t="str">
        <f aca="false">HYPERLINK("https://www.google.com/search?q=Johnsburg+Public+Library+District+Johnsburg+IL+library+website","Search")</f>
        <v>Search</v>
      </c>
      <c r="L879" s="7"/>
      <c r="M879" s="7"/>
    </row>
    <row r="880" customFormat="false" ht="15" hidden="false" customHeight="true" outlineLevel="0" collapsed="false">
      <c r="A880" s="4" t="s">
        <v>3289</v>
      </c>
      <c r="B880" s="4" t="s">
        <v>3727</v>
      </c>
      <c r="C880" s="4" t="s">
        <v>3728</v>
      </c>
      <c r="D880" s="4" t="s">
        <v>3471</v>
      </c>
      <c r="E880" s="5" t="n">
        <v>150362</v>
      </c>
      <c r="F880" s="4" t="n">
        <v>2</v>
      </c>
      <c r="G880" s="4" t="s">
        <v>3729</v>
      </c>
      <c r="H880" s="4" t="n">
        <v>41.52717</v>
      </c>
      <c r="I880" s="4" t="n">
        <v>-88.08302</v>
      </c>
      <c r="J880" s="4" t="s">
        <v>3730</v>
      </c>
      <c r="K880" s="6" t="str">
        <f aca="false">HYPERLINK("https://www.google.com/search?q=Joliet+Public+Library+Joliet+IL+library+website","Search")</f>
        <v>Search</v>
      </c>
      <c r="L880" s="7"/>
      <c r="M880" s="7"/>
    </row>
    <row r="881" customFormat="false" ht="15" hidden="false" customHeight="true" outlineLevel="0" collapsed="false">
      <c r="A881" s="4" t="s">
        <v>3289</v>
      </c>
      <c r="B881" s="4" t="s">
        <v>3731</v>
      </c>
      <c r="C881" s="4" t="s">
        <v>3732</v>
      </c>
      <c r="D881" s="4" t="s">
        <v>3292</v>
      </c>
      <c r="E881" s="5" t="n">
        <v>14384</v>
      </c>
      <c r="F881" s="4" t="n">
        <v>1</v>
      </c>
      <c r="G881" s="4" t="s">
        <v>3733</v>
      </c>
      <c r="H881" s="4" t="n">
        <v>41.75145</v>
      </c>
      <c r="I881" s="4" t="n">
        <v>-87.84075</v>
      </c>
      <c r="J881" s="4" t="s">
        <v>3734</v>
      </c>
      <c r="K881" s="6" t="str">
        <f aca="false">HYPERLINK("https://www.google.com/search?q=Justice+Public+Library+District+Justice+IL+library+website","Search")</f>
        <v>Search</v>
      </c>
      <c r="L881" s="7"/>
      <c r="M881" s="7"/>
    </row>
    <row r="882" customFormat="false" ht="15" hidden="false" customHeight="true" outlineLevel="0" collapsed="false">
      <c r="A882" s="4" t="s">
        <v>3289</v>
      </c>
      <c r="B882" s="4" t="s">
        <v>3735</v>
      </c>
      <c r="C882" s="4" t="s">
        <v>3380</v>
      </c>
      <c r="D882" s="4" t="s">
        <v>3380</v>
      </c>
      <c r="E882" s="5" t="n">
        <v>24052</v>
      </c>
      <c r="F882" s="4" t="n">
        <v>1</v>
      </c>
      <c r="G882" s="4" t="s">
        <v>3736</v>
      </c>
      <c r="H882" s="4" t="n">
        <v>41.11908</v>
      </c>
      <c r="I882" s="4" t="n">
        <v>-87.86406</v>
      </c>
      <c r="J882" s="4" t="s">
        <v>3737</v>
      </c>
      <c r="K882" s="6" t="str">
        <f aca="false">HYPERLINK("https://www.google.com/search?q=Kankakee+Public+Library+Kankakee+IL+library+website","Search")</f>
        <v>Search</v>
      </c>
      <c r="L882" s="7"/>
      <c r="M882" s="7"/>
    </row>
    <row r="883" customFormat="false" ht="15" hidden="false" customHeight="true" outlineLevel="0" collapsed="false">
      <c r="A883" s="4" t="s">
        <v>3289</v>
      </c>
      <c r="B883" s="4" t="s">
        <v>3738</v>
      </c>
      <c r="C883" s="4" t="s">
        <v>3739</v>
      </c>
      <c r="D883" s="4" t="s">
        <v>2715</v>
      </c>
      <c r="E883" s="5" t="n">
        <v>13746</v>
      </c>
      <c r="F883" s="4" t="n">
        <v>1</v>
      </c>
      <c r="G883" s="4" t="s">
        <v>3740</v>
      </c>
      <c r="H883" s="4" t="n">
        <v>41.24316</v>
      </c>
      <c r="I883" s="4" t="n">
        <v>-89.92637</v>
      </c>
      <c r="J883" s="4" t="s">
        <v>3741</v>
      </c>
      <c r="K883" s="6" t="str">
        <f aca="false">HYPERLINK("https://www.google.com/search?q=Kewanee+Public+Library+District+Kewanee+IL+library+website","Search")</f>
        <v>Search</v>
      </c>
      <c r="L883" s="7"/>
      <c r="M883" s="7"/>
    </row>
    <row r="884" customFormat="false" ht="15" hidden="false" customHeight="true" outlineLevel="0" collapsed="false">
      <c r="A884" s="4" t="s">
        <v>3289</v>
      </c>
      <c r="B884" s="4" t="s">
        <v>3742</v>
      </c>
      <c r="C884" s="4" t="s">
        <v>3743</v>
      </c>
      <c r="D884" s="4" t="s">
        <v>3292</v>
      </c>
      <c r="E884" s="5" t="n">
        <v>13508</v>
      </c>
      <c r="F884" s="4" t="n">
        <v>1</v>
      </c>
      <c r="G884" s="4" t="s">
        <v>3744</v>
      </c>
      <c r="H884" s="4" t="n">
        <v>41.82474</v>
      </c>
      <c r="I884" s="4" t="n">
        <v>-87.8719</v>
      </c>
      <c r="J884" s="4" t="s">
        <v>3745</v>
      </c>
      <c r="K884" s="6" t="str">
        <f aca="false">HYPERLINK("https://www.google.com/search?q=Lagrange+Park+Public+Library+District+La+Grange+Park+IL+library+website","Search")</f>
        <v>Search</v>
      </c>
      <c r="L884" s="7"/>
      <c r="M884" s="7"/>
    </row>
    <row r="885" customFormat="false" ht="15" hidden="false" customHeight="true" outlineLevel="0" collapsed="false">
      <c r="A885" s="4" t="s">
        <v>3289</v>
      </c>
      <c r="B885" s="4" t="s">
        <v>3746</v>
      </c>
      <c r="C885" s="4" t="s">
        <v>3747</v>
      </c>
      <c r="D885" s="4" t="s">
        <v>3292</v>
      </c>
      <c r="E885" s="5" t="n">
        <v>16321</v>
      </c>
      <c r="F885" s="4" t="n">
        <v>1</v>
      </c>
      <c r="G885" s="4" t="s">
        <v>3748</v>
      </c>
      <c r="H885" s="4" t="n">
        <v>41.81234</v>
      </c>
      <c r="I885" s="4" t="n">
        <v>-87.87</v>
      </c>
      <c r="J885" s="4" t="s">
        <v>3749</v>
      </c>
      <c r="K885" s="6" t="str">
        <f aca="false">HYPERLINK("https://www.google.com/search?q=Lagrange+Public+Library+La+Grange+IL+library+website","Search")</f>
        <v>Search</v>
      </c>
      <c r="L885" s="7"/>
      <c r="M885" s="7"/>
    </row>
    <row r="886" customFormat="false" ht="15" hidden="false" customHeight="true" outlineLevel="0" collapsed="false">
      <c r="A886" s="4" t="s">
        <v>3289</v>
      </c>
      <c r="B886" s="4" t="s">
        <v>3750</v>
      </c>
      <c r="C886" s="4" t="s">
        <v>3751</v>
      </c>
      <c r="D886" s="4" t="s">
        <v>1118</v>
      </c>
      <c r="E886" s="5" t="n">
        <v>19367</v>
      </c>
      <c r="F886" s="4" t="n">
        <v>1</v>
      </c>
      <c r="G886" s="4" t="s">
        <v>3752</v>
      </c>
      <c r="H886" s="4" t="n">
        <v>42.25168</v>
      </c>
      <c r="I886" s="4" t="n">
        <v>-87.83773</v>
      </c>
      <c r="J886" s="4" t="s">
        <v>3753</v>
      </c>
      <c r="K886" s="6" t="str">
        <f aca="false">HYPERLINK("https://www.google.com/search?q=Lake+Forest+Library+Lake+Forest+IL+library+website","Search")</f>
        <v>Search</v>
      </c>
      <c r="L886" s="7"/>
      <c r="M886" s="7"/>
    </row>
    <row r="887" customFormat="false" ht="15" hidden="false" customHeight="true" outlineLevel="0" collapsed="false">
      <c r="A887" s="4" t="s">
        <v>3289</v>
      </c>
      <c r="B887" s="4" t="s">
        <v>3754</v>
      </c>
      <c r="C887" s="4" t="s">
        <v>3755</v>
      </c>
      <c r="D887" s="4" t="s">
        <v>1118</v>
      </c>
      <c r="E887" s="5" t="n">
        <v>39809</v>
      </c>
      <c r="F887" s="4" t="n">
        <v>1</v>
      </c>
      <c r="G887" s="4" t="s">
        <v>3756</v>
      </c>
      <c r="H887" s="4" t="n">
        <v>42.41776</v>
      </c>
      <c r="I887" s="4" t="n">
        <v>-88.04908</v>
      </c>
      <c r="J887" s="4" t="s">
        <v>3757</v>
      </c>
      <c r="K887" s="6" t="str">
        <f aca="false">HYPERLINK("https://www.google.com/search?q=Lake+Villa+Public+Library+District+Lindenhurst+IL+library+website","Search")</f>
        <v>Search</v>
      </c>
      <c r="L887" s="7"/>
      <c r="M887" s="7"/>
    </row>
    <row r="888" customFormat="false" ht="15" hidden="false" customHeight="true" outlineLevel="0" collapsed="false">
      <c r="A888" s="4" t="s">
        <v>3289</v>
      </c>
      <c r="B888" s="4" t="s">
        <v>3758</v>
      </c>
      <c r="C888" s="4" t="s">
        <v>3759</v>
      </c>
      <c r="D888" s="4" t="s">
        <v>3292</v>
      </c>
      <c r="E888" s="5" t="n">
        <v>29076</v>
      </c>
      <c r="F888" s="4" t="n">
        <v>1</v>
      </c>
      <c r="G888" s="4" t="s">
        <v>3760</v>
      </c>
      <c r="H888" s="4" t="n">
        <v>41.56569</v>
      </c>
      <c r="I888" s="4" t="n">
        <v>-87.54963</v>
      </c>
      <c r="J888" s="4" t="s">
        <v>3761</v>
      </c>
      <c r="K888" s="6" t="str">
        <f aca="false">HYPERLINK("https://www.google.com/search?q=Lansing+Public+Library+Lansing+IL+library+website","Search")</f>
        <v>Search</v>
      </c>
      <c r="L888" s="7"/>
      <c r="M888" s="7"/>
    </row>
    <row r="889" customFormat="false" ht="15" hidden="false" customHeight="true" outlineLevel="0" collapsed="false">
      <c r="A889" s="4" t="s">
        <v>3289</v>
      </c>
      <c r="B889" s="4" t="s">
        <v>3762</v>
      </c>
      <c r="C889" s="4" t="s">
        <v>2699</v>
      </c>
      <c r="D889" s="4" t="s">
        <v>279</v>
      </c>
      <c r="E889" s="5" t="n">
        <v>15281</v>
      </c>
      <c r="F889" s="4" t="n">
        <v>1</v>
      </c>
      <c r="G889" s="4" t="s">
        <v>3763</v>
      </c>
      <c r="H889" s="4" t="n">
        <v>38.72796</v>
      </c>
      <c r="I889" s="4" t="n">
        <v>-87.68318</v>
      </c>
      <c r="J889" s="4" t="s">
        <v>3764</v>
      </c>
      <c r="K889" s="6" t="str">
        <f aca="false">HYPERLINK("https://www.google.com/search?q=Lawrence+Public+Library+District+Lawrenceville+IL+library+website","Search")</f>
        <v>Search</v>
      </c>
      <c r="L889" s="7"/>
      <c r="M889" s="7"/>
    </row>
    <row r="890" customFormat="false" ht="15" hidden="false" customHeight="true" outlineLevel="0" collapsed="false">
      <c r="A890" s="4" t="s">
        <v>3289</v>
      </c>
      <c r="B890" s="4" t="s">
        <v>3765</v>
      </c>
      <c r="C890" s="4" t="s">
        <v>3766</v>
      </c>
      <c r="D890" s="4" t="s">
        <v>3292</v>
      </c>
      <c r="E890" s="5" t="n">
        <v>23182</v>
      </c>
      <c r="F890" s="4" t="n">
        <v>1</v>
      </c>
      <c r="G890" s="4" t="s">
        <v>3767</v>
      </c>
      <c r="H890" s="4" t="n">
        <v>41.65869</v>
      </c>
      <c r="I890" s="4" t="n">
        <v>-88.00361</v>
      </c>
      <c r="J890" s="4" t="s">
        <v>3768</v>
      </c>
      <c r="K890" s="6" t="str">
        <f aca="false">HYPERLINK("https://www.google.com/search?q=Lemont+Public+Library+District+Lemont+IL+library+website","Search")</f>
        <v>Search</v>
      </c>
      <c r="L890" s="7"/>
      <c r="M890" s="7"/>
    </row>
    <row r="891" customFormat="false" ht="15" hidden="false" customHeight="true" outlineLevel="0" collapsed="false">
      <c r="A891" s="4" t="s">
        <v>3289</v>
      </c>
      <c r="B891" s="4" t="s">
        <v>3769</v>
      </c>
      <c r="C891" s="4" t="s">
        <v>3770</v>
      </c>
      <c r="D891" s="4" t="s">
        <v>3429</v>
      </c>
      <c r="E891" s="5" t="n">
        <v>114394</v>
      </c>
      <c r="F891" s="4" t="n">
        <v>1</v>
      </c>
      <c r="G891" s="4" t="s">
        <v>3771</v>
      </c>
      <c r="H891" s="4" t="n">
        <v>39.79862</v>
      </c>
      <c r="I891" s="4" t="n">
        <v>-89.64649</v>
      </c>
      <c r="J891" s="4" t="s">
        <v>3772</v>
      </c>
      <c r="K891" s="6" t="str">
        <f aca="false">HYPERLINK("https://www.google.com/search?q=Lincoln+Library+Springfield+IL+library+website","Search")</f>
        <v>Search</v>
      </c>
      <c r="L891" s="7"/>
      <c r="M891" s="7"/>
    </row>
    <row r="892" customFormat="false" ht="15" hidden="false" customHeight="true" outlineLevel="0" collapsed="false">
      <c r="A892" s="4" t="s">
        <v>3289</v>
      </c>
      <c r="B892" s="4" t="s">
        <v>3773</v>
      </c>
      <c r="C892" s="4" t="s">
        <v>1131</v>
      </c>
      <c r="D892" s="4" t="s">
        <v>1763</v>
      </c>
      <c r="E892" s="5" t="n">
        <v>13310</v>
      </c>
      <c r="F892" s="4" t="n">
        <v>2</v>
      </c>
      <c r="G892" s="4" t="s">
        <v>3774</v>
      </c>
      <c r="H892" s="4" t="n">
        <v>40.14712</v>
      </c>
      <c r="I892" s="4" t="n">
        <v>-89.36092</v>
      </c>
      <c r="J892" s="4" t="s">
        <v>3775</v>
      </c>
      <c r="K892" s="6" t="str">
        <f aca="false">HYPERLINK("https://www.google.com/search?q=Lincoln+Public+Library+District+Lincoln+IL+library+website","Search")</f>
        <v>Search</v>
      </c>
      <c r="L892" s="7"/>
      <c r="M892" s="7"/>
    </row>
    <row r="893" customFormat="false" ht="15" hidden="false" customHeight="true" outlineLevel="0" collapsed="false">
      <c r="A893" s="4" t="s">
        <v>3289</v>
      </c>
      <c r="B893" s="4" t="s">
        <v>3776</v>
      </c>
      <c r="C893" s="4" t="s">
        <v>3777</v>
      </c>
      <c r="D893" s="4" t="s">
        <v>3292</v>
      </c>
      <c r="E893" s="5" t="n">
        <v>13469</v>
      </c>
      <c r="F893" s="4" t="n">
        <v>1</v>
      </c>
      <c r="G893" s="4" t="s">
        <v>3778</v>
      </c>
      <c r="H893" s="4" t="n">
        <v>42.00452</v>
      </c>
      <c r="I893" s="4" t="n">
        <v>-87.72925</v>
      </c>
      <c r="J893" s="4" t="s">
        <v>3779</v>
      </c>
      <c r="K893" s="6" t="str">
        <f aca="false">HYPERLINK("https://www.google.com/search?q=Lincolnwood+Public+Library+District+Lincolnwood+IL+library+website","Search")</f>
        <v>Search</v>
      </c>
      <c r="L893" s="7"/>
      <c r="M893" s="7"/>
    </row>
    <row r="894" customFormat="false" ht="15" hidden="false" customHeight="true" outlineLevel="0" collapsed="false">
      <c r="A894" s="4" t="s">
        <v>3289</v>
      </c>
      <c r="B894" s="4" t="s">
        <v>3780</v>
      </c>
      <c r="C894" s="4" t="s">
        <v>1849</v>
      </c>
      <c r="D894" s="4" t="s">
        <v>3292</v>
      </c>
      <c r="E894" s="5" t="n">
        <v>19476</v>
      </c>
      <c r="F894" s="4" t="n">
        <v>1</v>
      </c>
      <c r="G894" s="4" t="s">
        <v>3781</v>
      </c>
      <c r="H894" s="4" t="n">
        <v>41.82538</v>
      </c>
      <c r="I894" s="4" t="n">
        <v>-87.84837</v>
      </c>
      <c r="J894" s="4" t="s">
        <v>3782</v>
      </c>
      <c r="K894" s="6" t="str">
        <f aca="false">HYPERLINK("https://www.google.com/search?q=Linda+Sokol+Francis+Brookfield+Library+Brookfield+IL+library+website","Search")</f>
        <v>Search</v>
      </c>
      <c r="L894" s="7"/>
      <c r="M894" s="7"/>
    </row>
    <row r="895" customFormat="false" ht="15" hidden="false" customHeight="true" outlineLevel="0" collapsed="false">
      <c r="A895" s="4" t="s">
        <v>3289</v>
      </c>
      <c r="B895" s="4" t="s">
        <v>3783</v>
      </c>
      <c r="C895" s="4" t="s">
        <v>3784</v>
      </c>
      <c r="D895" s="4" t="s">
        <v>3297</v>
      </c>
      <c r="E895" s="5" t="n">
        <v>30281</v>
      </c>
      <c r="F895" s="4" t="n">
        <v>1</v>
      </c>
      <c r="G895" s="4" t="s">
        <v>3785</v>
      </c>
      <c r="H895" s="4" t="n">
        <v>41.79684</v>
      </c>
      <c r="I895" s="4" t="n">
        <v>-88.06695</v>
      </c>
      <c r="J895" s="4" t="s">
        <v>3786</v>
      </c>
      <c r="K895" s="6" t="str">
        <f aca="false">HYPERLINK("https://www.google.com/search?q=Lisle+Library+District+Lisle+IL+library+website","Search")</f>
        <v>Search</v>
      </c>
      <c r="L895" s="7"/>
      <c r="M895" s="7"/>
    </row>
    <row r="896" customFormat="false" ht="15" hidden="false" customHeight="true" outlineLevel="0" collapsed="false">
      <c r="A896" s="4" t="s">
        <v>3289</v>
      </c>
      <c r="B896" s="4" t="s">
        <v>3787</v>
      </c>
      <c r="C896" s="4" t="s">
        <v>3788</v>
      </c>
      <c r="D896" s="4" t="s">
        <v>3292</v>
      </c>
      <c r="E896" s="5" t="n">
        <v>10817</v>
      </c>
      <c r="F896" s="4" t="n">
        <v>1</v>
      </c>
      <c r="G896" s="4" t="s">
        <v>3789</v>
      </c>
      <c r="H896" s="4" t="n">
        <v>41.81495</v>
      </c>
      <c r="I896" s="4" t="n">
        <v>-87.82084</v>
      </c>
      <c r="J896" s="4" t="s">
        <v>3790</v>
      </c>
      <c r="K896" s="6" t="str">
        <f aca="false">HYPERLINK("https://www.google.com/search?q=Lyons+Public+Library+Lyons+IL+library+website","Search")</f>
        <v>Search</v>
      </c>
      <c r="L896" s="7"/>
      <c r="M896" s="7"/>
    </row>
    <row r="897" customFormat="false" ht="15" hidden="false" customHeight="true" outlineLevel="0" collapsed="false">
      <c r="A897" s="4" t="s">
        <v>3289</v>
      </c>
      <c r="B897" s="4" t="s">
        <v>3791</v>
      </c>
      <c r="C897" s="4" t="s">
        <v>3792</v>
      </c>
      <c r="D897" s="4" t="s">
        <v>2714</v>
      </c>
      <c r="E897" s="5" t="n">
        <v>15051</v>
      </c>
      <c r="F897" s="4" t="n">
        <v>1</v>
      </c>
      <c r="G897" s="4" t="s">
        <v>3793</v>
      </c>
      <c r="H897" s="4" t="n">
        <v>40.45666</v>
      </c>
      <c r="I897" s="4" t="n">
        <v>-90.67174</v>
      </c>
      <c r="J897" s="4" t="s">
        <v>3794</v>
      </c>
      <c r="K897" s="6" t="str">
        <f aca="false">HYPERLINK("https://www.google.com/search?q=Macomb+Public+Library+District+Macomb+IL+library+website","Search")</f>
        <v>Search</v>
      </c>
      <c r="L897" s="7"/>
      <c r="M897" s="7"/>
    </row>
    <row r="898" customFormat="false" ht="15" hidden="false" customHeight="true" outlineLevel="0" collapsed="false">
      <c r="A898" s="4" t="s">
        <v>3289</v>
      </c>
      <c r="B898" s="4" t="s">
        <v>3795</v>
      </c>
      <c r="C898" s="4" t="s">
        <v>3796</v>
      </c>
      <c r="D898" s="4" t="s">
        <v>3420</v>
      </c>
      <c r="E898" s="5" t="n">
        <v>13697</v>
      </c>
      <c r="F898" s="4" t="n">
        <v>1</v>
      </c>
      <c r="G898" s="4" t="s">
        <v>3797</v>
      </c>
      <c r="H898" s="4" t="n">
        <v>40.18611</v>
      </c>
      <c r="I898" s="4" t="n">
        <v>-88.37592</v>
      </c>
      <c r="J898" s="4" t="s">
        <v>3798</v>
      </c>
      <c r="K898" s="6" t="str">
        <f aca="false">HYPERLINK("https://www.google.com/search?q=Mahomet+Public+Library+District+Mahomet+IL+library+website","Search")</f>
        <v>Search</v>
      </c>
      <c r="L898" s="7"/>
      <c r="M898" s="7"/>
    </row>
    <row r="899" customFormat="false" ht="15" hidden="false" customHeight="true" outlineLevel="0" collapsed="false">
      <c r="A899" s="4" t="s">
        <v>3289</v>
      </c>
      <c r="B899" s="4" t="s">
        <v>3799</v>
      </c>
      <c r="C899" s="4" t="s">
        <v>3800</v>
      </c>
      <c r="D899" s="4" t="s">
        <v>3471</v>
      </c>
      <c r="E899" s="5" t="n">
        <v>15255</v>
      </c>
      <c r="F899" s="4" t="n">
        <v>1</v>
      </c>
      <c r="G899" s="4" t="s">
        <v>3801</v>
      </c>
      <c r="H899" s="4" t="n">
        <v>41.42125</v>
      </c>
      <c r="I899" s="4" t="n">
        <v>-87.98401</v>
      </c>
      <c r="J899" s="4" t="s">
        <v>3802</v>
      </c>
      <c r="K899" s="6" t="str">
        <f aca="false">HYPERLINK("https://www.google.com/search?q=Manhattan-Elwood+Public+Library+District+Manhattan+IL+library+website","Search")</f>
        <v>Search</v>
      </c>
      <c r="L899" s="7"/>
      <c r="M899" s="7"/>
    </row>
    <row r="900" customFormat="false" ht="15" hidden="false" customHeight="true" outlineLevel="0" collapsed="false">
      <c r="A900" s="4" t="s">
        <v>3289</v>
      </c>
      <c r="B900" s="4" t="s">
        <v>3803</v>
      </c>
      <c r="C900" s="4" t="s">
        <v>3804</v>
      </c>
      <c r="D900" s="4" t="s">
        <v>3380</v>
      </c>
      <c r="E900" s="5" t="n">
        <v>12351</v>
      </c>
      <c r="F900" s="4" t="n">
        <v>1</v>
      </c>
      <c r="G900" s="4" t="s">
        <v>3805</v>
      </c>
      <c r="H900" s="4" t="n">
        <v>41.24912</v>
      </c>
      <c r="I900" s="4" t="n">
        <v>-87.83689</v>
      </c>
      <c r="J900" s="4" t="s">
        <v>3806</v>
      </c>
      <c r="K900" s="6" t="str">
        <f aca="false">HYPERLINK("https://www.google.com/search?q=Manteno+Public+Library+District+Manteno+IL+library+website","Search")</f>
        <v>Search</v>
      </c>
      <c r="L900" s="7"/>
      <c r="M900" s="7"/>
    </row>
    <row r="901" customFormat="false" ht="15" hidden="false" customHeight="true" outlineLevel="0" collapsed="false">
      <c r="A901" s="4" t="s">
        <v>3289</v>
      </c>
      <c r="B901" s="4" t="s">
        <v>3807</v>
      </c>
      <c r="C901" s="4" t="s">
        <v>161</v>
      </c>
      <c r="D901" s="4" t="s">
        <v>3302</v>
      </c>
      <c r="E901" s="5" t="n">
        <v>13628</v>
      </c>
      <c r="F901" s="4" t="n">
        <v>1</v>
      </c>
      <c r="G901" s="4" t="s">
        <v>3808</v>
      </c>
      <c r="H901" s="4" t="n">
        <v>42.23803</v>
      </c>
      <c r="I901" s="4" t="n">
        <v>-88.58252</v>
      </c>
      <c r="J901" s="4" t="s">
        <v>3809</v>
      </c>
      <c r="K901" s="6" t="str">
        <f aca="false">HYPERLINK("https://www.google.com/search?q=Marengo-Union+Public+Library+District+Marengo+IL+library+website","Search")</f>
        <v>Search</v>
      </c>
      <c r="L901" s="7"/>
      <c r="M901" s="7"/>
    </row>
    <row r="902" customFormat="false" ht="15" hidden="false" customHeight="true" outlineLevel="0" collapsed="false">
      <c r="A902" s="4" t="s">
        <v>3289</v>
      </c>
      <c r="B902" s="4" t="s">
        <v>3810</v>
      </c>
      <c r="C902" s="4" t="s">
        <v>572</v>
      </c>
      <c r="D902" s="4" t="s">
        <v>3315</v>
      </c>
      <c r="E902" s="5" t="n">
        <v>16855</v>
      </c>
      <c r="F902" s="4" t="n">
        <v>1</v>
      </c>
      <c r="G902" s="4" t="s">
        <v>3811</v>
      </c>
      <c r="H902" s="4" t="n">
        <v>37.72952</v>
      </c>
      <c r="I902" s="4" t="n">
        <v>-88.92719</v>
      </c>
      <c r="J902" s="4" t="s">
        <v>3812</v>
      </c>
      <c r="K902" s="6" t="str">
        <f aca="false">HYPERLINK("https://www.google.com/search?q=Marion+Carnegie+Library+Marion+IL+library+website","Search")</f>
        <v>Search</v>
      </c>
      <c r="L902" s="7"/>
      <c r="M902" s="7"/>
    </row>
    <row r="903" customFormat="false" ht="15" hidden="false" customHeight="true" outlineLevel="0" collapsed="false">
      <c r="A903" s="4" t="s">
        <v>3289</v>
      </c>
      <c r="B903" s="4" t="s">
        <v>3813</v>
      </c>
      <c r="C903" s="4" t="s">
        <v>3814</v>
      </c>
      <c r="D903" s="4" t="s">
        <v>3292</v>
      </c>
      <c r="E903" s="5" t="n">
        <v>11661</v>
      </c>
      <c r="F903" s="4" t="n">
        <v>1</v>
      </c>
      <c r="G903" s="4" t="s">
        <v>3815</v>
      </c>
      <c r="H903" s="4" t="n">
        <v>41.5866</v>
      </c>
      <c r="I903" s="4" t="n">
        <v>-87.69458</v>
      </c>
      <c r="J903" s="4" t="s">
        <v>3816</v>
      </c>
      <c r="K903" s="6" t="str">
        <f aca="false">HYPERLINK("https://www.google.com/search?q=Markham+Public+Library+Markham+IL+library+website","Search")</f>
        <v>Search</v>
      </c>
      <c r="L903" s="7"/>
      <c r="M903" s="8" t="str">
        <f aca="false">HYPERLINK("https://markham.overdrive.com","https://markham.overdrive.com")</f>
        <v>https://markham.overdrive.com</v>
      </c>
    </row>
    <row r="904" customFormat="false" ht="15" hidden="false" customHeight="true" outlineLevel="0" collapsed="false">
      <c r="A904" s="4" t="s">
        <v>3289</v>
      </c>
      <c r="B904" s="4" t="s">
        <v>3817</v>
      </c>
      <c r="C904" s="4" t="s">
        <v>3818</v>
      </c>
      <c r="D904" s="4" t="s">
        <v>261</v>
      </c>
      <c r="E904" s="5" t="n">
        <v>10514</v>
      </c>
      <c r="F904" s="4" t="n">
        <v>1</v>
      </c>
      <c r="G904" s="4" t="s">
        <v>3819</v>
      </c>
      <c r="H904" s="4" t="n">
        <v>38.73071</v>
      </c>
      <c r="I904" s="4" t="n">
        <v>-89.95027</v>
      </c>
      <c r="J904" s="4" t="s">
        <v>3820</v>
      </c>
      <c r="K904" s="6" t="str">
        <f aca="false">HYPERLINK("https://www.google.com/search?q=Maryville+Community+Library+District+Maryville+IL+library+website","Search")</f>
        <v>Search</v>
      </c>
      <c r="L904" s="7"/>
      <c r="M904" s="7"/>
    </row>
    <row r="905" customFormat="false" ht="15" hidden="false" customHeight="true" outlineLevel="0" collapsed="false">
      <c r="A905" s="4" t="s">
        <v>3289</v>
      </c>
      <c r="B905" s="4" t="s">
        <v>3821</v>
      </c>
      <c r="C905" s="4" t="s">
        <v>3822</v>
      </c>
      <c r="D905" s="4" t="s">
        <v>3292</v>
      </c>
      <c r="E905" s="5" t="n">
        <v>19519</v>
      </c>
      <c r="F905" s="4" t="n">
        <v>1</v>
      </c>
      <c r="G905" s="4" t="s">
        <v>3823</v>
      </c>
      <c r="H905" s="4" t="n">
        <v>41.51276</v>
      </c>
      <c r="I905" s="4" t="n">
        <v>-87.72597</v>
      </c>
      <c r="J905" s="4" t="s">
        <v>3824</v>
      </c>
      <c r="K905" s="6" t="str">
        <f aca="false">HYPERLINK("https://www.google.com/search?q=Matteson+Area+Public+Library+District+Matteson+IL+library+website","Search")</f>
        <v>Search</v>
      </c>
      <c r="L905" s="7"/>
      <c r="M905" s="7"/>
    </row>
    <row r="906" customFormat="false" ht="15" hidden="false" customHeight="true" outlineLevel="0" collapsed="false">
      <c r="A906" s="4" t="s">
        <v>3289</v>
      </c>
      <c r="B906" s="4" t="s">
        <v>3825</v>
      </c>
      <c r="C906" s="4" t="s">
        <v>3826</v>
      </c>
      <c r="D906" s="4" t="s">
        <v>3425</v>
      </c>
      <c r="E906" s="5" t="n">
        <v>16870</v>
      </c>
      <c r="F906" s="4" t="n">
        <v>1</v>
      </c>
      <c r="G906" s="4" t="s">
        <v>3827</v>
      </c>
      <c r="H906" s="4" t="n">
        <v>39.48157</v>
      </c>
      <c r="I906" s="4" t="n">
        <v>-88.37426</v>
      </c>
      <c r="J906" s="4" t="s">
        <v>3828</v>
      </c>
      <c r="K906" s="6" t="str">
        <f aca="false">HYPERLINK("https://www.google.com/search?q=Mattoon+Public+Library+Mattoon+IL+library+website","Search")</f>
        <v>Search</v>
      </c>
      <c r="L906" s="7"/>
      <c r="M906" s="7"/>
    </row>
    <row r="907" customFormat="false" ht="15" hidden="false" customHeight="true" outlineLevel="0" collapsed="false">
      <c r="A907" s="4" t="s">
        <v>3289</v>
      </c>
      <c r="B907" s="4" t="s">
        <v>3829</v>
      </c>
      <c r="C907" s="4" t="s">
        <v>3830</v>
      </c>
      <c r="D907" s="4" t="s">
        <v>3292</v>
      </c>
      <c r="E907" s="5" t="n">
        <v>23568</v>
      </c>
      <c r="F907" s="4" t="n">
        <v>1</v>
      </c>
      <c r="G907" s="4" t="s">
        <v>3831</v>
      </c>
      <c r="H907" s="4" t="n">
        <v>41.88665</v>
      </c>
      <c r="I907" s="4" t="n">
        <v>-87.83915</v>
      </c>
      <c r="J907" s="4" t="s">
        <v>3832</v>
      </c>
      <c r="K907" s="6" t="str">
        <f aca="false">HYPERLINK("https://www.google.com/search?q=Maywood+Public+Library+District+Maywood+IL+library+website","Search")</f>
        <v>Search</v>
      </c>
      <c r="L907" s="7"/>
      <c r="M907" s="7"/>
    </row>
    <row r="908" customFormat="false" ht="15" hidden="false" customHeight="true" outlineLevel="0" collapsed="false">
      <c r="A908" s="4" t="s">
        <v>3289</v>
      </c>
      <c r="B908" s="4" t="s">
        <v>3833</v>
      </c>
      <c r="C908" s="4" t="s">
        <v>3302</v>
      </c>
      <c r="D908" s="4" t="s">
        <v>3302</v>
      </c>
      <c r="E908" s="5" t="n">
        <v>41852</v>
      </c>
      <c r="F908" s="4" t="n">
        <v>1</v>
      </c>
      <c r="G908" s="4" t="s">
        <v>3834</v>
      </c>
      <c r="H908" s="4" t="n">
        <v>42.33914</v>
      </c>
      <c r="I908" s="4" t="n">
        <v>-88.27463</v>
      </c>
      <c r="J908" s="4" t="s">
        <v>3835</v>
      </c>
      <c r="K908" s="6" t="str">
        <f aca="false">HYPERLINK("https://www.google.com/search?q=Mchenry+Public+Library+District+Mchenry+IL+library+website","Search")</f>
        <v>Search</v>
      </c>
      <c r="L908" s="7"/>
      <c r="M908" s="7"/>
    </row>
    <row r="909" customFormat="false" ht="15" hidden="false" customHeight="true" outlineLevel="0" collapsed="false">
      <c r="A909" s="4" t="s">
        <v>3289</v>
      </c>
      <c r="B909" s="4" t="s">
        <v>3836</v>
      </c>
      <c r="C909" s="4" t="s">
        <v>3837</v>
      </c>
      <c r="D909" s="4" t="s">
        <v>3292</v>
      </c>
      <c r="E909" s="5" t="n">
        <v>24796</v>
      </c>
      <c r="F909" s="4" t="n">
        <v>1</v>
      </c>
      <c r="G909" s="4" t="s">
        <v>3838</v>
      </c>
      <c r="H909" s="4" t="n">
        <v>41.89416</v>
      </c>
      <c r="I909" s="4" t="n">
        <v>-87.85657</v>
      </c>
      <c r="J909" s="4" t="s">
        <v>3839</v>
      </c>
      <c r="K909" s="6" t="str">
        <f aca="false">HYPERLINK("https://www.google.com/search?q=Melrose+Park+Public+Library+Melrose+Park+IL+library+website","Search")</f>
        <v>Search</v>
      </c>
      <c r="L909" s="7"/>
      <c r="M909" s="7"/>
    </row>
    <row r="910" customFormat="false" ht="15" hidden="false" customHeight="true" outlineLevel="0" collapsed="false">
      <c r="A910" s="4" t="s">
        <v>3289</v>
      </c>
      <c r="B910" s="4" t="s">
        <v>3840</v>
      </c>
      <c r="C910" s="4" t="s">
        <v>3841</v>
      </c>
      <c r="D910" s="4" t="s">
        <v>3327</v>
      </c>
      <c r="E910" s="5" t="n">
        <v>18261</v>
      </c>
      <c r="F910" s="4" t="n">
        <v>1</v>
      </c>
      <c r="G910" s="4" t="s">
        <v>3842</v>
      </c>
      <c r="H910" s="4" t="n">
        <v>41.80796</v>
      </c>
      <c r="I910" s="4" t="n">
        <v>-88.32863</v>
      </c>
      <c r="J910" s="4" t="s">
        <v>3843</v>
      </c>
      <c r="K910" s="6" t="str">
        <f aca="false">HYPERLINK("https://www.google.com/search?q=Messenger+Public+Library+Of+North+Aurora+North+Aurora+IL+library+website","Search")</f>
        <v>Search</v>
      </c>
      <c r="L910" s="7"/>
      <c r="M910" s="7"/>
    </row>
    <row r="911" customFormat="false" ht="15" hidden="false" customHeight="true" outlineLevel="0" collapsed="false">
      <c r="A911" s="4" t="s">
        <v>3289</v>
      </c>
      <c r="B911" s="4" t="s">
        <v>3844</v>
      </c>
      <c r="C911" s="4" t="s">
        <v>3845</v>
      </c>
      <c r="D911" s="4" t="s">
        <v>3292</v>
      </c>
      <c r="E911" s="5" t="n">
        <v>14325</v>
      </c>
      <c r="F911" s="4" t="n">
        <v>1</v>
      </c>
      <c r="G911" s="4" t="s">
        <v>3846</v>
      </c>
      <c r="H911" s="4" t="n">
        <v>41.62489</v>
      </c>
      <c r="I911" s="4" t="n">
        <v>-87.73237</v>
      </c>
      <c r="J911" s="4" t="s">
        <v>3847</v>
      </c>
      <c r="K911" s="6" t="str">
        <f aca="false">HYPERLINK("https://www.google.com/search?q=Midlothian+Public+Library+Midlothian+IL+library+website","Search")</f>
        <v>Search</v>
      </c>
      <c r="L911" s="7"/>
      <c r="M911" s="7"/>
    </row>
    <row r="912" customFormat="false" ht="15" hidden="false" customHeight="true" outlineLevel="0" collapsed="false">
      <c r="A912" s="4" t="s">
        <v>3289</v>
      </c>
      <c r="B912" s="4" t="s">
        <v>3848</v>
      </c>
      <c r="C912" s="4" t="s">
        <v>3849</v>
      </c>
      <c r="D912" s="4" t="s">
        <v>261</v>
      </c>
      <c r="E912" s="5" t="n">
        <v>33081</v>
      </c>
      <c r="F912" s="4" t="n">
        <v>2</v>
      </c>
      <c r="G912" s="4" t="s">
        <v>3850</v>
      </c>
      <c r="H912" s="4" t="n">
        <v>38.66861</v>
      </c>
      <c r="I912" s="4" t="n">
        <v>-89.99042</v>
      </c>
      <c r="J912" s="4" t="s">
        <v>3851</v>
      </c>
      <c r="K912" s="6" t="str">
        <f aca="false">HYPERLINK("https://www.google.com/search?q=Mississippi+Valley+Library+District+Collinsville+IL+library+website","Search")</f>
        <v>Search</v>
      </c>
      <c r="L912" s="7"/>
      <c r="M912" s="7"/>
    </row>
    <row r="913" customFormat="false" ht="15" hidden="false" customHeight="true" outlineLevel="0" collapsed="false">
      <c r="A913" s="4" t="s">
        <v>3289</v>
      </c>
      <c r="B913" s="4" t="s">
        <v>3852</v>
      </c>
      <c r="C913" s="4" t="s">
        <v>3853</v>
      </c>
      <c r="D913" s="4" t="s">
        <v>3471</v>
      </c>
      <c r="E913" s="5" t="n">
        <v>19940</v>
      </c>
      <c r="F913" s="4" t="n">
        <v>1</v>
      </c>
      <c r="G913" s="4" t="s">
        <v>3854</v>
      </c>
      <c r="H913" s="4" t="n">
        <v>41.53506</v>
      </c>
      <c r="I913" s="4" t="n">
        <v>-87.89165</v>
      </c>
      <c r="J913" s="4" t="s">
        <v>3855</v>
      </c>
      <c r="K913" s="6" t="str">
        <f aca="false">HYPERLINK("https://www.google.com/search?q=Mokena+Community+Public+Library+District+Mokena+IL+library+website","Search")</f>
        <v>Search</v>
      </c>
      <c r="L913" s="7"/>
      <c r="M913" s="7"/>
    </row>
    <row r="914" customFormat="false" ht="15" hidden="false" customHeight="true" outlineLevel="0" collapsed="false">
      <c r="A914" s="4" t="s">
        <v>3289</v>
      </c>
      <c r="B914" s="4" t="s">
        <v>3856</v>
      </c>
      <c r="C914" s="4" t="s">
        <v>3857</v>
      </c>
      <c r="D914" s="4" t="s">
        <v>3510</v>
      </c>
      <c r="E914" s="5" t="n">
        <v>42985</v>
      </c>
      <c r="F914" s="4" t="n">
        <v>1</v>
      </c>
      <c r="G914" s="4" t="s">
        <v>3858</v>
      </c>
      <c r="H914" s="4" t="n">
        <v>41.4807</v>
      </c>
      <c r="I914" s="4" t="n">
        <v>-90.47873</v>
      </c>
      <c r="J914" s="4" t="s">
        <v>3859</v>
      </c>
      <c r="K914" s="6" t="str">
        <f aca="false">HYPERLINK("https://www.google.com/search?q=Moline+Public+Library+Moline+IL+library+website","Search")</f>
        <v>Search</v>
      </c>
      <c r="L914" s="7"/>
      <c r="M914" s="7"/>
    </row>
    <row r="915" customFormat="false" ht="15" hidden="false" customHeight="true" outlineLevel="0" collapsed="false">
      <c r="A915" s="4" t="s">
        <v>3289</v>
      </c>
      <c r="B915" s="4" t="s">
        <v>3860</v>
      </c>
      <c r="C915" s="4" t="s">
        <v>3861</v>
      </c>
      <c r="D915" s="4" t="s">
        <v>3459</v>
      </c>
      <c r="E915" s="5" t="n">
        <v>18914</v>
      </c>
      <c r="F915" s="4" t="n">
        <v>1</v>
      </c>
      <c r="G915" s="4" t="s">
        <v>3862</v>
      </c>
      <c r="H915" s="4" t="n">
        <v>41.36142</v>
      </c>
      <c r="I915" s="4" t="n">
        <v>-88.42395</v>
      </c>
      <c r="J915" s="4" t="s">
        <v>3863</v>
      </c>
      <c r="K915" s="6" t="str">
        <f aca="false">HYPERLINK("https://www.google.com/search?q=Morris+Area+Public+Library+District+Morris+IL+library+website","Search")</f>
        <v>Search</v>
      </c>
      <c r="L915" s="7"/>
      <c r="M915" s="7"/>
    </row>
    <row r="916" customFormat="false" ht="15" hidden="false" customHeight="true" outlineLevel="0" collapsed="false">
      <c r="A916" s="4" t="s">
        <v>3289</v>
      </c>
      <c r="B916" s="4" t="s">
        <v>3864</v>
      </c>
      <c r="C916" s="4" t="s">
        <v>3139</v>
      </c>
      <c r="D916" s="4" t="s">
        <v>311</v>
      </c>
      <c r="E916" s="5" t="n">
        <v>11013</v>
      </c>
      <c r="F916" s="4" t="n">
        <v>1</v>
      </c>
      <c r="G916" s="4" t="s">
        <v>3865</v>
      </c>
      <c r="H916" s="4" t="n">
        <v>38.33263</v>
      </c>
      <c r="I916" s="4" t="n">
        <v>-90.15228</v>
      </c>
      <c r="J916" s="4" t="s">
        <v>3866</v>
      </c>
      <c r="K916" s="6" t="str">
        <f aca="false">HYPERLINK("https://www.google.com/search?q=Morrison-Talbott+Library+Waterloo+IL+library+website","Search")</f>
        <v>Search</v>
      </c>
      <c r="L916" s="7"/>
      <c r="M916" s="7"/>
    </row>
    <row r="917" customFormat="false" ht="15" hidden="false" customHeight="true" outlineLevel="0" collapsed="false">
      <c r="A917" s="4" t="s">
        <v>3289</v>
      </c>
      <c r="B917" s="4" t="s">
        <v>3867</v>
      </c>
      <c r="C917" s="4" t="s">
        <v>3868</v>
      </c>
      <c r="D917" s="4" t="s">
        <v>3292</v>
      </c>
      <c r="E917" s="5" t="n">
        <v>25297</v>
      </c>
      <c r="F917" s="4" t="n">
        <v>1</v>
      </c>
      <c r="G917" s="4" t="s">
        <v>3869</v>
      </c>
      <c r="H917" s="4" t="n">
        <v>42.03538</v>
      </c>
      <c r="I917" s="4" t="n">
        <v>-87.78082</v>
      </c>
      <c r="J917" s="4" t="s">
        <v>3870</v>
      </c>
      <c r="K917" s="6" t="str">
        <f aca="false">HYPERLINK("https://www.google.com/search?q=Morton+Grove+Public+Library+Morton+Grove+IL+library+website","Search")</f>
        <v>Search</v>
      </c>
      <c r="L917" s="7"/>
      <c r="M917" s="7"/>
    </row>
    <row r="918" customFormat="false" ht="15" hidden="false" customHeight="true" outlineLevel="0" collapsed="false">
      <c r="A918" s="4" t="s">
        <v>3289</v>
      </c>
      <c r="B918" s="4" t="s">
        <v>3871</v>
      </c>
      <c r="C918" s="4" t="s">
        <v>3872</v>
      </c>
      <c r="D918" s="4" t="s">
        <v>3572</v>
      </c>
      <c r="E918" s="5" t="n">
        <v>17117</v>
      </c>
      <c r="F918" s="4" t="n">
        <v>1</v>
      </c>
      <c r="G918" s="4" t="s">
        <v>3873</v>
      </c>
      <c r="H918" s="4" t="n">
        <v>40.61207</v>
      </c>
      <c r="I918" s="4" t="n">
        <v>-89.46447</v>
      </c>
      <c r="J918" s="4" t="s">
        <v>3874</v>
      </c>
      <c r="K918" s="6" t="str">
        <f aca="false">HYPERLINK("https://www.google.com/search?q=Morton+Public+Library+District+Morton+IL+library+website","Search")</f>
        <v>Search</v>
      </c>
      <c r="L918" s="7"/>
      <c r="M918" s="7"/>
    </row>
    <row r="919" customFormat="false" ht="15" hidden="false" customHeight="true" outlineLevel="0" collapsed="false">
      <c r="A919" s="4" t="s">
        <v>3289</v>
      </c>
      <c r="B919" s="4" t="s">
        <v>3875</v>
      </c>
      <c r="C919" s="4" t="s">
        <v>3876</v>
      </c>
      <c r="D919" s="4" t="s">
        <v>3292</v>
      </c>
      <c r="E919" s="5" t="n">
        <v>56852</v>
      </c>
      <c r="F919" s="4" t="n">
        <v>2</v>
      </c>
      <c r="G919" s="4" t="s">
        <v>3877</v>
      </c>
      <c r="H919" s="4" t="n">
        <v>42.06575</v>
      </c>
      <c r="I919" s="4" t="n">
        <v>-87.93541</v>
      </c>
      <c r="J919" s="4" t="s">
        <v>3878</v>
      </c>
      <c r="K919" s="6" t="str">
        <f aca="false">HYPERLINK("https://www.google.com/search?q=Mount+Prospect+Public+Library+Mount+Prospect+IL+library+website","Search")</f>
        <v>Search</v>
      </c>
      <c r="L919" s="7"/>
      <c r="M919" s="7"/>
    </row>
    <row r="920" customFormat="false" ht="15" hidden="false" customHeight="true" outlineLevel="0" collapsed="false">
      <c r="A920" s="4" t="s">
        <v>3289</v>
      </c>
      <c r="B920" s="4" t="s">
        <v>3879</v>
      </c>
      <c r="C920" s="4" t="s">
        <v>3880</v>
      </c>
      <c r="D920" s="4" t="s">
        <v>293</v>
      </c>
      <c r="E920" s="5" t="n">
        <v>12467</v>
      </c>
      <c r="F920" s="4" t="n">
        <v>1</v>
      </c>
      <c r="G920" s="4" t="s">
        <v>3881</v>
      </c>
      <c r="H920" s="4" t="n">
        <v>39.7703</v>
      </c>
      <c r="I920" s="4" t="n">
        <v>-88.87187</v>
      </c>
      <c r="J920" s="4" t="s">
        <v>3882</v>
      </c>
      <c r="K920" s="6" t="str">
        <f aca="false">HYPERLINK("https://www.google.com/search?q=Mount+Zion+District+Library+Mount+Zion+IL+library+website","Search")</f>
        <v>Search</v>
      </c>
      <c r="L920" s="7"/>
      <c r="M920" s="7"/>
    </row>
    <row r="921" customFormat="false" ht="15" hidden="false" customHeight="true" outlineLevel="0" collapsed="false">
      <c r="A921" s="4" t="s">
        <v>3289</v>
      </c>
      <c r="B921" s="4" t="s">
        <v>3883</v>
      </c>
      <c r="C921" s="4" t="s">
        <v>3884</v>
      </c>
      <c r="D921" s="4" t="s">
        <v>3297</v>
      </c>
      <c r="E921" s="5" t="n">
        <v>149540</v>
      </c>
      <c r="F921" s="4" t="n">
        <v>3</v>
      </c>
      <c r="G921" s="4" t="s">
        <v>3885</v>
      </c>
      <c r="H921" s="4" t="n">
        <v>41.77302</v>
      </c>
      <c r="I921" s="4" t="n">
        <v>-88.15193</v>
      </c>
      <c r="J921" s="4" t="s">
        <v>3886</v>
      </c>
      <c r="K921" s="6" t="str">
        <f aca="false">HYPERLINK("https://www.google.com/search?q=Naperville+Public+Library+Naperville+IL+library+website","Search")</f>
        <v>Search</v>
      </c>
      <c r="L921" s="7"/>
      <c r="M921" s="8" t="str">
        <f aca="false">HYPERLINK("https://naperville.overdrive.com","https://naperville.overdrive.com")</f>
        <v>https://naperville.overdrive.com</v>
      </c>
    </row>
    <row r="922" customFormat="false" ht="15" hidden="false" customHeight="true" outlineLevel="0" collapsed="false">
      <c r="A922" s="4" t="s">
        <v>3289</v>
      </c>
      <c r="B922" s="4" t="s">
        <v>3887</v>
      </c>
      <c r="C922" s="4" t="s">
        <v>3888</v>
      </c>
      <c r="D922" s="4" t="s">
        <v>3471</v>
      </c>
      <c r="E922" s="5" t="n">
        <v>40094</v>
      </c>
      <c r="F922" s="4" t="n">
        <v>1</v>
      </c>
      <c r="G922" s="4" t="s">
        <v>3889</v>
      </c>
      <c r="H922" s="4" t="n">
        <v>41.51385</v>
      </c>
      <c r="I922" s="4" t="n">
        <v>-87.97909</v>
      </c>
      <c r="J922" s="4" t="s">
        <v>3890</v>
      </c>
      <c r="K922" s="6" t="str">
        <f aca="false">HYPERLINK("https://www.google.com/search?q=New+Lenox+Public+Library+District+New+Lenox+IL+library+website","Search")</f>
        <v>Search</v>
      </c>
      <c r="L922" s="7"/>
      <c r="M922" s="7"/>
    </row>
    <row r="923" customFormat="false" ht="15" hidden="false" customHeight="true" outlineLevel="0" collapsed="false">
      <c r="A923" s="4" t="s">
        <v>3289</v>
      </c>
      <c r="B923" s="4" t="s">
        <v>3891</v>
      </c>
      <c r="C923" s="4" t="s">
        <v>3892</v>
      </c>
      <c r="D923" s="4" t="s">
        <v>3292</v>
      </c>
      <c r="E923" s="5" t="n">
        <v>59181</v>
      </c>
      <c r="F923" s="4" t="n">
        <v>1</v>
      </c>
      <c r="G923" s="4" t="s">
        <v>3893</v>
      </c>
      <c r="H923" s="4" t="n">
        <v>42.02732</v>
      </c>
      <c r="I923" s="4" t="n">
        <v>-87.8009</v>
      </c>
      <c r="J923" s="4" t="s">
        <v>3894</v>
      </c>
      <c r="K923" s="6" t="str">
        <f aca="false">HYPERLINK("https://www.google.com/search?q=Niles-Maine+District+Library+Niles+IL+library+website","Search")</f>
        <v>Search</v>
      </c>
      <c r="L923" s="7"/>
      <c r="M923" s="7"/>
    </row>
    <row r="924" customFormat="false" ht="15" hidden="false" customHeight="true" outlineLevel="0" collapsed="false">
      <c r="A924" s="4" t="s">
        <v>3289</v>
      </c>
      <c r="B924" s="4" t="s">
        <v>3895</v>
      </c>
      <c r="C924" s="4" t="s">
        <v>1348</v>
      </c>
      <c r="D924" s="4" t="s">
        <v>3302</v>
      </c>
      <c r="E924" s="5" t="n">
        <v>11083</v>
      </c>
      <c r="F924" s="4" t="n">
        <v>1</v>
      </c>
      <c r="G924" s="4" t="s">
        <v>3896</v>
      </c>
      <c r="H924" s="4" t="n">
        <v>42.46504</v>
      </c>
      <c r="I924" s="4" t="n">
        <v>-88.30438</v>
      </c>
      <c r="J924" s="4" t="s">
        <v>3897</v>
      </c>
      <c r="K924" s="6" t="str">
        <f aca="false">HYPERLINK("https://www.google.com/search?q=Nippersink+Public+Library+District+Richmond+IL+library+website","Search")</f>
        <v>Search</v>
      </c>
      <c r="L924" s="7"/>
      <c r="M924" s="7"/>
    </row>
    <row r="925" customFormat="false" ht="15" hidden="false" customHeight="true" outlineLevel="0" collapsed="false">
      <c r="A925" s="4" t="s">
        <v>3289</v>
      </c>
      <c r="B925" s="4" t="s">
        <v>3898</v>
      </c>
      <c r="C925" s="4" t="s">
        <v>3899</v>
      </c>
      <c r="D925" s="4" t="s">
        <v>3371</v>
      </c>
      <c r="E925" s="5" t="n">
        <v>52736</v>
      </c>
      <c r="F925" s="4" t="n">
        <v>1</v>
      </c>
      <c r="G925" s="4" t="s">
        <v>3900</v>
      </c>
      <c r="H925" s="4" t="n">
        <v>40.51037</v>
      </c>
      <c r="I925" s="4" t="n">
        <v>-88.98657</v>
      </c>
      <c r="J925" s="4" t="s">
        <v>3901</v>
      </c>
      <c r="K925" s="6" t="str">
        <f aca="false">HYPERLINK("https://www.google.com/search?q=Normal+Public+Library+Normal+IL+library+website","Search")</f>
        <v>Search</v>
      </c>
      <c r="L925" s="7"/>
      <c r="M925" s="7"/>
    </row>
    <row r="926" customFormat="false" ht="15" hidden="false" customHeight="true" outlineLevel="0" collapsed="false">
      <c r="A926" s="4" t="s">
        <v>3289</v>
      </c>
      <c r="B926" s="4" t="s">
        <v>3902</v>
      </c>
      <c r="C926" s="4" t="s">
        <v>3903</v>
      </c>
      <c r="D926" s="4" t="s">
        <v>1118</v>
      </c>
      <c r="E926" s="5" t="n">
        <v>30759</v>
      </c>
      <c r="F926" s="4" t="n">
        <v>1</v>
      </c>
      <c r="G926" s="4" t="s">
        <v>3904</v>
      </c>
      <c r="H926" s="4" t="n">
        <v>42.3256</v>
      </c>
      <c r="I926" s="4" t="n">
        <v>-87.85793</v>
      </c>
      <c r="J926" s="4" t="s">
        <v>3905</v>
      </c>
      <c r="K926" s="6" t="str">
        <f aca="false">HYPERLINK("https://www.google.com/search?q=North+Chicago+Public+Library+North+Chicago+IL+library+website","Search")</f>
        <v>Search</v>
      </c>
      <c r="L926" s="7"/>
      <c r="M926" s="7"/>
    </row>
    <row r="927" customFormat="false" ht="15" hidden="false" customHeight="true" outlineLevel="0" collapsed="false">
      <c r="A927" s="4" t="s">
        <v>3289</v>
      </c>
      <c r="B927" s="4" t="s">
        <v>3906</v>
      </c>
      <c r="C927" s="4" t="s">
        <v>3907</v>
      </c>
      <c r="D927" s="4" t="s">
        <v>3434</v>
      </c>
      <c r="E927" s="5" t="n">
        <v>69307</v>
      </c>
      <c r="F927" s="4" t="n">
        <v>2</v>
      </c>
      <c r="G927" s="4" t="s">
        <v>3908</v>
      </c>
      <c r="H927" s="4" t="n">
        <v>42.32279</v>
      </c>
      <c r="I927" s="4" t="n">
        <v>-89.05796</v>
      </c>
      <c r="J927" s="4" t="s">
        <v>3909</v>
      </c>
      <c r="K927" s="6" t="str">
        <f aca="false">HYPERLINK("https://www.google.com/search?q=North+Suburban+Public+Library+District+Loves+Park+IL+library+website","Search")</f>
        <v>Search</v>
      </c>
      <c r="L927" s="7"/>
      <c r="M927" s="7"/>
    </row>
    <row r="928" customFormat="false" ht="15" hidden="false" customHeight="true" outlineLevel="0" collapsed="false">
      <c r="A928" s="4" t="s">
        <v>3289</v>
      </c>
      <c r="B928" s="4" t="s">
        <v>3910</v>
      </c>
      <c r="C928" s="4" t="s">
        <v>3911</v>
      </c>
      <c r="D928" s="4" t="s">
        <v>3292</v>
      </c>
      <c r="E928" s="5" t="n">
        <v>35222</v>
      </c>
      <c r="F928" s="4" t="n">
        <v>1</v>
      </c>
      <c r="G928" s="4" t="s">
        <v>3912</v>
      </c>
      <c r="H928" s="4" t="n">
        <v>42.13053</v>
      </c>
      <c r="I928" s="4" t="n">
        <v>-87.83151</v>
      </c>
      <c r="J928" s="4" t="s">
        <v>3913</v>
      </c>
      <c r="K928" s="6" t="str">
        <f aca="false">HYPERLINK("https://www.google.com/search?q=Northbrook+Public+Library+Northbrook+IL+library+website","Search")</f>
        <v>Search</v>
      </c>
      <c r="L928" s="7"/>
      <c r="M928" s="7"/>
    </row>
    <row r="929" customFormat="false" ht="15" hidden="false" customHeight="true" outlineLevel="0" collapsed="false">
      <c r="A929" s="4" t="s">
        <v>3289</v>
      </c>
      <c r="B929" s="4" t="s">
        <v>3914</v>
      </c>
      <c r="C929" s="4" t="s">
        <v>3915</v>
      </c>
      <c r="D929" s="4" t="s">
        <v>3292</v>
      </c>
      <c r="E929" s="5" t="n">
        <v>26667</v>
      </c>
      <c r="F929" s="4" t="n">
        <v>1</v>
      </c>
      <c r="G929" s="4" t="s">
        <v>3916</v>
      </c>
      <c r="H929" s="4" t="n">
        <v>41.91144</v>
      </c>
      <c r="I929" s="4" t="n">
        <v>-87.90334</v>
      </c>
      <c r="J929" s="4" t="s">
        <v>3917</v>
      </c>
      <c r="K929" s="6" t="str">
        <f aca="false">HYPERLINK("https://www.google.com/search?q=Northlake+Public+Library+District+Northlake+IL+library+website","Search")</f>
        <v>Search</v>
      </c>
      <c r="L929" s="7"/>
      <c r="M929" s="7"/>
    </row>
    <row r="930" customFormat="false" ht="15" hidden="false" customHeight="true" outlineLevel="0" collapsed="false">
      <c r="A930" s="4" t="s">
        <v>3289</v>
      </c>
      <c r="B930" s="4" t="s">
        <v>3918</v>
      </c>
      <c r="C930" s="4" t="s">
        <v>3919</v>
      </c>
      <c r="D930" s="4" t="s">
        <v>320</v>
      </c>
      <c r="E930" s="5" t="n">
        <v>32289</v>
      </c>
      <c r="F930" s="4" t="n">
        <v>1</v>
      </c>
      <c r="G930" s="4" t="s">
        <v>3920</v>
      </c>
      <c r="H930" s="4" t="n">
        <v>38.58178</v>
      </c>
      <c r="I930" s="4" t="n">
        <v>-89.9126</v>
      </c>
      <c r="J930" s="4" t="s">
        <v>3921</v>
      </c>
      <c r="K930" s="6" t="str">
        <f aca="false">HYPERLINK("https://www.google.com/search?q=O%27Fallon+Public+Library+O%27Fallon+IL+library+website","Search")</f>
        <v>Search</v>
      </c>
      <c r="L930" s="7"/>
      <c r="M930" s="7"/>
    </row>
    <row r="931" customFormat="false" ht="15" hidden="false" customHeight="true" outlineLevel="0" collapsed="false">
      <c r="A931" s="4" t="s">
        <v>3289</v>
      </c>
      <c r="B931" s="4" t="s">
        <v>3922</v>
      </c>
      <c r="C931" s="4" t="s">
        <v>3923</v>
      </c>
      <c r="D931" s="4" t="s">
        <v>3292</v>
      </c>
      <c r="E931" s="5" t="n">
        <v>58362</v>
      </c>
      <c r="F931" s="4" t="n">
        <v>1</v>
      </c>
      <c r="G931" s="4" t="s">
        <v>3924</v>
      </c>
      <c r="H931" s="4" t="n">
        <v>41.72037</v>
      </c>
      <c r="I931" s="4" t="n">
        <v>-87.75266</v>
      </c>
      <c r="J931" s="4" t="s">
        <v>3925</v>
      </c>
      <c r="K931" s="6" t="str">
        <f aca="false">HYPERLINK("https://www.google.com/search?q=Oak+Lawn+Public+Library+Oak+Lawn+IL+library+website","Search")</f>
        <v>Search</v>
      </c>
      <c r="L931" s="7"/>
      <c r="M931" s="7"/>
    </row>
    <row r="932" customFormat="false" ht="15" hidden="false" customHeight="true" outlineLevel="0" collapsed="false">
      <c r="A932" s="4" t="s">
        <v>3289</v>
      </c>
      <c r="B932" s="4" t="s">
        <v>3926</v>
      </c>
      <c r="C932" s="4" t="s">
        <v>3927</v>
      </c>
      <c r="D932" s="4" t="s">
        <v>3292</v>
      </c>
      <c r="E932" s="5" t="n">
        <v>54583</v>
      </c>
      <c r="F932" s="4" t="n">
        <v>3</v>
      </c>
      <c r="G932" s="4" t="s">
        <v>3928</v>
      </c>
      <c r="H932" s="4" t="n">
        <v>41.88869</v>
      </c>
      <c r="I932" s="4" t="n">
        <v>-87.79635</v>
      </c>
      <c r="J932" s="4" t="s">
        <v>3929</v>
      </c>
      <c r="K932" s="6" t="str">
        <f aca="false">HYPERLINK("https://www.google.com/search?q=Oak+Park+Public+Library+Oak+Park+IL+library+website","Search")</f>
        <v>Search</v>
      </c>
      <c r="L932" s="7"/>
      <c r="M932" s="7"/>
    </row>
    <row r="933" customFormat="false" ht="15" hidden="false" customHeight="true" outlineLevel="0" collapsed="false">
      <c r="A933" s="4" t="s">
        <v>3289</v>
      </c>
      <c r="B933" s="4" t="s">
        <v>3930</v>
      </c>
      <c r="C933" s="4" t="s">
        <v>3931</v>
      </c>
      <c r="D933" s="4" t="s">
        <v>3292</v>
      </c>
      <c r="E933" s="5" t="n">
        <v>58703</v>
      </c>
      <c r="F933" s="4" t="n">
        <v>1</v>
      </c>
      <c r="G933" s="4" t="s">
        <v>3932</v>
      </c>
      <c r="H933" s="4" t="n">
        <v>41.61882</v>
      </c>
      <c r="I933" s="4" t="n">
        <v>-87.85728</v>
      </c>
      <c r="J933" s="4" t="s">
        <v>3933</v>
      </c>
      <c r="K933" s="6" t="str">
        <f aca="false">HYPERLINK("https://www.google.com/search?q=Orland+Park+Public+Library+Orland+Park+IL+library+website","Search")</f>
        <v>Search</v>
      </c>
      <c r="L933" s="7"/>
      <c r="M933" s="8" t="str">
        <f aca="false">HYPERLINK("https://orlandparklibrary.overdrive.com","https://orlandparklibrary.overdrive.com")</f>
        <v>https://orlandparklibrary.overdrive.com</v>
      </c>
    </row>
    <row r="934" customFormat="false" ht="15" hidden="false" customHeight="true" outlineLevel="0" collapsed="false">
      <c r="A934" s="4" t="s">
        <v>3289</v>
      </c>
      <c r="B934" s="4" t="s">
        <v>3934</v>
      </c>
      <c r="C934" s="4" t="s">
        <v>3935</v>
      </c>
      <c r="D934" s="4" t="s">
        <v>3936</v>
      </c>
      <c r="E934" s="5" t="n">
        <v>70508</v>
      </c>
      <c r="F934" s="4" t="n">
        <v>2</v>
      </c>
      <c r="G934" s="4" t="s">
        <v>3937</v>
      </c>
      <c r="H934" s="4" t="n">
        <v>41.68497</v>
      </c>
      <c r="I934" s="4" t="n">
        <v>-88.35094</v>
      </c>
      <c r="J934" s="4" t="s">
        <v>3938</v>
      </c>
      <c r="K934" s="6" t="str">
        <f aca="false">HYPERLINK("https://www.google.com/search?q=Oswego+Public+Library+District+Oswego+IL+library+website","Search")</f>
        <v>Search</v>
      </c>
      <c r="L934" s="7"/>
      <c r="M934" s="7"/>
    </row>
    <row r="935" customFormat="false" ht="15" hidden="false" customHeight="true" outlineLevel="0" collapsed="false">
      <c r="A935" s="4" t="s">
        <v>3289</v>
      </c>
      <c r="B935" s="4" t="s">
        <v>3939</v>
      </c>
      <c r="C935" s="4" t="s">
        <v>3940</v>
      </c>
      <c r="D935" s="4" t="s">
        <v>3292</v>
      </c>
      <c r="E935" s="5" t="n">
        <v>89395</v>
      </c>
      <c r="F935" s="4" t="n">
        <v>3</v>
      </c>
      <c r="G935" s="4" t="s">
        <v>3941</v>
      </c>
      <c r="H935" s="4" t="n">
        <v>42.12182</v>
      </c>
      <c r="I935" s="4" t="n">
        <v>-88.03664</v>
      </c>
      <c r="J935" s="4" t="s">
        <v>3942</v>
      </c>
      <c r="K935" s="6" t="str">
        <f aca="false">HYPERLINK("https://www.google.com/search?q=Palatine+Public+Library+District+Palatine+IL+library+website","Search")</f>
        <v>Search</v>
      </c>
      <c r="L935" s="7"/>
      <c r="M935" s="7"/>
    </row>
    <row r="936" customFormat="false" ht="15" hidden="false" customHeight="true" outlineLevel="0" collapsed="false">
      <c r="A936" s="4" t="s">
        <v>3289</v>
      </c>
      <c r="B936" s="4" t="s">
        <v>3943</v>
      </c>
      <c r="C936" s="4" t="s">
        <v>3944</v>
      </c>
      <c r="D936" s="4" t="s">
        <v>3292</v>
      </c>
      <c r="E936" s="5" t="n">
        <v>12068</v>
      </c>
      <c r="F936" s="4" t="n">
        <v>1</v>
      </c>
      <c r="G936" s="4" t="s">
        <v>3945</v>
      </c>
      <c r="H936" s="4" t="n">
        <v>41.66437</v>
      </c>
      <c r="I936" s="4" t="n">
        <v>-87.79382</v>
      </c>
      <c r="J936" s="4" t="s">
        <v>3946</v>
      </c>
      <c r="K936" s="6" t="str">
        <f aca="false">HYPERLINK("https://www.google.com/search?q=Palos+Heights+Public+Library+Palos+Heights+IL+library+website","Search")</f>
        <v>Search</v>
      </c>
      <c r="L936" s="7"/>
      <c r="M936" s="7"/>
    </row>
    <row r="937" customFormat="false" ht="15" hidden="false" customHeight="true" outlineLevel="0" collapsed="false">
      <c r="A937" s="4" t="s">
        <v>3289</v>
      </c>
      <c r="B937" s="4" t="s">
        <v>3947</v>
      </c>
      <c r="C937" s="4" t="s">
        <v>3948</v>
      </c>
      <c r="D937" s="4" t="s">
        <v>3292</v>
      </c>
      <c r="E937" s="5" t="n">
        <v>21687</v>
      </c>
      <c r="F937" s="4" t="n">
        <v>1</v>
      </c>
      <c r="G937" s="4" t="s">
        <v>3949</v>
      </c>
      <c r="H937" s="4" t="n">
        <v>41.48458</v>
      </c>
      <c r="I937" s="4" t="n">
        <v>-87.68464</v>
      </c>
      <c r="J937" s="4" t="s">
        <v>3950</v>
      </c>
      <c r="K937" s="6" t="str">
        <f aca="false">HYPERLINK("https://www.google.com/search?q=Park+Forest+Public+Library+Park+Forest+IL+library+website","Search")</f>
        <v>Search</v>
      </c>
      <c r="L937" s="7"/>
      <c r="M937" s="7"/>
    </row>
    <row r="938" customFormat="false" ht="15" hidden="false" customHeight="true" outlineLevel="0" collapsed="false">
      <c r="A938" s="4" t="s">
        <v>3289</v>
      </c>
      <c r="B938" s="4" t="s">
        <v>3951</v>
      </c>
      <c r="C938" s="4" t="s">
        <v>3952</v>
      </c>
      <c r="D938" s="4" t="s">
        <v>3292</v>
      </c>
      <c r="E938" s="5" t="n">
        <v>39656</v>
      </c>
      <c r="F938" s="4" t="n">
        <v>1</v>
      </c>
      <c r="G938" s="4" t="s">
        <v>3953</v>
      </c>
      <c r="H938" s="4" t="n">
        <v>42.01039</v>
      </c>
      <c r="I938" s="4" t="n">
        <v>-87.83007</v>
      </c>
      <c r="J938" s="4" t="s">
        <v>3954</v>
      </c>
      <c r="K938" s="6" t="str">
        <f aca="false">HYPERLINK("https://www.google.com/search?q=Park+Ridge+Public+Library+Park+Ridge+IL+library+website","Search")</f>
        <v>Search</v>
      </c>
      <c r="L938" s="7"/>
      <c r="M938" s="7"/>
    </row>
    <row r="939" customFormat="false" ht="15" hidden="false" customHeight="true" outlineLevel="0" collapsed="false">
      <c r="A939" s="4" t="s">
        <v>3289</v>
      </c>
      <c r="B939" s="4" t="s">
        <v>3955</v>
      </c>
      <c r="C939" s="4" t="s">
        <v>1853</v>
      </c>
      <c r="D939" s="4" t="s">
        <v>2691</v>
      </c>
      <c r="E939" s="5" t="n">
        <v>13242</v>
      </c>
      <c r="F939" s="4" t="n">
        <v>1</v>
      </c>
      <c r="G939" s="4" t="s">
        <v>3956</v>
      </c>
      <c r="H939" s="4" t="n">
        <v>40.55719</v>
      </c>
      <c r="I939" s="4" t="n">
        <v>-90.03853</v>
      </c>
      <c r="J939" s="4" t="s">
        <v>3957</v>
      </c>
      <c r="K939" s="6" t="str">
        <f aca="false">HYPERLINK("https://www.google.com/search?q=Parlin-Ingersoll+Public+Library+Canton+IL+library+website","Search")</f>
        <v>Search</v>
      </c>
      <c r="L939" s="7"/>
      <c r="M939" s="7"/>
    </row>
    <row r="940" customFormat="false" ht="15" hidden="false" customHeight="true" outlineLevel="0" collapsed="false">
      <c r="A940" s="4" t="s">
        <v>3289</v>
      </c>
      <c r="B940" s="4" t="s">
        <v>3958</v>
      </c>
      <c r="C940" s="4" t="s">
        <v>3959</v>
      </c>
      <c r="D940" s="4" t="s">
        <v>3572</v>
      </c>
      <c r="E940" s="5" t="n">
        <v>31731</v>
      </c>
      <c r="F940" s="4" t="n">
        <v>1</v>
      </c>
      <c r="G940" s="4" t="s">
        <v>3960</v>
      </c>
      <c r="H940" s="4" t="n">
        <v>40.56745</v>
      </c>
      <c r="I940" s="4" t="n">
        <v>-89.64807</v>
      </c>
      <c r="J940" s="4" t="s">
        <v>3961</v>
      </c>
      <c r="K940" s="6" t="str">
        <f aca="false">HYPERLINK("https://www.google.com/search?q=Pekin+Public+Library+Pekin+IL+library+website","Search")</f>
        <v>Search</v>
      </c>
      <c r="L940" s="7"/>
      <c r="M940" s="7"/>
    </row>
    <row r="941" customFormat="false" ht="15" hidden="false" customHeight="true" outlineLevel="0" collapsed="false">
      <c r="A941" s="4" t="s">
        <v>3289</v>
      </c>
      <c r="B941" s="4" t="s">
        <v>3962</v>
      </c>
      <c r="C941" s="4" t="s">
        <v>796</v>
      </c>
      <c r="D941" s="4" t="s">
        <v>796</v>
      </c>
      <c r="E941" s="5" t="n">
        <v>113150</v>
      </c>
      <c r="F941" s="4" t="n">
        <v>5</v>
      </c>
      <c r="G941" s="4" t="s">
        <v>3963</v>
      </c>
      <c r="H941" s="4" t="n">
        <v>40.69498</v>
      </c>
      <c r="I941" s="4" t="n">
        <v>-89.59239</v>
      </c>
      <c r="J941" s="4" t="s">
        <v>3964</v>
      </c>
      <c r="K941" s="6" t="str">
        <f aca="false">HYPERLINK("https://www.google.com/search?q=Peoria+Public+Library+Peoria+IL+library+website","Search")</f>
        <v>Search</v>
      </c>
      <c r="L941" s="7"/>
      <c r="M941" s="7"/>
    </row>
    <row r="942" customFormat="false" ht="15" hidden="false" customHeight="true" outlineLevel="0" collapsed="false">
      <c r="A942" s="4" t="s">
        <v>3289</v>
      </c>
      <c r="B942" s="4" t="s">
        <v>3965</v>
      </c>
      <c r="C942" s="4" t="s">
        <v>3966</v>
      </c>
      <c r="D942" s="4" t="s">
        <v>3471</v>
      </c>
      <c r="E942" s="5" t="n">
        <v>16851</v>
      </c>
      <c r="F942" s="4" t="n">
        <v>1</v>
      </c>
      <c r="G942" s="4" t="s">
        <v>3967</v>
      </c>
      <c r="H942" s="4" t="n">
        <v>41.33842</v>
      </c>
      <c r="I942" s="4" t="n">
        <v>-87.79234</v>
      </c>
      <c r="J942" s="4" t="s">
        <v>3968</v>
      </c>
      <c r="K942" s="6" t="str">
        <f aca="false">HYPERLINK("https://www.google.com/search?q=Peotone+Public+Library+District+Peotone+IL+library+website","Search")</f>
        <v>Search</v>
      </c>
      <c r="L942" s="7"/>
      <c r="M942" s="7"/>
    </row>
    <row r="943" customFormat="false" ht="15" hidden="false" customHeight="true" outlineLevel="0" collapsed="false">
      <c r="A943" s="4" t="s">
        <v>3289</v>
      </c>
      <c r="B943" s="4" t="s">
        <v>3969</v>
      </c>
      <c r="C943" s="4" t="s">
        <v>3970</v>
      </c>
      <c r="D943" s="4" t="s">
        <v>3471</v>
      </c>
      <c r="E943" s="5" t="n">
        <v>79055</v>
      </c>
      <c r="F943" s="4" t="n">
        <v>1</v>
      </c>
      <c r="G943" s="4" t="s">
        <v>3971</v>
      </c>
      <c r="H943" s="4" t="n">
        <v>41.60908</v>
      </c>
      <c r="I943" s="4" t="n">
        <v>-88.20364</v>
      </c>
      <c r="J943" s="4" t="s">
        <v>3972</v>
      </c>
      <c r="K943" s="6" t="str">
        <f aca="false">HYPERLINK("https://www.google.com/search?q=Plainfield+Public+Library+District+Plainfield+IL+library+website","Search")</f>
        <v>Search</v>
      </c>
      <c r="L943" s="7"/>
      <c r="M943" s="7"/>
    </row>
    <row r="944" customFormat="false" ht="15" hidden="false" customHeight="true" outlineLevel="0" collapsed="false">
      <c r="A944" s="4" t="s">
        <v>3289</v>
      </c>
      <c r="B944" s="4" t="s">
        <v>3973</v>
      </c>
      <c r="C944" s="4" t="s">
        <v>3974</v>
      </c>
      <c r="D944" s="4" t="s">
        <v>3936</v>
      </c>
      <c r="E944" s="5" t="n">
        <v>14092</v>
      </c>
      <c r="F944" s="4" t="n">
        <v>1</v>
      </c>
      <c r="G944" s="4" t="s">
        <v>3975</v>
      </c>
      <c r="H944" s="4" t="n">
        <v>41.66341</v>
      </c>
      <c r="I944" s="4" t="n">
        <v>-88.53795</v>
      </c>
      <c r="J944" s="4" t="s">
        <v>3976</v>
      </c>
      <c r="K944" s="6" t="str">
        <f aca="false">HYPERLINK("https://www.google.com/search?q=Plano+Community+Library+District+Plano+IL+library+website","Search")</f>
        <v>Search</v>
      </c>
      <c r="L944" s="7"/>
      <c r="M944" s="7"/>
    </row>
    <row r="945" customFormat="false" ht="15" hidden="false" customHeight="true" outlineLevel="0" collapsed="false">
      <c r="A945" s="4" t="s">
        <v>3289</v>
      </c>
      <c r="B945" s="4" t="s">
        <v>3977</v>
      </c>
      <c r="C945" s="4" t="s">
        <v>3978</v>
      </c>
      <c r="D945" s="4" t="s">
        <v>3979</v>
      </c>
      <c r="E945" s="5" t="n">
        <v>11150</v>
      </c>
      <c r="F945" s="4" t="n">
        <v>1</v>
      </c>
      <c r="G945" s="4" t="s">
        <v>3980</v>
      </c>
      <c r="H945" s="4" t="n">
        <v>40.88037</v>
      </c>
      <c r="I945" s="4" t="n">
        <v>-88.62724</v>
      </c>
      <c r="J945" s="4" t="s">
        <v>3981</v>
      </c>
      <c r="K945" s="6" t="str">
        <f aca="false">HYPERLINK("https://www.google.com/search?q=Pontiac+Public+Library+Pontiac+IL+library+website","Search")</f>
        <v>Search</v>
      </c>
      <c r="L945" s="7"/>
      <c r="M945" s="7"/>
    </row>
    <row r="946" customFormat="false" ht="15" hidden="false" customHeight="true" outlineLevel="0" collapsed="false">
      <c r="A946" s="4" t="s">
        <v>3289</v>
      </c>
      <c r="B946" s="4" t="s">
        <v>3982</v>
      </c>
      <c r="C946" s="4" t="s">
        <v>3983</v>
      </c>
      <c r="D946" s="4" t="s">
        <v>3292</v>
      </c>
      <c r="E946" s="5" t="n">
        <v>65645</v>
      </c>
      <c r="F946" s="4" t="n">
        <v>2</v>
      </c>
      <c r="G946" s="4" t="s">
        <v>3984</v>
      </c>
      <c r="H946" s="4" t="n">
        <v>42.00816</v>
      </c>
      <c r="I946" s="4" t="n">
        <v>-88.17506</v>
      </c>
      <c r="J946" s="4" t="s">
        <v>3985</v>
      </c>
      <c r="K946" s="6" t="str">
        <f aca="false">HYPERLINK("https://www.google.com/search?q=Poplar+Creek+Public+Library+District+Streamwood+IL+library+website","Search")</f>
        <v>Search</v>
      </c>
      <c r="L946" s="7"/>
      <c r="M946" s="7"/>
    </row>
    <row r="947" customFormat="false" ht="15" hidden="false" customHeight="true" outlineLevel="0" collapsed="false">
      <c r="A947" s="4" t="s">
        <v>3289</v>
      </c>
      <c r="B947" s="4" t="s">
        <v>3986</v>
      </c>
      <c r="C947" s="4" t="s">
        <v>938</v>
      </c>
      <c r="D947" s="4" t="s">
        <v>3292</v>
      </c>
      <c r="E947" s="5" t="n">
        <v>30376</v>
      </c>
      <c r="F947" s="4" t="n">
        <v>1</v>
      </c>
      <c r="G947" s="4" t="s">
        <v>3987</v>
      </c>
      <c r="H947" s="4" t="n">
        <v>41.73858</v>
      </c>
      <c r="I947" s="4" t="n">
        <v>-87.77372</v>
      </c>
      <c r="J947" s="4" t="s">
        <v>3988</v>
      </c>
      <c r="K947" s="6" t="str">
        <f aca="false">HYPERLINK("https://www.google.com/search?q=Prairie+Trails+Public+Library+District+Burbank+IL+library+website","Search")</f>
        <v>Search</v>
      </c>
      <c r="L947" s="7"/>
      <c r="M947" s="7"/>
    </row>
    <row r="948" customFormat="false" ht="15" hidden="false" customHeight="true" outlineLevel="0" collapsed="false">
      <c r="A948" s="4" t="s">
        <v>3289</v>
      </c>
      <c r="B948" s="4" t="s">
        <v>3989</v>
      </c>
      <c r="C948" s="4" t="s">
        <v>3990</v>
      </c>
      <c r="D948" s="4" t="s">
        <v>3292</v>
      </c>
      <c r="E948" s="5" t="n">
        <v>15044</v>
      </c>
      <c r="F948" s="4" t="n">
        <v>1</v>
      </c>
      <c r="G948" s="4" t="s">
        <v>3991</v>
      </c>
      <c r="H948" s="4" t="n">
        <v>42.0965</v>
      </c>
      <c r="I948" s="4" t="n">
        <v>-87.94161</v>
      </c>
      <c r="J948" s="4" t="s">
        <v>3992</v>
      </c>
      <c r="K948" s="6" t="str">
        <f aca="false">HYPERLINK("https://www.google.com/search?q=Prospect+Heights+Public+Library+District+Prospect+Heights+IL+library+website","Search")</f>
        <v>Search</v>
      </c>
      <c r="L948" s="7"/>
      <c r="M948" s="7"/>
    </row>
    <row r="949" customFormat="false" ht="15" hidden="false" customHeight="true" outlineLevel="0" collapsed="false">
      <c r="A949" s="4" t="s">
        <v>3289</v>
      </c>
      <c r="B949" s="4" t="s">
        <v>3993</v>
      </c>
      <c r="C949" s="4" t="s">
        <v>1318</v>
      </c>
      <c r="D949" s="4" t="s">
        <v>1749</v>
      </c>
      <c r="E949" s="5" t="n">
        <v>39463</v>
      </c>
      <c r="F949" s="4" t="n">
        <v>1</v>
      </c>
      <c r="G949" s="4" t="s">
        <v>3994</v>
      </c>
      <c r="H949" s="4" t="n">
        <v>39.9306</v>
      </c>
      <c r="I949" s="4" t="n">
        <v>-91.40726</v>
      </c>
      <c r="J949" s="4" t="s">
        <v>3995</v>
      </c>
      <c r="K949" s="6" t="str">
        <f aca="false">HYPERLINK("https://www.google.com/search?q=Quincy+Public+Library+Quincy+IL+library+website","Search")</f>
        <v>Search</v>
      </c>
      <c r="L949" s="7"/>
      <c r="M949" s="7"/>
    </row>
    <row r="950" customFormat="false" ht="15" hidden="false" customHeight="true" outlineLevel="0" collapsed="false">
      <c r="A950" s="4" t="s">
        <v>3289</v>
      </c>
      <c r="B950" s="4" t="s">
        <v>3996</v>
      </c>
      <c r="C950" s="4" t="s">
        <v>3997</v>
      </c>
      <c r="D950" s="4" t="s">
        <v>3420</v>
      </c>
      <c r="E950" s="5" t="n">
        <v>12371</v>
      </c>
      <c r="F950" s="4" t="n">
        <v>1</v>
      </c>
      <c r="G950" s="4" t="s">
        <v>3998</v>
      </c>
      <c r="H950" s="4" t="n">
        <v>40.29471</v>
      </c>
      <c r="I950" s="4" t="n">
        <v>-88.15978</v>
      </c>
      <c r="J950" s="4" t="s">
        <v>3999</v>
      </c>
      <c r="K950" s="6" t="str">
        <f aca="false">HYPERLINK("https://www.google.com/search?q=Rantoul+Public+Library+Rantoul+IL+library+website","Search")</f>
        <v>Search</v>
      </c>
      <c r="L950" s="7"/>
      <c r="M950" s="7"/>
    </row>
    <row r="951" customFormat="false" ht="15" hidden="false" customHeight="true" outlineLevel="0" collapsed="false">
      <c r="A951" s="4" t="s">
        <v>3289</v>
      </c>
      <c r="B951" s="4" t="s">
        <v>4000</v>
      </c>
      <c r="C951" s="4" t="s">
        <v>4001</v>
      </c>
      <c r="D951" s="4" t="s">
        <v>4002</v>
      </c>
      <c r="E951" s="5" t="n">
        <v>23958</v>
      </c>
      <c r="F951" s="4" t="n">
        <v>1</v>
      </c>
      <c r="G951" s="4" t="s">
        <v>4003</v>
      </c>
      <c r="H951" s="4" t="n">
        <v>41.35055</v>
      </c>
      <c r="I951" s="4" t="n">
        <v>-88.84588</v>
      </c>
      <c r="J951" s="4" t="s">
        <v>4004</v>
      </c>
      <c r="K951" s="6" t="str">
        <f aca="false">HYPERLINK("https://www.google.com/search?q=Reddick+Public+Library+District+Ottawa+IL+library+website","Search")</f>
        <v>Search</v>
      </c>
      <c r="L951" s="7"/>
      <c r="M951" s="7"/>
    </row>
    <row r="952" customFormat="false" ht="15" hidden="false" customHeight="true" outlineLevel="0" collapsed="false">
      <c r="A952" s="4" t="s">
        <v>3289</v>
      </c>
      <c r="B952" s="4" t="s">
        <v>4005</v>
      </c>
      <c r="C952" s="4" t="s">
        <v>4006</v>
      </c>
      <c r="D952" s="4" t="s">
        <v>3292</v>
      </c>
      <c r="E952" s="5" t="n">
        <v>11738</v>
      </c>
      <c r="F952" s="4" t="n">
        <v>1</v>
      </c>
      <c r="G952" s="4" t="s">
        <v>4007</v>
      </c>
      <c r="H952" s="4" t="n">
        <v>41.48408</v>
      </c>
      <c r="I952" s="4" t="n">
        <v>-87.72554</v>
      </c>
      <c r="J952" s="4" t="s">
        <v>4008</v>
      </c>
      <c r="K952" s="6" t="str">
        <f aca="false">HYPERLINK("https://www.google.com/search?q=Richton+Park+Public+Library+District+Richton+Park+IL+library+website","Search")</f>
        <v>Search</v>
      </c>
      <c r="L952" s="7"/>
      <c r="M952" s="7"/>
    </row>
    <row r="953" customFormat="false" ht="15" hidden="false" customHeight="true" outlineLevel="0" collapsed="false">
      <c r="A953" s="4" t="s">
        <v>3289</v>
      </c>
      <c r="B953" s="4" t="s">
        <v>4009</v>
      </c>
      <c r="C953" s="4" t="s">
        <v>4010</v>
      </c>
      <c r="D953" s="4" t="s">
        <v>3292</v>
      </c>
      <c r="E953" s="5" t="n">
        <v>11717</v>
      </c>
      <c r="F953" s="4" t="n">
        <v>1</v>
      </c>
      <c r="G953" s="4" t="s">
        <v>4011</v>
      </c>
      <c r="H953" s="4" t="n">
        <v>41.89269</v>
      </c>
      <c r="I953" s="4" t="n">
        <v>-87.81484</v>
      </c>
      <c r="J953" s="4" t="s">
        <v>4012</v>
      </c>
      <c r="K953" s="6" t="str">
        <f aca="false">HYPERLINK("https://www.google.com/search?q=River+Forest+Public+Library+River+Forest+IL+library+website","Search")</f>
        <v>Search</v>
      </c>
      <c r="L953" s="7"/>
      <c r="M953" s="7"/>
    </row>
    <row r="954" customFormat="false" ht="15" hidden="false" customHeight="true" outlineLevel="0" collapsed="false">
      <c r="A954" s="4" t="s">
        <v>3289</v>
      </c>
      <c r="B954" s="4" t="s">
        <v>4013</v>
      </c>
      <c r="C954" s="4" t="s">
        <v>4014</v>
      </c>
      <c r="D954" s="4" t="s">
        <v>3292</v>
      </c>
      <c r="E954" s="5" t="n">
        <v>10578</v>
      </c>
      <c r="F954" s="4" t="n">
        <v>1</v>
      </c>
      <c r="G954" s="4" t="s">
        <v>4015</v>
      </c>
      <c r="H954" s="4" t="n">
        <v>41.92965</v>
      </c>
      <c r="I954" s="4" t="n">
        <v>-87.84202</v>
      </c>
      <c r="J954" s="4" t="s">
        <v>4016</v>
      </c>
      <c r="K954" s="6" t="str">
        <f aca="false">HYPERLINK("https://www.google.com/search?q=River+Grove+Public+Library+District+River+Grove+IL+library+website","Search")</f>
        <v>Search</v>
      </c>
      <c r="L954" s="7"/>
      <c r="M954" s="7"/>
    </row>
    <row r="955" customFormat="false" ht="15" hidden="false" customHeight="true" outlineLevel="0" collapsed="false">
      <c r="A955" s="4" t="s">
        <v>3289</v>
      </c>
      <c r="B955" s="4" t="s">
        <v>4017</v>
      </c>
      <c r="C955" s="4" t="s">
        <v>4018</v>
      </c>
      <c r="D955" s="4" t="s">
        <v>3292</v>
      </c>
      <c r="E955" s="5" t="n">
        <v>10758</v>
      </c>
      <c r="F955" s="4" t="n">
        <v>1</v>
      </c>
      <c r="G955" s="4" t="s">
        <v>4019</v>
      </c>
      <c r="H955" s="4" t="n">
        <v>41.63342</v>
      </c>
      <c r="I955" s="4" t="n">
        <v>-87.62742</v>
      </c>
      <c r="J955" s="4" t="s">
        <v>4020</v>
      </c>
      <c r="K955" s="6" t="str">
        <f aca="false">HYPERLINK("https://www.google.com/search?q=Riverdale+Public+Library+District+Riverdale+IL+library+website","Search")</f>
        <v>Search</v>
      </c>
      <c r="L955" s="7"/>
      <c r="M955" s="7"/>
    </row>
    <row r="956" customFormat="false" ht="15" hidden="false" customHeight="true" outlineLevel="0" collapsed="false">
      <c r="A956" s="4" t="s">
        <v>3289</v>
      </c>
      <c r="B956" s="4" t="s">
        <v>4021</v>
      </c>
      <c r="C956" s="4" t="s">
        <v>4022</v>
      </c>
      <c r="D956" s="4" t="s">
        <v>516</v>
      </c>
      <c r="E956" s="5" t="n">
        <v>14676</v>
      </c>
      <c r="F956" s="4" t="n">
        <v>4</v>
      </c>
      <c r="G956" s="4" t="s">
        <v>4023</v>
      </c>
      <c r="H956" s="4" t="n">
        <v>39.01073</v>
      </c>
      <c r="I956" s="4" t="n">
        <v>-87.7382</v>
      </c>
      <c r="J956" s="4" t="s">
        <v>4024</v>
      </c>
      <c r="K956" s="6" t="str">
        <f aca="false">HYPERLINK("https://www.google.com/search?q=Robinson+Public+Library+District+Robinson+IL+library+website","Search")</f>
        <v>Search</v>
      </c>
      <c r="L956" s="7"/>
      <c r="M956" s="7"/>
    </row>
    <row r="957" customFormat="false" ht="15" hidden="false" customHeight="true" outlineLevel="0" collapsed="false">
      <c r="A957" s="4" t="s">
        <v>3289</v>
      </c>
      <c r="B957" s="4" t="s">
        <v>4025</v>
      </c>
      <c r="C957" s="4" t="s">
        <v>4026</v>
      </c>
      <c r="D957" s="4" t="s">
        <v>4027</v>
      </c>
      <c r="E957" s="5" t="n">
        <v>10570</v>
      </c>
      <c r="F957" s="4" t="n">
        <v>1</v>
      </c>
      <c r="G957" s="4" t="s">
        <v>4028</v>
      </c>
      <c r="H957" s="4" t="n">
        <v>41.77108</v>
      </c>
      <c r="I957" s="4" t="n">
        <v>-89.69748</v>
      </c>
      <c r="J957" s="4" t="s">
        <v>4029</v>
      </c>
      <c r="K957" s="6" t="str">
        <f aca="false">HYPERLINK("https://www.google.com/search?q=Rock+Falls+Public+Library+District+Rock+Falls+IL+library+website","Search")</f>
        <v>Search</v>
      </c>
      <c r="L957" s="7"/>
      <c r="M957" s="7"/>
    </row>
    <row r="958" customFormat="false" ht="15" hidden="false" customHeight="true" outlineLevel="0" collapsed="false">
      <c r="A958" s="4" t="s">
        <v>3289</v>
      </c>
      <c r="B958" s="4" t="s">
        <v>4030</v>
      </c>
      <c r="C958" s="4" t="s">
        <v>3510</v>
      </c>
      <c r="D958" s="4" t="s">
        <v>3510</v>
      </c>
      <c r="E958" s="5" t="n">
        <v>37108</v>
      </c>
      <c r="F958" s="4" t="n">
        <v>2</v>
      </c>
      <c r="G958" s="4" t="s">
        <v>4031</v>
      </c>
      <c r="H958" s="4" t="n">
        <v>41.50854</v>
      </c>
      <c r="I958" s="4" t="n">
        <v>-90.57324</v>
      </c>
      <c r="J958" s="4" t="s">
        <v>4032</v>
      </c>
      <c r="K958" s="6" t="str">
        <f aca="false">HYPERLINK("https://www.google.com/search?q=Rock+Island+Public+Library+Rock+Island+IL+library+website","Search")</f>
        <v>Search</v>
      </c>
      <c r="L958" s="7"/>
      <c r="M958" s="7"/>
    </row>
    <row r="959" customFormat="false" ht="15" hidden="false" customHeight="true" outlineLevel="0" collapsed="false">
      <c r="A959" s="4" t="s">
        <v>3289</v>
      </c>
      <c r="B959" s="4" t="s">
        <v>4033</v>
      </c>
      <c r="C959" s="4" t="s">
        <v>4034</v>
      </c>
      <c r="D959" s="4" t="s">
        <v>3434</v>
      </c>
      <c r="E959" s="5" t="n">
        <v>148655</v>
      </c>
      <c r="F959" s="4" t="n">
        <v>4</v>
      </c>
      <c r="G959" s="4" t="s">
        <v>4035</v>
      </c>
      <c r="H959" s="4" t="n">
        <v>42.2732</v>
      </c>
      <c r="I959" s="4" t="n">
        <v>-89.09475</v>
      </c>
      <c r="J959" s="4" t="s">
        <v>4036</v>
      </c>
      <c r="K959" s="6" t="str">
        <f aca="false">HYPERLINK("https://www.google.com/search?q=Rockford+Public+Library+Rockford+IL+library+website","Search")</f>
        <v>Search</v>
      </c>
      <c r="L959" s="7"/>
      <c r="M959" s="7"/>
    </row>
    <row r="960" customFormat="false" ht="15" hidden="false" customHeight="true" outlineLevel="0" collapsed="false">
      <c r="A960" s="4" t="s">
        <v>3289</v>
      </c>
      <c r="B960" s="4" t="s">
        <v>4037</v>
      </c>
      <c r="C960" s="4" t="s">
        <v>4038</v>
      </c>
      <c r="D960" s="4" t="s">
        <v>3292</v>
      </c>
      <c r="E960" s="5" t="n">
        <v>24200</v>
      </c>
      <c r="F960" s="4" t="n">
        <v>1</v>
      </c>
      <c r="G960" s="4" t="s">
        <v>4039</v>
      </c>
      <c r="H960" s="4" t="n">
        <v>42.07617</v>
      </c>
      <c r="I960" s="4" t="n">
        <v>-88.02093</v>
      </c>
      <c r="J960" s="4" t="s">
        <v>4040</v>
      </c>
      <c r="K960" s="6" t="str">
        <f aca="false">HYPERLINK("https://www.google.com/search?q=Rolling+Meadows+Library+Rolling+Meadows+IL+library+website","Search")</f>
        <v>Search</v>
      </c>
      <c r="L960" s="7"/>
      <c r="M960" s="7"/>
    </row>
    <row r="961" customFormat="false" ht="15" hidden="false" customHeight="true" outlineLevel="0" collapsed="false">
      <c r="A961" s="4" t="s">
        <v>3289</v>
      </c>
      <c r="B961" s="4" t="s">
        <v>4041</v>
      </c>
      <c r="C961" s="4" t="s">
        <v>4042</v>
      </c>
      <c r="D961" s="4" t="s">
        <v>3297</v>
      </c>
      <c r="E961" s="5" t="n">
        <v>22744</v>
      </c>
      <c r="F961" s="4" t="n">
        <v>1</v>
      </c>
      <c r="G961" s="4" t="s">
        <v>4043</v>
      </c>
      <c r="H961" s="4" t="n">
        <v>41.98228</v>
      </c>
      <c r="I961" s="4" t="n">
        <v>-88.07614</v>
      </c>
      <c r="J961" s="4" t="s">
        <v>4044</v>
      </c>
      <c r="K961" s="6" t="str">
        <f aca="false">HYPERLINK("https://www.google.com/search?q=Roselle+Public+Library+District+Roselle+IL+library+website","Search")</f>
        <v>Search</v>
      </c>
      <c r="L961" s="7"/>
      <c r="M961" s="7"/>
    </row>
    <row r="962" customFormat="false" ht="15" hidden="false" customHeight="true" outlineLevel="0" collapsed="false">
      <c r="A962" s="4" t="s">
        <v>3289</v>
      </c>
      <c r="B962" s="4" t="s">
        <v>4045</v>
      </c>
      <c r="C962" s="4" t="s">
        <v>4046</v>
      </c>
      <c r="D962" s="4" t="s">
        <v>1118</v>
      </c>
      <c r="E962" s="5" t="n">
        <v>39675</v>
      </c>
      <c r="F962" s="4" t="n">
        <v>1</v>
      </c>
      <c r="G962" s="4" t="s">
        <v>4047</v>
      </c>
      <c r="H962" s="4" t="n">
        <v>42.35776</v>
      </c>
      <c r="I962" s="4" t="n">
        <v>-88.10583</v>
      </c>
      <c r="J962" s="4" t="s">
        <v>4048</v>
      </c>
      <c r="K962" s="6" t="str">
        <f aca="false">HYPERLINK("https://www.google.com/search?q=Round+Lake+Area+Public+Library+District+Round+Lake+IL+library+website","Search")</f>
        <v>Search</v>
      </c>
      <c r="L962" s="7"/>
      <c r="M962" s="7"/>
    </row>
    <row r="963" customFormat="false" ht="15" hidden="false" customHeight="true" outlineLevel="0" collapsed="false">
      <c r="A963" s="4" t="s">
        <v>3289</v>
      </c>
      <c r="B963" s="4" t="s">
        <v>4049</v>
      </c>
      <c r="C963" s="4" t="s">
        <v>4050</v>
      </c>
      <c r="D963" s="4" t="s">
        <v>3327</v>
      </c>
      <c r="E963" s="5" t="n">
        <v>55889</v>
      </c>
      <c r="F963" s="4" t="n">
        <v>1</v>
      </c>
      <c r="G963" s="4" t="s">
        <v>4051</v>
      </c>
      <c r="H963" s="4" t="n">
        <v>41.91447</v>
      </c>
      <c r="I963" s="4" t="n">
        <v>-88.30807</v>
      </c>
      <c r="J963" s="4" t="s">
        <v>4052</v>
      </c>
      <c r="K963" s="6" t="str">
        <f aca="false">HYPERLINK("https://www.google.com/search?q=Saint+Charles+Public+Library+District+Saint+Charles+IL+library+website","Search")</f>
        <v>Search</v>
      </c>
      <c r="L963" s="7"/>
      <c r="M963" s="7"/>
    </row>
    <row r="964" customFormat="false" ht="15" hidden="false" customHeight="true" outlineLevel="0" collapsed="false">
      <c r="A964" s="4" t="s">
        <v>3289</v>
      </c>
      <c r="B964" s="4" t="s">
        <v>4053</v>
      </c>
      <c r="C964" s="4" t="s">
        <v>4054</v>
      </c>
      <c r="D964" s="4" t="s">
        <v>3292</v>
      </c>
      <c r="E964" s="5" t="n">
        <v>130345</v>
      </c>
      <c r="F964" s="4" t="n">
        <v>3</v>
      </c>
      <c r="G964" s="4" t="s">
        <v>4055</v>
      </c>
      <c r="H964" s="4" t="n">
        <v>42.02547</v>
      </c>
      <c r="I964" s="4" t="n">
        <v>-88.0833</v>
      </c>
      <c r="J964" s="4" t="s">
        <v>4056</v>
      </c>
      <c r="K964" s="6" t="str">
        <f aca="false">HYPERLINK("https://www.google.com/search?q=Schaumburg+Township+District+Library+Schaumburg+IL+library+website","Search")</f>
        <v>Search</v>
      </c>
      <c r="L964" s="7"/>
      <c r="M964" s="7"/>
    </row>
    <row r="965" customFormat="false" ht="15" hidden="false" customHeight="true" outlineLevel="0" collapsed="false">
      <c r="A965" s="4" t="s">
        <v>3289</v>
      </c>
      <c r="B965" s="4" t="s">
        <v>4057</v>
      </c>
      <c r="C965" s="4" t="s">
        <v>4058</v>
      </c>
      <c r="D965" s="4" t="s">
        <v>3292</v>
      </c>
      <c r="E965" s="5" t="n">
        <v>11709</v>
      </c>
      <c r="F965" s="4" t="n">
        <v>1</v>
      </c>
      <c r="G965" s="4" t="s">
        <v>4059</v>
      </c>
      <c r="H965" s="4" t="n">
        <v>41.95566</v>
      </c>
      <c r="I965" s="4" t="n">
        <v>-87.86072</v>
      </c>
      <c r="J965" s="4" t="s">
        <v>4060</v>
      </c>
      <c r="K965" s="6" t="str">
        <f aca="false">HYPERLINK("https://www.google.com/search?q=Schiller+Park+Public+Library+Schiller+Park+IL+library+website","Search")</f>
        <v>Search</v>
      </c>
      <c r="L965" s="7"/>
      <c r="M965" s="7"/>
    </row>
    <row r="966" customFormat="false" ht="15" hidden="false" customHeight="true" outlineLevel="0" collapsed="false">
      <c r="A966" s="4" t="s">
        <v>3289</v>
      </c>
      <c r="B966" s="4" t="s">
        <v>4061</v>
      </c>
      <c r="C966" s="4" t="s">
        <v>4062</v>
      </c>
      <c r="D966" s="4" t="s">
        <v>3471</v>
      </c>
      <c r="E966" s="5" t="n">
        <v>21780</v>
      </c>
      <c r="F966" s="4" t="n">
        <v>1</v>
      </c>
      <c r="G966" s="4" t="s">
        <v>4063</v>
      </c>
      <c r="H966" s="4" t="n">
        <v>41.52381</v>
      </c>
      <c r="I966" s="4" t="n">
        <v>-88.20478</v>
      </c>
      <c r="J966" s="4" t="s">
        <v>4064</v>
      </c>
      <c r="K966" s="6" t="str">
        <f aca="false">HYPERLINK("https://www.google.com/search?q=Shorewood-Troy+Public+Library+District+Shorewood+IL+library+website","Search")</f>
        <v>Search</v>
      </c>
      <c r="L966" s="7"/>
      <c r="M966" s="7"/>
    </row>
    <row r="967" customFormat="false" ht="15" hidden="false" customHeight="true" outlineLevel="0" collapsed="false">
      <c r="A967" s="4" t="s">
        <v>3289</v>
      </c>
      <c r="B967" s="4" t="s">
        <v>4065</v>
      </c>
      <c r="C967" s="4" t="s">
        <v>4066</v>
      </c>
      <c r="D967" s="4" t="s">
        <v>261</v>
      </c>
      <c r="E967" s="5" t="n">
        <v>39697</v>
      </c>
      <c r="F967" s="4" t="n">
        <v>2</v>
      </c>
      <c r="G967" s="4" t="s">
        <v>4067</v>
      </c>
      <c r="H967" s="4" t="n">
        <v>38.70228</v>
      </c>
      <c r="I967" s="4" t="n">
        <v>-90.14966</v>
      </c>
      <c r="J967" s="4" t="s">
        <v>4068</v>
      </c>
      <c r="K967" s="6" t="str">
        <f aca="false">HYPERLINK("https://www.google.com/search?q=Six+Mile+Regional+Library+District+Granite+City+IL+library+website","Search")</f>
        <v>Search</v>
      </c>
      <c r="L967" s="7"/>
      <c r="M967" s="7"/>
    </row>
    <row r="968" customFormat="false" ht="15" hidden="false" customHeight="true" outlineLevel="0" collapsed="false">
      <c r="A968" s="4" t="s">
        <v>3289</v>
      </c>
      <c r="B968" s="4" t="s">
        <v>4069</v>
      </c>
      <c r="C968" s="4" t="s">
        <v>4070</v>
      </c>
      <c r="D968" s="4" t="s">
        <v>3292</v>
      </c>
      <c r="E968" s="5" t="n">
        <v>67824</v>
      </c>
      <c r="F968" s="4" t="n">
        <v>1</v>
      </c>
      <c r="G968" s="4" t="s">
        <v>4071</v>
      </c>
      <c r="H968" s="4" t="n">
        <v>42.02632</v>
      </c>
      <c r="I968" s="4" t="n">
        <v>-87.75792</v>
      </c>
      <c r="J968" s="4" t="s">
        <v>4072</v>
      </c>
      <c r="K968" s="6" t="str">
        <f aca="false">HYPERLINK("https://www.google.com/search?q=Skokie+Public+Library+Skokie+IL+library+website","Search")</f>
        <v>Search</v>
      </c>
      <c r="L968" s="7"/>
      <c r="M968" s="8" t="str">
        <f aca="false">HYPERLINK("https://skokielibrary.overdrive.com","https://skokielibrary.overdrive.com")</f>
        <v>https://skokielibrary.overdrive.com</v>
      </c>
    </row>
    <row r="969" customFormat="false" ht="15" hidden="false" customHeight="true" outlineLevel="0" collapsed="false">
      <c r="A969" s="4" t="s">
        <v>3289</v>
      </c>
      <c r="B969" s="4" t="s">
        <v>4073</v>
      </c>
      <c r="C969" s="4" t="s">
        <v>4074</v>
      </c>
      <c r="D969" s="4" t="s">
        <v>3292</v>
      </c>
      <c r="E969" s="5" t="n">
        <v>21465</v>
      </c>
      <c r="F969" s="4" t="n">
        <v>1</v>
      </c>
      <c r="G969" s="4" t="s">
        <v>4075</v>
      </c>
      <c r="H969" s="4" t="n">
        <v>41.59941</v>
      </c>
      <c r="I969" s="4" t="n">
        <v>-87.61004</v>
      </c>
      <c r="J969" s="4" t="s">
        <v>4076</v>
      </c>
      <c r="K969" s="6" t="str">
        <f aca="false">HYPERLINK("https://www.google.com/search?q=South+Holland+Public+Library+South+Holland+IL+library+website","Search")</f>
        <v>Search</v>
      </c>
      <c r="L969" s="7"/>
      <c r="M969" s="7"/>
    </row>
    <row r="970" customFormat="false" ht="15" hidden="false" customHeight="true" outlineLevel="0" collapsed="false">
      <c r="A970" s="4" t="s">
        <v>3289</v>
      </c>
      <c r="B970" s="4" t="s">
        <v>4077</v>
      </c>
      <c r="C970" s="4" t="s">
        <v>4078</v>
      </c>
      <c r="D970" s="4" t="s">
        <v>3292</v>
      </c>
      <c r="E970" s="5" t="n">
        <v>13869</v>
      </c>
      <c r="F970" s="4" t="n">
        <v>1</v>
      </c>
      <c r="G970" s="4" t="s">
        <v>4079</v>
      </c>
      <c r="H970" s="4" t="n">
        <v>41.47521</v>
      </c>
      <c r="I970" s="4" t="n">
        <v>-87.63397</v>
      </c>
      <c r="J970" s="4" t="s">
        <v>4080</v>
      </c>
      <c r="K970" s="6" t="str">
        <f aca="false">HYPERLINK("https://www.google.com/search?q=Steger-South+Chicago+Heights+Public+Library+District+Steger+IL+library+website","Search")</f>
        <v>Search</v>
      </c>
      <c r="L970" s="7"/>
      <c r="M970" s="7"/>
    </row>
    <row r="971" customFormat="false" ht="15" hidden="false" customHeight="true" outlineLevel="0" collapsed="false">
      <c r="A971" s="4" t="s">
        <v>3289</v>
      </c>
      <c r="B971" s="4" t="s">
        <v>1761</v>
      </c>
      <c r="C971" s="4" t="s">
        <v>1762</v>
      </c>
      <c r="D971" s="4" t="s">
        <v>4027</v>
      </c>
      <c r="E971" s="5" t="n">
        <v>14764</v>
      </c>
      <c r="F971" s="4" t="n">
        <v>1</v>
      </c>
      <c r="G971" s="4" t="s">
        <v>4081</v>
      </c>
      <c r="H971" s="4" t="n">
        <v>41.78813</v>
      </c>
      <c r="I971" s="4" t="n">
        <v>-89.6984</v>
      </c>
      <c r="J971" s="4" t="s">
        <v>4082</v>
      </c>
      <c r="K971" s="6" t="str">
        <f aca="false">HYPERLINK("https://www.google.com/search?q=Sterling+Public+Library+Sterling+IL+library+website","Search")</f>
        <v>Search</v>
      </c>
      <c r="L971" s="7"/>
      <c r="M971" s="7"/>
    </row>
    <row r="972" customFormat="false" ht="15" hidden="false" customHeight="true" outlineLevel="0" collapsed="false">
      <c r="A972" s="4" t="s">
        <v>3289</v>
      </c>
      <c r="B972" s="4" t="s">
        <v>4083</v>
      </c>
      <c r="C972" s="4" t="s">
        <v>4084</v>
      </c>
      <c r="D972" s="4" t="s">
        <v>3292</v>
      </c>
      <c r="E972" s="5" t="n">
        <v>10833</v>
      </c>
      <c r="F972" s="4" t="n">
        <v>1</v>
      </c>
      <c r="G972" s="4" t="s">
        <v>4085</v>
      </c>
      <c r="H972" s="4" t="n">
        <v>41.81414</v>
      </c>
      <c r="I972" s="4" t="n">
        <v>-87.79269</v>
      </c>
      <c r="J972" s="4" t="s">
        <v>4086</v>
      </c>
      <c r="K972" s="6" t="str">
        <f aca="false">HYPERLINK("https://www.google.com/search?q=Stickney-Forest+View+Public+Library+District+Stickney+IL+library+website","Search")</f>
        <v>Search</v>
      </c>
      <c r="L972" s="7"/>
      <c r="M972" s="7"/>
    </row>
    <row r="973" customFormat="false" ht="15" hidden="false" customHeight="true" outlineLevel="0" collapsed="false">
      <c r="A973" s="4" t="s">
        <v>3289</v>
      </c>
      <c r="B973" s="4" t="s">
        <v>4087</v>
      </c>
      <c r="C973" s="4" t="s">
        <v>4088</v>
      </c>
      <c r="D973" s="4" t="s">
        <v>467</v>
      </c>
      <c r="E973" s="5" t="n">
        <v>13779</v>
      </c>
      <c r="F973" s="4" t="n">
        <v>2</v>
      </c>
      <c r="G973" s="4" t="s">
        <v>4089</v>
      </c>
      <c r="H973" s="4" t="n">
        <v>37.45809</v>
      </c>
      <c r="I973" s="4" t="n">
        <v>-89.25174</v>
      </c>
      <c r="J973" s="4" t="s">
        <v>4090</v>
      </c>
      <c r="K973" s="6" t="str">
        <f aca="false">HYPERLINK("https://www.google.com/search?q=Stinson+Memorial+Public+Library+District+Anna+IL+library+website","Search")</f>
        <v>Search</v>
      </c>
      <c r="L973" s="7"/>
      <c r="M973" s="7"/>
    </row>
    <row r="974" customFormat="false" ht="15" hidden="false" customHeight="true" outlineLevel="0" collapsed="false">
      <c r="A974" s="4" t="s">
        <v>3289</v>
      </c>
      <c r="B974" s="4" t="s">
        <v>4091</v>
      </c>
      <c r="C974" s="4" t="s">
        <v>4092</v>
      </c>
      <c r="D974" s="4" t="s">
        <v>4002</v>
      </c>
      <c r="E974" s="5" t="n">
        <v>12500</v>
      </c>
      <c r="F974" s="4" t="n">
        <v>1</v>
      </c>
      <c r="G974" s="4" t="s">
        <v>4093</v>
      </c>
      <c r="H974" s="4" t="n">
        <v>41.11963</v>
      </c>
      <c r="I974" s="4" t="n">
        <v>-88.83418</v>
      </c>
      <c r="J974" s="4" t="s">
        <v>4094</v>
      </c>
      <c r="K974" s="6" t="str">
        <f aca="false">HYPERLINK("https://www.google.com/search?q=Streator+Public+Library+Streator+IL+library+website","Search")</f>
        <v>Search</v>
      </c>
      <c r="L974" s="7"/>
      <c r="M974" s="7"/>
    </row>
    <row r="975" customFormat="false" ht="15" hidden="false" customHeight="true" outlineLevel="0" collapsed="false">
      <c r="A975" s="4" t="s">
        <v>3289</v>
      </c>
      <c r="B975" s="4" t="s">
        <v>4095</v>
      </c>
      <c r="C975" s="4" t="s">
        <v>4096</v>
      </c>
      <c r="D975" s="4" t="s">
        <v>3327</v>
      </c>
      <c r="E975" s="5" t="n">
        <v>16114</v>
      </c>
      <c r="F975" s="4" t="n">
        <v>1</v>
      </c>
      <c r="G975" s="4" t="s">
        <v>4097</v>
      </c>
      <c r="H975" s="4" t="n">
        <v>41.76184</v>
      </c>
      <c r="I975" s="4" t="n">
        <v>-88.45623</v>
      </c>
      <c r="J975" s="4" t="s">
        <v>4098</v>
      </c>
      <c r="K975" s="6" t="str">
        <f aca="false">HYPERLINK("https://www.google.com/search?q=Sugar+Grove+Public+Library+District+Sugar+Grove+IL+library+website","Search")</f>
        <v>Search</v>
      </c>
      <c r="L975" s="7"/>
      <c r="M975" s="7"/>
    </row>
    <row r="976" customFormat="false" ht="15" hidden="false" customHeight="true" outlineLevel="0" collapsed="false">
      <c r="A976" s="4" t="s">
        <v>3289</v>
      </c>
      <c r="B976" s="4" t="s">
        <v>4099</v>
      </c>
      <c r="C976" s="4" t="s">
        <v>1768</v>
      </c>
      <c r="D976" s="4" t="s">
        <v>3292</v>
      </c>
      <c r="E976" s="5" t="n">
        <v>11163</v>
      </c>
      <c r="F976" s="4" t="n">
        <v>1</v>
      </c>
      <c r="G976" s="4" t="s">
        <v>4100</v>
      </c>
      <c r="H976" s="4" t="n">
        <v>41.778</v>
      </c>
      <c r="I976" s="4" t="n">
        <v>-87.8135</v>
      </c>
      <c r="J976" s="4" t="s">
        <v>4101</v>
      </c>
      <c r="K976" s="6" t="str">
        <f aca="false">HYPERLINK("https://www.google.com/search?q=Summit+Public+Library+District+Summit+IL+library+website","Search")</f>
        <v>Search</v>
      </c>
      <c r="L976" s="7"/>
      <c r="M976" s="7"/>
    </row>
    <row r="977" customFormat="false" ht="15" hidden="false" customHeight="true" outlineLevel="0" collapsed="false">
      <c r="A977" s="4" t="s">
        <v>3289</v>
      </c>
      <c r="B977" s="4" t="s">
        <v>4102</v>
      </c>
      <c r="C977" s="4" t="s">
        <v>4103</v>
      </c>
      <c r="D977" s="4" t="s">
        <v>211</v>
      </c>
      <c r="E977" s="5" t="n">
        <v>18577</v>
      </c>
      <c r="F977" s="4" t="n">
        <v>1</v>
      </c>
      <c r="G977" s="4" t="s">
        <v>4104</v>
      </c>
      <c r="H977" s="4" t="n">
        <v>41.9885</v>
      </c>
      <c r="I977" s="4" t="n">
        <v>-88.6842</v>
      </c>
      <c r="J977" s="4" t="s">
        <v>4105</v>
      </c>
      <c r="K977" s="6" t="str">
        <f aca="false">HYPERLINK("https://www.google.com/search?q=Sycamore+Public+Library+Sycamore+IL+library+website","Search")</f>
        <v>Search</v>
      </c>
      <c r="L977" s="7"/>
      <c r="M977" s="7"/>
    </row>
    <row r="978" customFormat="false" ht="15" hidden="false" customHeight="true" outlineLevel="0" collapsed="false">
      <c r="A978" s="4" t="s">
        <v>3289</v>
      </c>
      <c r="B978" s="4" t="s">
        <v>4106</v>
      </c>
      <c r="C978" s="4" t="s">
        <v>4107</v>
      </c>
      <c r="D978" s="4" t="s">
        <v>3434</v>
      </c>
      <c r="E978" s="5" t="n">
        <v>11060</v>
      </c>
      <c r="F978" s="4" t="n">
        <v>1</v>
      </c>
      <c r="G978" s="4" t="s">
        <v>4108</v>
      </c>
      <c r="H978" s="4" t="n">
        <v>42.45255</v>
      </c>
      <c r="I978" s="4" t="n">
        <v>-89.07216</v>
      </c>
      <c r="J978" s="4" t="s">
        <v>4109</v>
      </c>
      <c r="K978" s="6" t="str">
        <f aca="false">HYPERLINK("https://www.google.com/search?q=Talcott+Free+Library+District+Rockton+IL+library+website","Search")</f>
        <v>Search</v>
      </c>
      <c r="L978" s="7"/>
      <c r="M978" s="7"/>
    </row>
    <row r="979" customFormat="false" ht="15" hidden="false" customHeight="true" outlineLevel="0" collapsed="false">
      <c r="A979" s="4" t="s">
        <v>3289</v>
      </c>
      <c r="B979" s="4" t="s">
        <v>4110</v>
      </c>
      <c r="C979" s="4" t="s">
        <v>4111</v>
      </c>
      <c r="D979" s="4" t="s">
        <v>4112</v>
      </c>
      <c r="E979" s="5" t="n">
        <v>10506</v>
      </c>
      <c r="F979" s="4" t="n">
        <v>1</v>
      </c>
      <c r="G979" s="4" t="s">
        <v>4113</v>
      </c>
      <c r="H979" s="4" t="n">
        <v>39.55035</v>
      </c>
      <c r="I979" s="4" t="n">
        <v>-89.29582</v>
      </c>
      <c r="J979" s="4" t="s">
        <v>4114</v>
      </c>
      <c r="K979" s="6" t="str">
        <f aca="false">HYPERLINK("https://www.google.com/search?q=Taylorville+Public+Library+Taylorville+IL+library+website","Search")</f>
        <v>Search</v>
      </c>
      <c r="L979" s="7"/>
      <c r="M979" s="7"/>
    </row>
    <row r="980" customFormat="false" ht="15" hidden="false" customHeight="true" outlineLevel="0" collapsed="false">
      <c r="A980" s="4" t="s">
        <v>3289</v>
      </c>
      <c r="B980" s="4" t="s">
        <v>4115</v>
      </c>
      <c r="C980" s="4" t="s">
        <v>4116</v>
      </c>
      <c r="D980" s="4" t="s">
        <v>3292</v>
      </c>
      <c r="E980" s="5" t="n">
        <v>13629</v>
      </c>
      <c r="F980" s="4" t="n">
        <v>1</v>
      </c>
      <c r="G980" s="4" t="s">
        <v>4117</v>
      </c>
      <c r="H980" s="4" t="n">
        <v>41.81246</v>
      </c>
      <c r="I980" s="4" t="n">
        <v>-87.8992</v>
      </c>
      <c r="J980" s="4" t="s">
        <v>4118</v>
      </c>
      <c r="K980" s="6" t="str">
        <f aca="false">HYPERLINK("https://www.google.com/search?q=Thomas+Ford+Memorial+Library+Western+Springs+IL+library+website","Search")</f>
        <v>Search</v>
      </c>
      <c r="L980" s="7"/>
      <c r="M980" s="7"/>
    </row>
    <row r="981" customFormat="false" ht="15" hidden="false" customHeight="true" outlineLevel="0" collapsed="false">
      <c r="A981" s="4" t="s">
        <v>3289</v>
      </c>
      <c r="B981" s="4" t="s">
        <v>4119</v>
      </c>
      <c r="C981" s="4" t="s">
        <v>4120</v>
      </c>
      <c r="D981" s="4" t="s">
        <v>3471</v>
      </c>
      <c r="E981" s="5" t="n">
        <v>28751</v>
      </c>
      <c r="F981" s="4" t="n">
        <v>2</v>
      </c>
      <c r="G981" s="4" t="s">
        <v>4121</v>
      </c>
      <c r="H981" s="4" t="n">
        <v>41.43386</v>
      </c>
      <c r="I981" s="4" t="n">
        <v>-88.22359</v>
      </c>
      <c r="J981" s="4" t="s">
        <v>4122</v>
      </c>
      <c r="K981" s="6" t="str">
        <f aca="false">HYPERLINK("https://www.google.com/search?q=Three+Rivers+Public+Library+District+Channahon+IL+library+website","Search")</f>
        <v>Search</v>
      </c>
      <c r="L981" s="7"/>
      <c r="M981" s="7"/>
    </row>
    <row r="982" customFormat="false" ht="15" hidden="false" customHeight="true" outlineLevel="0" collapsed="false">
      <c r="A982" s="4" t="s">
        <v>3289</v>
      </c>
      <c r="B982" s="4" t="s">
        <v>4123</v>
      </c>
      <c r="C982" s="4" t="s">
        <v>4124</v>
      </c>
      <c r="D982" s="4" t="s">
        <v>3292</v>
      </c>
      <c r="E982" s="5" t="n">
        <v>55971</v>
      </c>
      <c r="F982" s="4" t="n">
        <v>1</v>
      </c>
      <c r="G982" s="4" t="s">
        <v>4125</v>
      </c>
      <c r="H982" s="4" t="n">
        <v>41.5626</v>
      </c>
      <c r="I982" s="4" t="n">
        <v>-87.81091</v>
      </c>
      <c r="J982" s="4" t="s">
        <v>4126</v>
      </c>
      <c r="K982" s="6" t="str">
        <f aca="false">HYPERLINK("https://www.google.com/search?q=Tinley+Park+Public+Library+Tinley+Park+IL+library+website","Search")</f>
        <v>Search</v>
      </c>
      <c r="L982" s="7"/>
      <c r="M982" s="7"/>
    </row>
    <row r="983" customFormat="false" ht="15" hidden="false" customHeight="true" outlineLevel="0" collapsed="false">
      <c r="A983" s="4" t="s">
        <v>3289</v>
      </c>
      <c r="B983" s="4" t="s">
        <v>4127</v>
      </c>
      <c r="C983" s="4" t="s">
        <v>4128</v>
      </c>
      <c r="D983" s="4" t="s">
        <v>3420</v>
      </c>
      <c r="E983" s="5" t="n">
        <v>13315</v>
      </c>
      <c r="F983" s="4" t="n">
        <v>1</v>
      </c>
      <c r="G983" s="4" t="s">
        <v>4129</v>
      </c>
      <c r="H983" s="4" t="n">
        <v>39.98542</v>
      </c>
      <c r="I983" s="4" t="n">
        <v>-88.26035</v>
      </c>
      <c r="J983" s="4" t="s">
        <v>4130</v>
      </c>
      <c r="K983" s="6" t="str">
        <f aca="false">HYPERLINK("https://www.google.com/search?q=Tolono+Public+Library+District+Tolono+IL+library+website","Search")</f>
        <v>Search</v>
      </c>
      <c r="L983" s="7"/>
      <c r="M983" s="7"/>
    </row>
    <row r="984" customFormat="false" ht="15" hidden="false" customHeight="true" outlineLevel="0" collapsed="false">
      <c r="A984" s="4" t="s">
        <v>3289</v>
      </c>
      <c r="B984" s="4" t="s">
        <v>4131</v>
      </c>
      <c r="C984" s="4" t="s">
        <v>4132</v>
      </c>
      <c r="D984" s="4" t="s">
        <v>3327</v>
      </c>
      <c r="E984" s="5" t="n">
        <v>11823</v>
      </c>
      <c r="F984" s="4" t="n">
        <v>1</v>
      </c>
      <c r="G984" s="4" t="s">
        <v>4133</v>
      </c>
      <c r="H984" s="4" t="n">
        <v>41.89227</v>
      </c>
      <c r="I984" s="4" t="n">
        <v>-88.46858</v>
      </c>
      <c r="J984" s="4" t="s">
        <v>4134</v>
      </c>
      <c r="K984" s="6" t="str">
        <f aca="false">HYPERLINK("https://www.google.com/search?q=Town+And+Country+Public+Library+District+Elburn+IL+library+website","Search")</f>
        <v>Search</v>
      </c>
      <c r="L984" s="7"/>
      <c r="M984" s="7"/>
    </row>
    <row r="985" customFormat="false" ht="15" hidden="false" customHeight="true" outlineLevel="0" collapsed="false">
      <c r="A985" s="4" t="s">
        <v>3289</v>
      </c>
      <c r="B985" s="4" t="s">
        <v>4135</v>
      </c>
      <c r="C985" s="4" t="s">
        <v>414</v>
      </c>
      <c r="D985" s="4" t="s">
        <v>261</v>
      </c>
      <c r="E985" s="5" t="n">
        <v>16886</v>
      </c>
      <c r="F985" s="4" t="n">
        <v>1</v>
      </c>
      <c r="G985" s="4" t="s">
        <v>4136</v>
      </c>
      <c r="H985" s="4" t="n">
        <v>38.72735</v>
      </c>
      <c r="I985" s="4" t="n">
        <v>-89.88358</v>
      </c>
      <c r="J985" s="4" t="s">
        <v>4137</v>
      </c>
      <c r="K985" s="6" t="str">
        <f aca="false">HYPERLINK("https://www.google.com/search?q=Tri-Township+Public+Library+District+Troy+IL+library+website","Search")</f>
        <v>Search</v>
      </c>
      <c r="L985" s="7"/>
      <c r="M985" s="7"/>
    </row>
    <row r="986" customFormat="false" ht="15" hidden="false" customHeight="true" outlineLevel="0" collapsed="false">
      <c r="A986" s="4" t="s">
        <v>3289</v>
      </c>
      <c r="B986" s="4" t="s">
        <v>4138</v>
      </c>
      <c r="C986" s="4" t="s">
        <v>4139</v>
      </c>
      <c r="D986" s="4" t="s">
        <v>3420</v>
      </c>
      <c r="E986" s="5" t="n">
        <v>38336</v>
      </c>
      <c r="F986" s="4" t="n">
        <v>1</v>
      </c>
      <c r="G986" s="4" t="s">
        <v>4140</v>
      </c>
      <c r="H986" s="4" t="n">
        <v>40.11078</v>
      </c>
      <c r="I986" s="4" t="n">
        <v>-88.20923</v>
      </c>
      <c r="J986" s="4" t="s">
        <v>4141</v>
      </c>
      <c r="K986" s="6" t="str">
        <f aca="false">HYPERLINK("https://www.google.com/search?q=Urbana+Free+Library+Urbana+IL+library+website","Search")</f>
        <v>Search</v>
      </c>
      <c r="L986" s="7"/>
      <c r="M986" s="7"/>
    </row>
    <row r="987" customFormat="false" ht="15" hidden="false" customHeight="true" outlineLevel="0" collapsed="false">
      <c r="A987" s="4" t="s">
        <v>3289</v>
      </c>
      <c r="B987" s="4" t="s">
        <v>4142</v>
      </c>
      <c r="C987" s="4" t="s">
        <v>4143</v>
      </c>
      <c r="D987" s="4" t="s">
        <v>1118</v>
      </c>
      <c r="E987" s="5" t="n">
        <v>44206</v>
      </c>
      <c r="F987" s="4" t="n">
        <v>1</v>
      </c>
      <c r="G987" s="4" t="s">
        <v>4144</v>
      </c>
      <c r="H987" s="4" t="n">
        <v>42.19875</v>
      </c>
      <c r="I987" s="4" t="n">
        <v>-87.93662</v>
      </c>
      <c r="J987" s="4" t="s">
        <v>4145</v>
      </c>
      <c r="K987" s="6" t="str">
        <f aca="false">HYPERLINK("https://www.google.com/search?q=Vernon+Area+Public+Library+District+Lincolnshire+IL+library+website","Search")</f>
        <v>Search</v>
      </c>
      <c r="L987" s="7"/>
      <c r="M987" s="7"/>
    </row>
    <row r="988" customFormat="false" ht="15" hidden="false" customHeight="true" outlineLevel="0" collapsed="false">
      <c r="A988" s="4" t="s">
        <v>3289</v>
      </c>
      <c r="B988" s="4" t="s">
        <v>4146</v>
      </c>
      <c r="C988" s="4" t="s">
        <v>1964</v>
      </c>
      <c r="D988" s="4" t="s">
        <v>4147</v>
      </c>
      <c r="E988" s="5" t="n">
        <v>10688</v>
      </c>
      <c r="F988" s="4" t="n">
        <v>1</v>
      </c>
      <c r="G988" s="4" t="s">
        <v>4148</v>
      </c>
      <c r="H988" s="4" t="n">
        <v>40.15502</v>
      </c>
      <c r="I988" s="4" t="n">
        <v>-88.96175</v>
      </c>
      <c r="J988" s="4" t="s">
        <v>4149</v>
      </c>
      <c r="K988" s="6" t="str">
        <f aca="false">HYPERLINK("https://www.google.com/search?q=Vespasian+Warner+Public+Library+District+Clinton+IL+library+website","Search")</f>
        <v>Search</v>
      </c>
      <c r="L988" s="7"/>
      <c r="M988" s="7"/>
    </row>
    <row r="989" customFormat="false" ht="15" hidden="false" customHeight="true" outlineLevel="0" collapsed="false">
      <c r="A989" s="4" t="s">
        <v>3289</v>
      </c>
      <c r="B989" s="4" t="s">
        <v>4150</v>
      </c>
      <c r="C989" s="4" t="s">
        <v>4151</v>
      </c>
      <c r="D989" s="4" t="s">
        <v>3297</v>
      </c>
      <c r="E989" s="5" t="n">
        <v>22263</v>
      </c>
      <c r="F989" s="4" t="n">
        <v>1</v>
      </c>
      <c r="G989" s="4" t="s">
        <v>4152</v>
      </c>
      <c r="H989" s="4" t="n">
        <v>41.88468</v>
      </c>
      <c r="I989" s="4" t="n">
        <v>-87.97897</v>
      </c>
      <c r="J989" s="4" t="s">
        <v>4153</v>
      </c>
      <c r="K989" s="6" t="str">
        <f aca="false">HYPERLINK("https://www.google.com/search?q=Villa+Park+Public+Library+Villa+Park+IL+library+website","Search")</f>
        <v>Search</v>
      </c>
      <c r="L989" s="7"/>
      <c r="M989" s="7"/>
    </row>
    <row r="990" customFormat="false" ht="15" hidden="false" customHeight="true" outlineLevel="0" collapsed="false">
      <c r="A990" s="4" t="s">
        <v>3289</v>
      </c>
      <c r="B990" s="4" t="s">
        <v>4154</v>
      </c>
      <c r="C990" s="4" t="s">
        <v>4155</v>
      </c>
      <c r="D990" s="4" t="s">
        <v>3012</v>
      </c>
      <c r="E990" s="5" t="n">
        <v>16831</v>
      </c>
      <c r="F990" s="4" t="n">
        <v>4</v>
      </c>
      <c r="G990" s="4" t="s">
        <v>4156</v>
      </c>
      <c r="H990" s="4" t="n">
        <v>40.91147</v>
      </c>
      <c r="I990" s="4" t="n">
        <v>-90.64912</v>
      </c>
      <c r="J990" s="4" t="s">
        <v>4157</v>
      </c>
      <c r="K990" s="6" t="str">
        <f aca="false">HYPERLINK("https://www.google.com/search?q=Warren+County+Public+Library+District+Monmouth+IL+library+website","Search")</f>
        <v>Search</v>
      </c>
      <c r="L990" s="7"/>
      <c r="M990" s="7"/>
    </row>
    <row r="991" customFormat="false" ht="15" hidden="false" customHeight="true" outlineLevel="0" collapsed="false">
      <c r="A991" s="4" t="s">
        <v>3289</v>
      </c>
      <c r="B991" s="4" t="s">
        <v>4158</v>
      </c>
      <c r="C991" s="4" t="s">
        <v>4159</v>
      </c>
      <c r="D991" s="4" t="s">
        <v>1118</v>
      </c>
      <c r="E991" s="5" t="n">
        <v>66477</v>
      </c>
      <c r="F991" s="4" t="n">
        <v>1</v>
      </c>
      <c r="G991" s="4" t="s">
        <v>4160</v>
      </c>
      <c r="H991" s="4" t="n">
        <v>42.36319</v>
      </c>
      <c r="I991" s="4" t="n">
        <v>-87.91527</v>
      </c>
      <c r="J991" s="4" t="s">
        <v>4161</v>
      </c>
      <c r="K991" s="6" t="str">
        <f aca="false">HYPERLINK("https://www.google.com/search?q=Warren-Newport+Public+Library+District+Gurnee+IL+library+website","Search")</f>
        <v>Search</v>
      </c>
      <c r="L991" s="7"/>
      <c r="M991" s="7"/>
    </row>
    <row r="992" customFormat="false" ht="15" hidden="false" customHeight="true" outlineLevel="0" collapsed="false">
      <c r="A992" s="4" t="s">
        <v>3289</v>
      </c>
      <c r="B992" s="4" t="s">
        <v>4162</v>
      </c>
      <c r="C992" s="4" t="s">
        <v>4163</v>
      </c>
      <c r="D992" s="4" t="s">
        <v>3297</v>
      </c>
      <c r="E992" s="5" t="n">
        <v>14096</v>
      </c>
      <c r="F992" s="4" t="n">
        <v>1</v>
      </c>
      <c r="G992" s="4" t="s">
        <v>4164</v>
      </c>
      <c r="H992" s="4" t="n">
        <v>41.82332</v>
      </c>
      <c r="I992" s="4" t="n">
        <v>-88.18269</v>
      </c>
      <c r="J992" s="4" t="s">
        <v>4165</v>
      </c>
      <c r="K992" s="6" t="str">
        <f aca="false">HYPERLINK("https://www.google.com/search?q=Warrenville+Public+Library+District+Warrenville+IL+library+website","Search")</f>
        <v>Search</v>
      </c>
      <c r="L992" s="7"/>
      <c r="M992" s="7"/>
    </row>
    <row r="993" customFormat="false" ht="15" hidden="false" customHeight="true" outlineLevel="0" collapsed="false">
      <c r="A993" s="4" t="s">
        <v>3289</v>
      </c>
      <c r="B993" s="4" t="s">
        <v>4166</v>
      </c>
      <c r="C993" s="4" t="s">
        <v>441</v>
      </c>
      <c r="D993" s="4" t="s">
        <v>3572</v>
      </c>
      <c r="E993" s="5" t="n">
        <v>24589</v>
      </c>
      <c r="F993" s="4" t="n">
        <v>2</v>
      </c>
      <c r="G993" s="4" t="s">
        <v>4167</v>
      </c>
      <c r="H993" s="4" t="n">
        <v>40.70769</v>
      </c>
      <c r="I993" s="4" t="n">
        <v>-89.42168</v>
      </c>
      <c r="J993" s="4" t="s">
        <v>4168</v>
      </c>
      <c r="K993" s="6" t="str">
        <f aca="false">HYPERLINK("https://www.google.com/search?q=Washington+District+Library+Washington+IL+library+website","Search")</f>
        <v>Search</v>
      </c>
      <c r="L993" s="7"/>
      <c r="M993" s="7"/>
    </row>
    <row r="994" customFormat="false" ht="15" hidden="false" customHeight="true" outlineLevel="0" collapsed="false">
      <c r="A994" s="4" t="s">
        <v>3289</v>
      </c>
      <c r="B994" s="4" t="s">
        <v>4169</v>
      </c>
      <c r="C994" s="4" t="s">
        <v>4170</v>
      </c>
      <c r="D994" s="4" t="s">
        <v>1118</v>
      </c>
      <c r="E994" s="5" t="n">
        <v>28941</v>
      </c>
      <c r="F994" s="4" t="n">
        <v>1</v>
      </c>
      <c r="G994" s="4" t="s">
        <v>4171</v>
      </c>
      <c r="H994" s="4" t="n">
        <v>42.27062</v>
      </c>
      <c r="I994" s="4" t="n">
        <v>-88.14495</v>
      </c>
      <c r="J994" s="4" t="s">
        <v>4172</v>
      </c>
      <c r="K994" s="6" t="str">
        <f aca="false">HYPERLINK("https://www.google.com/search?q=Wauconda+Area+Public+Library+District+Wauconda+IL+library+website","Search")</f>
        <v>Search</v>
      </c>
      <c r="L994" s="7"/>
      <c r="M994" s="7"/>
    </row>
    <row r="995" customFormat="false" ht="15" hidden="false" customHeight="true" outlineLevel="0" collapsed="false">
      <c r="A995" s="4" t="s">
        <v>3289</v>
      </c>
      <c r="B995" s="4" t="s">
        <v>4173</v>
      </c>
      <c r="C995" s="4" t="s">
        <v>4174</v>
      </c>
      <c r="D995" s="4" t="s">
        <v>1118</v>
      </c>
      <c r="E995" s="5" t="n">
        <v>89321</v>
      </c>
      <c r="F995" s="4" t="n">
        <v>2</v>
      </c>
      <c r="G995" s="4" t="s">
        <v>4175</v>
      </c>
      <c r="H995" s="4" t="n">
        <v>42.36199</v>
      </c>
      <c r="I995" s="4" t="n">
        <v>-87.83318</v>
      </c>
      <c r="J995" s="4" t="s">
        <v>4176</v>
      </c>
      <c r="K995" s="6" t="str">
        <f aca="false">HYPERLINK("https://www.google.com/search?q=Waukegan+Public+Library+Waukegan+IL+library+website","Search")</f>
        <v>Search</v>
      </c>
      <c r="L995" s="7"/>
      <c r="M995" s="7"/>
    </row>
    <row r="996" customFormat="false" ht="15" hidden="false" customHeight="true" outlineLevel="0" collapsed="false">
      <c r="A996" s="4" t="s">
        <v>3289</v>
      </c>
      <c r="B996" s="4" t="s">
        <v>4177</v>
      </c>
      <c r="C996" s="4" t="s">
        <v>4178</v>
      </c>
      <c r="D996" s="4" t="s">
        <v>3297</v>
      </c>
      <c r="E996" s="5" t="n">
        <v>28928</v>
      </c>
      <c r="F996" s="4" t="n">
        <v>1</v>
      </c>
      <c r="G996" s="4" t="s">
        <v>4179</v>
      </c>
      <c r="H996" s="4" t="n">
        <v>41.8843</v>
      </c>
      <c r="I996" s="4" t="n">
        <v>-88.20572</v>
      </c>
      <c r="J996" s="4" t="s">
        <v>4180</v>
      </c>
      <c r="K996" s="6" t="str">
        <f aca="false">HYPERLINK("https://www.google.com/search?q=West+Chicago+Public+Library+District+West+Chicago+IL+library+website","Search")</f>
        <v>Search</v>
      </c>
      <c r="L996" s="7"/>
      <c r="M996" s="7"/>
    </row>
    <row r="997" customFormat="false" ht="15" hidden="false" customHeight="true" outlineLevel="0" collapsed="false">
      <c r="A997" s="4" t="s">
        <v>3289</v>
      </c>
      <c r="B997" s="4" t="s">
        <v>4181</v>
      </c>
      <c r="C997" s="4" t="s">
        <v>4182</v>
      </c>
      <c r="D997" s="4" t="s">
        <v>3292</v>
      </c>
      <c r="E997" s="5" t="n">
        <v>16892</v>
      </c>
      <c r="F997" s="4" t="n">
        <v>1</v>
      </c>
      <c r="G997" s="4" t="s">
        <v>4183</v>
      </c>
      <c r="H997" s="4" t="n">
        <v>41.85526</v>
      </c>
      <c r="I997" s="4" t="n">
        <v>-87.89</v>
      </c>
      <c r="J997" s="4" t="s">
        <v>4184</v>
      </c>
      <c r="K997" s="6" t="str">
        <f aca="false">HYPERLINK("https://www.google.com/search?q=Westchester+Public+Library+Westchester+IL+library+website","Search")</f>
        <v>Search</v>
      </c>
      <c r="L997" s="7"/>
      <c r="M997" s="7"/>
    </row>
    <row r="998" customFormat="false" ht="15" hidden="false" customHeight="true" outlineLevel="0" collapsed="false">
      <c r="A998" s="4" t="s">
        <v>3289</v>
      </c>
      <c r="B998" s="4" t="s">
        <v>4185</v>
      </c>
      <c r="C998" s="4" t="s">
        <v>4186</v>
      </c>
      <c r="D998" s="4" t="s">
        <v>3297</v>
      </c>
      <c r="E998" s="5" t="n">
        <v>24429</v>
      </c>
      <c r="F998" s="4" t="n">
        <v>1</v>
      </c>
      <c r="G998" s="4" t="s">
        <v>4187</v>
      </c>
      <c r="H998" s="4" t="n">
        <v>41.80624</v>
      </c>
      <c r="I998" s="4" t="n">
        <v>-87.97573</v>
      </c>
      <c r="J998" s="4" t="s">
        <v>4188</v>
      </c>
      <c r="K998" s="6" t="str">
        <f aca="false">HYPERLINK("https://www.google.com/search?q=Westmont+Public+Library+Westmont+IL+library+website","Search")</f>
        <v>Search</v>
      </c>
      <c r="L998" s="7"/>
      <c r="M998" s="7"/>
    </row>
    <row r="999" customFormat="false" ht="15" hidden="false" customHeight="true" outlineLevel="0" collapsed="false">
      <c r="A999" s="4" t="s">
        <v>3289</v>
      </c>
      <c r="B999" s="4" t="s">
        <v>4189</v>
      </c>
      <c r="C999" s="4" t="s">
        <v>4190</v>
      </c>
      <c r="D999" s="4" t="s">
        <v>3480</v>
      </c>
      <c r="E999" s="5" t="n">
        <v>11499</v>
      </c>
      <c r="F999" s="4" t="n">
        <v>1</v>
      </c>
      <c r="G999" s="4" t="s">
        <v>4191</v>
      </c>
      <c r="H999" s="4" t="n">
        <v>40.04075</v>
      </c>
      <c r="I999" s="4" t="n">
        <v>-87.63852</v>
      </c>
      <c r="J999" s="4" t="s">
        <v>4192</v>
      </c>
      <c r="K999" s="6" t="str">
        <f aca="false">HYPERLINK("https://www.google.com/search?q=Westville+Public+Library+District+Westville+IL+library+website","Search")</f>
        <v>Search</v>
      </c>
      <c r="L999" s="7"/>
      <c r="M999" s="7"/>
    </row>
    <row r="1000" customFormat="false" ht="15" hidden="false" customHeight="true" outlineLevel="0" collapsed="false">
      <c r="A1000" s="4" t="s">
        <v>3289</v>
      </c>
      <c r="B1000" s="4" t="s">
        <v>4193</v>
      </c>
      <c r="C1000" s="4" t="s">
        <v>4194</v>
      </c>
      <c r="D1000" s="4" t="s">
        <v>3297</v>
      </c>
      <c r="E1000" s="5" t="n">
        <v>53970</v>
      </c>
      <c r="F1000" s="4" t="n">
        <v>1</v>
      </c>
      <c r="G1000" s="4" t="s">
        <v>4195</v>
      </c>
      <c r="H1000" s="4" t="n">
        <v>41.86628</v>
      </c>
      <c r="I1000" s="4" t="n">
        <v>-88.10524</v>
      </c>
      <c r="J1000" s="4" t="s">
        <v>4196</v>
      </c>
      <c r="K1000" s="6" t="str">
        <f aca="false">HYPERLINK("https://www.google.com/search?q=Wheaton+Public+Library+Wheaton+IL+library+website","Search")</f>
        <v>Search</v>
      </c>
      <c r="L1000" s="7"/>
      <c r="M1000" s="7"/>
    </row>
    <row r="1001" customFormat="false" ht="15" hidden="false" customHeight="true" outlineLevel="0" collapsed="false">
      <c r="A1001" s="4" t="s">
        <v>3289</v>
      </c>
      <c r="B1001" s="4" t="s">
        <v>4197</v>
      </c>
      <c r="C1001" s="4" t="s">
        <v>4198</v>
      </c>
      <c r="D1001" s="4" t="s">
        <v>3471</v>
      </c>
      <c r="E1001" s="5" t="n">
        <v>76850</v>
      </c>
      <c r="F1001" s="4" t="n">
        <v>3</v>
      </c>
      <c r="G1001" s="4" t="s">
        <v>4199</v>
      </c>
      <c r="H1001" s="4" t="n">
        <v>41.65449</v>
      </c>
      <c r="I1001" s="4" t="n">
        <v>-88.08568</v>
      </c>
      <c r="J1001" s="4" t="s">
        <v>4200</v>
      </c>
      <c r="K1001" s="6" t="str">
        <f aca="false">HYPERLINK("https://www.google.com/search?q=White+Oak+Library+District+Romeoville+IL+library+website","Search")</f>
        <v>Search</v>
      </c>
      <c r="L1001" s="7"/>
      <c r="M1001" s="7"/>
    </row>
    <row r="1002" customFormat="false" ht="15" hidden="false" customHeight="true" outlineLevel="0" collapsed="false">
      <c r="A1002" s="4" t="s">
        <v>3289</v>
      </c>
      <c r="B1002" s="4" t="s">
        <v>4201</v>
      </c>
      <c r="C1002" s="4" t="s">
        <v>4202</v>
      </c>
      <c r="D1002" s="4" t="s">
        <v>3292</v>
      </c>
      <c r="E1002" s="5" t="n">
        <v>28180</v>
      </c>
      <c r="F1002" s="4" t="n">
        <v>1</v>
      </c>
      <c r="G1002" s="4" t="s">
        <v>4203</v>
      </c>
      <c r="H1002" s="4" t="n">
        <v>42.07459</v>
      </c>
      <c r="I1002" s="4" t="n">
        <v>-87.70922</v>
      </c>
      <c r="J1002" s="4" t="s">
        <v>4204</v>
      </c>
      <c r="K1002" s="6" t="str">
        <f aca="false">HYPERLINK("https://www.google.com/search?q=Wilmette+Public+Library+District+Wilmette+IL+library+website","Search")</f>
        <v>Search</v>
      </c>
      <c r="L1002" s="7"/>
      <c r="M1002" s="7"/>
    </row>
    <row r="1003" customFormat="false" ht="15" hidden="false" customHeight="true" outlineLevel="0" collapsed="false">
      <c r="A1003" s="4" t="s">
        <v>3289</v>
      </c>
      <c r="B1003" s="4" t="s">
        <v>4205</v>
      </c>
      <c r="C1003" s="4" t="s">
        <v>4206</v>
      </c>
      <c r="D1003" s="4" t="s">
        <v>3292</v>
      </c>
      <c r="E1003" s="5" t="n">
        <v>18495</v>
      </c>
      <c r="F1003" s="4" t="n">
        <v>2</v>
      </c>
      <c r="G1003" s="4" t="s">
        <v>4207</v>
      </c>
      <c r="H1003" s="4" t="n">
        <v>42.10455</v>
      </c>
      <c r="I1003" s="4" t="n">
        <v>-87.73299</v>
      </c>
      <c r="J1003" s="4" t="s">
        <v>4208</v>
      </c>
      <c r="K1003" s="6" t="str">
        <f aca="false">HYPERLINK("https://www.google.com/search?q=Winnetka-Northfield+Public+Library+District+Winnetka+IL+library+website","Search")</f>
        <v>Search</v>
      </c>
      <c r="L1003" s="7"/>
      <c r="M1003" s="7"/>
    </row>
    <row r="1004" customFormat="false" ht="15" hidden="false" customHeight="true" outlineLevel="0" collapsed="false">
      <c r="A1004" s="4" t="s">
        <v>3289</v>
      </c>
      <c r="B1004" s="4" t="s">
        <v>4209</v>
      </c>
      <c r="C1004" s="4" t="s">
        <v>4210</v>
      </c>
      <c r="D1004" s="4" t="s">
        <v>3297</v>
      </c>
      <c r="E1004" s="5" t="n">
        <v>12866</v>
      </c>
      <c r="F1004" s="4" t="n">
        <v>1</v>
      </c>
      <c r="G1004" s="4" t="s">
        <v>4211</v>
      </c>
      <c r="H1004" s="4" t="n">
        <v>41.97089</v>
      </c>
      <c r="I1004" s="4" t="n">
        <v>-87.97885</v>
      </c>
      <c r="J1004" s="4" t="s">
        <v>4212</v>
      </c>
      <c r="K1004" s="6" t="str">
        <f aca="false">HYPERLINK("https://www.google.com/search?q=Wood+Dale+Public+Library+District+Wood+Dale+IL+library+website","Search")</f>
        <v>Search</v>
      </c>
      <c r="L1004" s="7"/>
      <c r="M1004" s="7"/>
    </row>
    <row r="1005" customFormat="false" ht="15" hidden="false" customHeight="true" outlineLevel="0" collapsed="false">
      <c r="A1005" s="4" t="s">
        <v>3289</v>
      </c>
      <c r="B1005" s="4" t="s">
        <v>4213</v>
      </c>
      <c r="C1005" s="4" t="s">
        <v>4214</v>
      </c>
      <c r="D1005" s="4" t="s">
        <v>261</v>
      </c>
      <c r="E1005" s="5" t="n">
        <v>10464</v>
      </c>
      <c r="F1005" s="4" t="n">
        <v>1</v>
      </c>
      <c r="G1005" s="4" t="s">
        <v>4215</v>
      </c>
      <c r="H1005" s="4" t="n">
        <v>38.86106</v>
      </c>
      <c r="I1005" s="4" t="n">
        <v>-90.09081</v>
      </c>
      <c r="J1005" s="4" t="s">
        <v>4216</v>
      </c>
      <c r="K1005" s="6" t="str">
        <f aca="false">HYPERLINK("https://www.google.com/search?q=Wood+River+Public+Library+Wood+River+IL+library+website","Search")</f>
        <v>Search</v>
      </c>
      <c r="L1005" s="7"/>
      <c r="M1005" s="7"/>
    </row>
    <row r="1006" customFormat="false" ht="15" hidden="false" customHeight="true" outlineLevel="0" collapsed="false">
      <c r="A1006" s="4" t="s">
        <v>3289</v>
      </c>
      <c r="B1006" s="4" t="s">
        <v>4217</v>
      </c>
      <c r="C1006" s="4" t="s">
        <v>4218</v>
      </c>
      <c r="D1006" s="4" t="s">
        <v>3297</v>
      </c>
      <c r="E1006" s="5" t="n">
        <v>34158</v>
      </c>
      <c r="F1006" s="4" t="n">
        <v>1</v>
      </c>
      <c r="G1006" s="4" t="s">
        <v>4219</v>
      </c>
      <c r="H1006" s="4" t="n">
        <v>41.75534</v>
      </c>
      <c r="I1006" s="4" t="n">
        <v>-88.04452</v>
      </c>
      <c r="J1006" s="4" t="s">
        <v>4220</v>
      </c>
      <c r="K1006" s="6" t="str">
        <f aca="false">HYPERLINK("https://www.google.com/search?q=Woodridge+Public+Library+Woodridge+IL+library+website","Search")</f>
        <v>Search</v>
      </c>
      <c r="L1006" s="7"/>
      <c r="M1006" s="7"/>
    </row>
    <row r="1007" customFormat="false" ht="15" hidden="false" customHeight="true" outlineLevel="0" collapsed="false">
      <c r="A1007" s="4" t="s">
        <v>3289</v>
      </c>
      <c r="B1007" s="4" t="s">
        <v>4221</v>
      </c>
      <c r="C1007" s="4" t="s">
        <v>4222</v>
      </c>
      <c r="D1007" s="4" t="s">
        <v>3302</v>
      </c>
      <c r="E1007" s="5" t="n">
        <v>25630</v>
      </c>
      <c r="F1007" s="4" t="n">
        <v>1</v>
      </c>
      <c r="G1007" s="4" t="s">
        <v>4223</v>
      </c>
      <c r="H1007" s="4" t="n">
        <v>42.31564</v>
      </c>
      <c r="I1007" s="4" t="n">
        <v>-88.45226</v>
      </c>
      <c r="J1007" s="4" t="s">
        <v>4224</v>
      </c>
      <c r="K1007" s="6" t="str">
        <f aca="false">HYPERLINK("https://www.google.com/search?q=Woodstock+Public+Library+Woodstock+IL+library+website","Search")</f>
        <v>Search</v>
      </c>
      <c r="L1007" s="7"/>
      <c r="M1007" s="7"/>
    </row>
    <row r="1008" customFormat="false" ht="15" hidden="false" customHeight="true" outlineLevel="0" collapsed="false">
      <c r="A1008" s="4" t="s">
        <v>3289</v>
      </c>
      <c r="B1008" s="4" t="s">
        <v>4225</v>
      </c>
      <c r="C1008" s="4" t="s">
        <v>2862</v>
      </c>
      <c r="D1008" s="4" t="s">
        <v>3292</v>
      </c>
      <c r="E1008" s="5" t="n">
        <v>10974</v>
      </c>
      <c r="F1008" s="4" t="n">
        <v>1</v>
      </c>
      <c r="G1008" s="4" t="s">
        <v>4226</v>
      </c>
      <c r="H1008" s="4" t="n">
        <v>41.69008</v>
      </c>
      <c r="I1008" s="4" t="n">
        <v>-87.79238</v>
      </c>
      <c r="J1008" s="4" t="s">
        <v>4227</v>
      </c>
      <c r="K1008" s="6" t="str">
        <f aca="false">HYPERLINK("https://www.google.com/search?q=Worth+Public+Library+District+Worth+IL+library+website","Search")</f>
        <v>Search</v>
      </c>
      <c r="L1008" s="7"/>
      <c r="M1008" s="7"/>
    </row>
    <row r="1009" customFormat="false" ht="15" hidden="false" customHeight="true" outlineLevel="0" collapsed="false">
      <c r="A1009" s="4" t="s">
        <v>3289</v>
      </c>
      <c r="B1009" s="4" t="s">
        <v>4228</v>
      </c>
      <c r="C1009" s="4" t="s">
        <v>4229</v>
      </c>
      <c r="D1009" s="4" t="s">
        <v>3936</v>
      </c>
      <c r="E1009" s="5" t="n">
        <v>21533</v>
      </c>
      <c r="F1009" s="4" t="n">
        <v>1</v>
      </c>
      <c r="G1009" s="4" t="s">
        <v>4230</v>
      </c>
      <c r="H1009" s="4" t="n">
        <v>41.65273</v>
      </c>
      <c r="I1009" s="4" t="n">
        <v>-88.45108</v>
      </c>
      <c r="J1009" s="4" t="s">
        <v>4231</v>
      </c>
      <c r="K1009" s="6" t="str">
        <f aca="false">HYPERLINK("https://www.google.com/search?q=Yorkville+Public+Library+Yorkville+IL+library+website","Search")</f>
        <v>Search</v>
      </c>
      <c r="L1009" s="7"/>
      <c r="M1009" s="7"/>
    </row>
    <row r="1010" customFormat="false" ht="15" hidden="false" customHeight="true" outlineLevel="0" collapsed="false">
      <c r="A1010" s="4" t="s">
        <v>3289</v>
      </c>
      <c r="B1010" s="4" t="s">
        <v>4232</v>
      </c>
      <c r="C1010" s="4" t="s">
        <v>4233</v>
      </c>
      <c r="D1010" s="4" t="s">
        <v>1118</v>
      </c>
      <c r="E1010" s="5" t="n">
        <v>42836</v>
      </c>
      <c r="F1010" s="4" t="n">
        <v>1</v>
      </c>
      <c r="G1010" s="4" t="s">
        <v>4234</v>
      </c>
      <c r="H1010" s="4" t="n">
        <v>42.45104</v>
      </c>
      <c r="I1010" s="4" t="n">
        <v>-87.8396</v>
      </c>
      <c r="J1010" s="4" t="s">
        <v>4235</v>
      </c>
      <c r="K1010" s="6" t="str">
        <f aca="false">HYPERLINK("https://www.google.com/search?q=Zion-Benton+Public+Library+District+Zion+IL+library+website","Search")</f>
        <v>Search</v>
      </c>
      <c r="L1010" s="7"/>
      <c r="M1010" s="7"/>
    </row>
    <row r="1011" customFormat="false" ht="15" hidden="false" customHeight="true" outlineLevel="0" collapsed="false">
      <c r="A1011" s="4" t="s">
        <v>4236</v>
      </c>
      <c r="B1011" s="4" t="s">
        <v>4237</v>
      </c>
      <c r="C1011" s="4" t="s">
        <v>155</v>
      </c>
      <c r="D1011" s="4" t="s">
        <v>1749</v>
      </c>
      <c r="E1011" s="5" t="n">
        <v>11170</v>
      </c>
      <c r="F1011" s="4" t="n">
        <v>2</v>
      </c>
      <c r="G1011" s="4" t="s">
        <v>4238</v>
      </c>
      <c r="H1011" s="4" t="n">
        <v>40.82889</v>
      </c>
      <c r="I1011" s="4" t="n">
        <v>-84.92502</v>
      </c>
      <c r="J1011" s="4" t="s">
        <v>4239</v>
      </c>
      <c r="K1011" s="6" t="str">
        <f aca="false">HYPERLINK("https://www.google.com/search?q=Adams+Public+Library+System+Decatur+IN+library+website","Search")</f>
        <v>Search</v>
      </c>
      <c r="L1011" s="7"/>
      <c r="M1011" s="7"/>
    </row>
    <row r="1012" customFormat="false" ht="15" hidden="false" customHeight="true" outlineLevel="0" collapsed="false">
      <c r="A1012" s="4" t="s">
        <v>4236</v>
      </c>
      <c r="B1012" s="4" t="s">
        <v>4240</v>
      </c>
      <c r="C1012" s="4" t="s">
        <v>3392</v>
      </c>
      <c r="D1012" s="4" t="s">
        <v>4241</v>
      </c>
      <c r="E1012" s="5" t="n">
        <v>19391</v>
      </c>
      <c r="F1012" s="4" t="n">
        <v>1</v>
      </c>
      <c r="G1012" s="4" t="s">
        <v>4242</v>
      </c>
      <c r="H1012" s="4" t="n">
        <v>37.93303</v>
      </c>
      <c r="I1012" s="4" t="n">
        <v>-87.89643</v>
      </c>
      <c r="J1012" s="4" t="s">
        <v>4243</v>
      </c>
      <c r="K1012" s="6" t="str">
        <f aca="false">HYPERLINK("https://www.google.com/search?q=Alexandrian+Public+Library+Mount+Vernon+IN+library+website","Search")</f>
        <v>Search</v>
      </c>
      <c r="L1012" s="7"/>
      <c r="M1012" s="7"/>
    </row>
    <row r="1013" customFormat="false" ht="15" hidden="false" customHeight="true" outlineLevel="0" collapsed="false">
      <c r="A1013" s="4" t="s">
        <v>4236</v>
      </c>
      <c r="B1013" s="4" t="s">
        <v>4244</v>
      </c>
      <c r="C1013" s="4" t="s">
        <v>4245</v>
      </c>
      <c r="D1013" s="4" t="s">
        <v>4246</v>
      </c>
      <c r="E1013" s="5" t="n">
        <v>385410</v>
      </c>
      <c r="F1013" s="4" t="n">
        <v>14</v>
      </c>
      <c r="G1013" s="4" t="s">
        <v>4247</v>
      </c>
      <c r="H1013" s="4" t="n">
        <v>41.07762</v>
      </c>
      <c r="I1013" s="4" t="n">
        <v>-85.14327</v>
      </c>
      <c r="J1013" s="4" t="s">
        <v>4248</v>
      </c>
      <c r="K1013" s="6" t="str">
        <f aca="false">HYPERLINK("https://www.google.com/search?q=Allen+County+Public+Library+Fort+Wayne+IN+library+website","Search")</f>
        <v>Search</v>
      </c>
      <c r="L1013" s="7"/>
      <c r="M1013" s="7"/>
    </row>
    <row r="1014" customFormat="false" ht="15" hidden="false" customHeight="true" outlineLevel="0" collapsed="false">
      <c r="A1014" s="4" t="s">
        <v>4236</v>
      </c>
      <c r="B1014" s="4" t="s">
        <v>4249</v>
      </c>
      <c r="C1014" s="4" t="s">
        <v>4250</v>
      </c>
      <c r="D1014" s="4" t="s">
        <v>261</v>
      </c>
      <c r="E1014" s="5" t="n">
        <v>69871</v>
      </c>
      <c r="F1014" s="4" t="n">
        <v>2</v>
      </c>
      <c r="G1014" s="4" t="s">
        <v>4251</v>
      </c>
      <c r="H1014" s="4" t="n">
        <v>40.10411</v>
      </c>
      <c r="I1014" s="4" t="n">
        <v>-85.67771</v>
      </c>
      <c r="J1014" s="4" t="s">
        <v>4252</v>
      </c>
      <c r="K1014" s="6" t="str">
        <f aca="false">HYPERLINK("https://www.google.com/search?q=Anderson+Public+Library+Anderson+IN+library+website","Search")</f>
        <v>Search</v>
      </c>
      <c r="L1014" s="7"/>
      <c r="M1014" s="7"/>
    </row>
    <row r="1015" customFormat="false" ht="15" hidden="false" customHeight="true" outlineLevel="0" collapsed="false">
      <c r="A1015" s="4" t="s">
        <v>4236</v>
      </c>
      <c r="B1015" s="4" t="s">
        <v>3326</v>
      </c>
      <c r="C1015" s="4" t="s">
        <v>1587</v>
      </c>
      <c r="D1015" s="4" t="s">
        <v>4253</v>
      </c>
      <c r="E1015" s="5" t="n">
        <v>16940</v>
      </c>
      <c r="F1015" s="4" t="n">
        <v>3</v>
      </c>
      <c r="G1015" s="4" t="s">
        <v>4254</v>
      </c>
      <c r="H1015" s="4" t="n">
        <v>39.0569</v>
      </c>
      <c r="I1015" s="4" t="n">
        <v>-84.90186</v>
      </c>
      <c r="J1015" s="4" t="s">
        <v>4255</v>
      </c>
      <c r="K1015" s="6" t="str">
        <f aca="false">HYPERLINK("https://www.google.com/search?q=Aurora+Public+Library+District+Aurora+IN+library+website","Search")</f>
        <v>Search</v>
      </c>
      <c r="L1015" s="7"/>
      <c r="M1015" s="7"/>
    </row>
    <row r="1016" customFormat="false" ht="15" hidden="false" customHeight="true" outlineLevel="0" collapsed="false">
      <c r="A1016" s="4" t="s">
        <v>4236</v>
      </c>
      <c r="B1016" s="4" t="s">
        <v>4256</v>
      </c>
      <c r="C1016" s="4" t="s">
        <v>1806</v>
      </c>
      <c r="D1016" s="4" t="s">
        <v>4257</v>
      </c>
      <c r="E1016" s="5" t="n">
        <v>57176</v>
      </c>
      <c r="F1016" s="4" t="n">
        <v>1</v>
      </c>
      <c r="G1016" s="4" t="s">
        <v>4258</v>
      </c>
      <c r="H1016" s="4" t="n">
        <v>39.76964</v>
      </c>
      <c r="I1016" s="4" t="n">
        <v>-86.39961</v>
      </c>
      <c r="J1016" s="4" t="s">
        <v>4259</v>
      </c>
      <c r="K1016" s="6" t="str">
        <f aca="false">HYPERLINK("https://www.google.com/search?q=Avon-Washington+Township+Public+Library+Avon+IN+library+website","Search")</f>
        <v>Search</v>
      </c>
      <c r="L1016" s="7"/>
      <c r="M1016" s="7"/>
    </row>
    <row r="1017" customFormat="false" ht="15" hidden="false" customHeight="true" outlineLevel="0" collapsed="false">
      <c r="A1017" s="4" t="s">
        <v>4236</v>
      </c>
      <c r="B1017" s="4" t="s">
        <v>4260</v>
      </c>
      <c r="C1017" s="4" t="s">
        <v>2626</v>
      </c>
      <c r="D1017" s="4" t="s">
        <v>4261</v>
      </c>
      <c r="E1017" s="5" t="n">
        <v>82111</v>
      </c>
      <c r="F1017" s="4" t="n">
        <v>2</v>
      </c>
      <c r="G1017" s="4" t="s">
        <v>4262</v>
      </c>
      <c r="H1017" s="4" t="n">
        <v>39.20358</v>
      </c>
      <c r="I1017" s="4" t="n">
        <v>-85.91875</v>
      </c>
      <c r="J1017" s="4" t="s">
        <v>4263</v>
      </c>
      <c r="K1017" s="6" t="str">
        <f aca="false">HYPERLINK("https://www.google.com/search?q=Bartholomew+County+Public+Library+Columbus+IN+library+website","Search")</f>
        <v>Search</v>
      </c>
      <c r="L1017" s="7"/>
      <c r="M1017" s="7"/>
    </row>
    <row r="1018" customFormat="false" ht="15" hidden="false" customHeight="true" outlineLevel="0" collapsed="false">
      <c r="A1018" s="4" t="s">
        <v>4236</v>
      </c>
      <c r="B1018" s="4" t="s">
        <v>4264</v>
      </c>
      <c r="C1018" s="4" t="s">
        <v>558</v>
      </c>
      <c r="D1018" s="4" t="s">
        <v>4265</v>
      </c>
      <c r="E1018" s="5" t="n">
        <v>11664</v>
      </c>
      <c r="F1018" s="4" t="n">
        <v>1</v>
      </c>
      <c r="G1018" s="4" t="s">
        <v>4266</v>
      </c>
      <c r="H1018" s="4" t="n">
        <v>39.30029</v>
      </c>
      <c r="I1018" s="4" t="n">
        <v>-85.22234</v>
      </c>
      <c r="J1018" s="4" t="s">
        <v>4267</v>
      </c>
      <c r="K1018" s="6" t="str">
        <f aca="false">HYPERLINK("https://www.google.com/search?q=Batesville+Memorial+Public+Library+Batesville+IN+library+website","Search")</f>
        <v>Search</v>
      </c>
      <c r="L1018" s="7"/>
      <c r="M1018" s="7"/>
    </row>
    <row r="1019" customFormat="false" ht="15" hidden="false" customHeight="true" outlineLevel="0" collapsed="false">
      <c r="A1019" s="4" t="s">
        <v>4236</v>
      </c>
      <c r="B1019" s="4" t="s">
        <v>4268</v>
      </c>
      <c r="C1019" s="4" t="s">
        <v>4269</v>
      </c>
      <c r="D1019" s="4" t="s">
        <v>279</v>
      </c>
      <c r="E1019" s="5" t="n">
        <v>33833</v>
      </c>
      <c r="F1019" s="4" t="n">
        <v>1</v>
      </c>
      <c r="G1019" s="4" t="s">
        <v>4270</v>
      </c>
      <c r="H1019" s="4" t="n">
        <v>38.86367</v>
      </c>
      <c r="I1019" s="4" t="n">
        <v>-86.48571</v>
      </c>
      <c r="J1019" s="4" t="s">
        <v>4271</v>
      </c>
      <c r="K1019" s="6" t="str">
        <f aca="false">HYPERLINK("https://www.google.com/search?q=Bedford+Public+Library+Bedford+IN+library+website","Search")</f>
        <v>Search</v>
      </c>
      <c r="L1019" s="7"/>
      <c r="M1019" s="7"/>
    </row>
    <row r="1020" customFormat="false" ht="15" hidden="false" customHeight="true" outlineLevel="0" collapsed="false">
      <c r="A1020" s="4" t="s">
        <v>4236</v>
      </c>
      <c r="B1020" s="4" t="s">
        <v>4272</v>
      </c>
      <c r="C1020" s="4" t="s">
        <v>1832</v>
      </c>
      <c r="D1020" s="4" t="s">
        <v>591</v>
      </c>
      <c r="E1020" s="5" t="n">
        <v>13835</v>
      </c>
      <c r="F1020" s="4" t="n">
        <v>2</v>
      </c>
      <c r="G1020" s="4" t="s">
        <v>4273</v>
      </c>
      <c r="H1020" s="4" t="n">
        <v>39.02523</v>
      </c>
      <c r="I1020" s="4" t="n">
        <v>-86.93849</v>
      </c>
      <c r="J1020" s="4" t="s">
        <v>4274</v>
      </c>
      <c r="K1020" s="6" t="str">
        <f aca="false">HYPERLINK("https://www.google.com/search?q=Bloomfield-Eastern+Greene+County+Public+Library+Bloomfield+IN+library+website","Search")</f>
        <v>Search</v>
      </c>
      <c r="L1020" s="7"/>
      <c r="M1020" s="7"/>
    </row>
    <row r="1021" customFormat="false" ht="15" hidden="false" customHeight="true" outlineLevel="0" collapsed="false">
      <c r="A1021" s="4" t="s">
        <v>4236</v>
      </c>
      <c r="B1021" s="4" t="s">
        <v>4275</v>
      </c>
      <c r="C1021" s="4" t="s">
        <v>4276</v>
      </c>
      <c r="D1021" s="4" t="s">
        <v>4277</v>
      </c>
      <c r="E1021" s="5" t="n">
        <v>22660</v>
      </c>
      <c r="F1021" s="4" t="n">
        <v>4</v>
      </c>
      <c r="G1021" s="4" t="s">
        <v>4278</v>
      </c>
      <c r="H1021" s="4" t="n">
        <v>38.05008</v>
      </c>
      <c r="I1021" s="4" t="n">
        <v>-87.28148</v>
      </c>
      <c r="J1021" s="4" t="s">
        <v>4279</v>
      </c>
      <c r="K1021" s="6" t="str">
        <f aca="false">HYPERLINK("https://www.google.com/search?q=Boonville-Warrick+County+Public+Library+Boonville+IN+library+website","Search")</f>
        <v>Search</v>
      </c>
      <c r="L1021" s="7"/>
      <c r="M1021" s="7"/>
    </row>
    <row r="1022" customFormat="false" ht="15" hidden="false" customHeight="true" outlineLevel="0" collapsed="false">
      <c r="A1022" s="4" t="s">
        <v>4236</v>
      </c>
      <c r="B1022" s="4" t="s">
        <v>4280</v>
      </c>
      <c r="C1022" s="4" t="s">
        <v>4281</v>
      </c>
      <c r="D1022" s="4" t="s">
        <v>4282</v>
      </c>
      <c r="E1022" s="5" t="n">
        <v>15475</v>
      </c>
      <c r="F1022" s="4" t="n">
        <v>2</v>
      </c>
      <c r="G1022" s="4" t="s">
        <v>4283</v>
      </c>
      <c r="H1022" s="4" t="n">
        <v>39.20948</v>
      </c>
      <c r="I1022" s="4" t="n">
        <v>-86.24548</v>
      </c>
      <c r="J1022" s="4" t="s">
        <v>4284</v>
      </c>
      <c r="K1022" s="6" t="str">
        <f aca="false">HYPERLINK("https://www.google.com/search?q=Brown+County+Public+Library+Nashville+IN+library+website","Search")</f>
        <v>Search</v>
      </c>
      <c r="L1022" s="7"/>
      <c r="M1022" s="7"/>
    </row>
    <row r="1023" customFormat="false" ht="15" hidden="false" customHeight="true" outlineLevel="0" collapsed="false">
      <c r="A1023" s="4" t="s">
        <v>4236</v>
      </c>
      <c r="B1023" s="4" t="s">
        <v>4285</v>
      </c>
      <c r="C1023" s="4" t="s">
        <v>4286</v>
      </c>
      <c r="D1023" s="4" t="s">
        <v>4257</v>
      </c>
      <c r="E1023" s="5" t="n">
        <v>49089</v>
      </c>
      <c r="F1023" s="4" t="n">
        <v>1</v>
      </c>
      <c r="G1023" s="4" t="s">
        <v>4287</v>
      </c>
      <c r="H1023" s="4" t="n">
        <v>39.83676</v>
      </c>
      <c r="I1023" s="4" t="n">
        <v>-86.39591</v>
      </c>
      <c r="J1023" s="4" t="s">
        <v>4288</v>
      </c>
      <c r="K1023" s="6" t="str">
        <f aca="false">HYPERLINK("https://www.google.com/search?q=Brownsburg+Public+Library+Brownsburg+IN+library+website","Search")</f>
        <v>Search</v>
      </c>
      <c r="L1023" s="7"/>
      <c r="M1023" s="7"/>
    </row>
    <row r="1024" customFormat="false" ht="15" hidden="false" customHeight="true" outlineLevel="0" collapsed="false">
      <c r="A1024" s="4" t="s">
        <v>4236</v>
      </c>
      <c r="B1024" s="4" t="s">
        <v>4289</v>
      </c>
      <c r="C1024" s="4" t="s">
        <v>4290</v>
      </c>
      <c r="D1024" s="4" t="s">
        <v>3025</v>
      </c>
      <c r="E1024" s="5" t="n">
        <v>99093</v>
      </c>
      <c r="F1024" s="4" t="n">
        <v>2</v>
      </c>
      <c r="G1024" s="4" t="s">
        <v>4291</v>
      </c>
      <c r="H1024" s="4" t="n">
        <v>39.97775</v>
      </c>
      <c r="I1024" s="4" t="n">
        <v>-86.1226</v>
      </c>
      <c r="J1024" s="4" t="s">
        <v>4292</v>
      </c>
      <c r="K1024" s="6" t="str">
        <f aca="false">HYPERLINK("https://www.google.com/search?q=Carmel+Clay+Public+Library+Carmel+IN+library+website","Search")</f>
        <v>Search</v>
      </c>
      <c r="L1024" s="7"/>
      <c r="M1024" s="8" t="str">
        <f aca="false">HYPERLINK("https://carmel.overdrive.com","https://carmel.overdrive.com")</f>
        <v>https://carmel.overdrive.com</v>
      </c>
    </row>
    <row r="1025" customFormat="false" ht="15" hidden="false" customHeight="true" outlineLevel="0" collapsed="false">
      <c r="A1025" s="4" t="s">
        <v>4236</v>
      </c>
      <c r="B1025" s="4" t="s">
        <v>4293</v>
      </c>
      <c r="C1025" s="4" t="s">
        <v>4294</v>
      </c>
      <c r="D1025" s="4" t="s">
        <v>4295</v>
      </c>
      <c r="E1025" s="5" t="n">
        <v>15134</v>
      </c>
      <c r="F1025" s="4" t="n">
        <v>1</v>
      </c>
      <c r="G1025" s="4" t="s">
        <v>4296</v>
      </c>
      <c r="H1025" s="4" t="n">
        <v>41.63208</v>
      </c>
      <c r="I1025" s="4" t="n">
        <v>-84.99922</v>
      </c>
      <c r="J1025" s="4" t="s">
        <v>4297</v>
      </c>
      <c r="K1025" s="6" t="str">
        <f aca="false">HYPERLINK("https://www.google.com/search?q=Carnegie+Public+Library+Of+Steuben+County+Angola+IN+library+website","Search")</f>
        <v>Search</v>
      </c>
      <c r="L1025" s="7"/>
      <c r="M1025" s="7"/>
    </row>
    <row r="1026" customFormat="false" ht="15" hidden="false" customHeight="true" outlineLevel="0" collapsed="false">
      <c r="A1026" s="4" t="s">
        <v>4236</v>
      </c>
      <c r="B1026" s="4" t="s">
        <v>4298</v>
      </c>
      <c r="C1026" s="4" t="s">
        <v>4299</v>
      </c>
      <c r="D1026" s="4" t="s">
        <v>501</v>
      </c>
      <c r="E1026" s="5" t="n">
        <v>59624</v>
      </c>
      <c r="F1026" s="4" t="n">
        <v>5</v>
      </c>
      <c r="G1026" s="4" t="s">
        <v>4300</v>
      </c>
      <c r="H1026" s="4" t="n">
        <v>38.44838</v>
      </c>
      <c r="I1026" s="4" t="n">
        <v>-85.66826</v>
      </c>
      <c r="J1026" s="4" t="s">
        <v>4301</v>
      </c>
      <c r="K1026" s="6" t="str">
        <f aca="false">HYPERLINK("https://www.google.com/search?q=Charlestown-Clark+County+Public+Library+Charlestown+IN+library+website","Search")</f>
        <v>Search</v>
      </c>
      <c r="L1026" s="7"/>
      <c r="M1026" s="7"/>
    </row>
    <row r="1027" customFormat="false" ht="15" hidden="false" customHeight="true" outlineLevel="0" collapsed="false">
      <c r="A1027" s="4" t="s">
        <v>4236</v>
      </c>
      <c r="B1027" s="4" t="s">
        <v>4302</v>
      </c>
      <c r="C1027" s="4" t="s">
        <v>4303</v>
      </c>
      <c r="D1027" s="4" t="s">
        <v>516</v>
      </c>
      <c r="E1027" s="5" t="n">
        <v>10526</v>
      </c>
      <c r="F1027" s="4" t="n">
        <v>1</v>
      </c>
      <c r="G1027" s="4" t="s">
        <v>4304</v>
      </c>
      <c r="H1027" s="4" t="n">
        <v>38.35236</v>
      </c>
      <c r="I1027" s="4" t="n">
        <v>-86.44324</v>
      </c>
      <c r="J1027" s="4" t="s">
        <v>4305</v>
      </c>
      <c r="K1027" s="6" t="str">
        <f aca="false">HYPERLINK("https://www.google.com/search?q=Crawford+County+Public+Library+English+IN+library+website","Search")</f>
        <v>Search</v>
      </c>
      <c r="L1027" s="7"/>
      <c r="M1027" s="7"/>
    </row>
    <row r="1028" customFormat="false" ht="15" hidden="false" customHeight="true" outlineLevel="0" collapsed="false">
      <c r="A1028" s="4" t="s">
        <v>4236</v>
      </c>
      <c r="B1028" s="4" t="s">
        <v>4306</v>
      </c>
      <c r="C1028" s="4" t="s">
        <v>4307</v>
      </c>
      <c r="D1028" s="4" t="s">
        <v>315</v>
      </c>
      <c r="E1028" s="5" t="n">
        <v>25087</v>
      </c>
      <c r="F1028" s="4" t="n">
        <v>2</v>
      </c>
      <c r="G1028" s="4" t="s">
        <v>4308</v>
      </c>
      <c r="H1028" s="4" t="n">
        <v>40.04012</v>
      </c>
      <c r="I1028" s="4" t="n">
        <v>-86.90142</v>
      </c>
      <c r="J1028" s="4" t="s">
        <v>4309</v>
      </c>
      <c r="K1028" s="6" t="str">
        <f aca="false">HYPERLINK("https://www.google.com/search?q=Crawfordsville+District+Public+Library+Crawforsdsville+IN+library+website","Search")</f>
        <v>Search</v>
      </c>
      <c r="L1028" s="7"/>
      <c r="M1028" s="7"/>
    </row>
    <row r="1029" customFormat="false" ht="15" hidden="false" customHeight="true" outlineLevel="0" collapsed="false">
      <c r="A1029" s="4" t="s">
        <v>4236</v>
      </c>
      <c r="B1029" s="4" t="s">
        <v>4310</v>
      </c>
      <c r="C1029" s="4" t="s">
        <v>4311</v>
      </c>
      <c r="D1029" s="4" t="s">
        <v>1118</v>
      </c>
      <c r="E1029" s="5" t="n">
        <v>51557</v>
      </c>
      <c r="F1029" s="4" t="n">
        <v>2</v>
      </c>
      <c r="G1029" s="4" t="s">
        <v>4312</v>
      </c>
      <c r="H1029" s="4" t="n">
        <v>41.41881</v>
      </c>
      <c r="I1029" s="4" t="n">
        <v>-87.3643</v>
      </c>
      <c r="J1029" s="4" t="s">
        <v>4313</v>
      </c>
      <c r="K1029" s="6" t="str">
        <f aca="false">HYPERLINK("https://www.google.com/search?q=Crown+Point+Community+Public+Library+Crown+Point+IN+library+website","Search")</f>
        <v>Search</v>
      </c>
      <c r="L1029" s="7"/>
      <c r="M1029" s="7"/>
    </row>
    <row r="1030" customFormat="false" ht="15" hidden="false" customHeight="true" outlineLevel="0" collapsed="false">
      <c r="A1030" s="4" t="s">
        <v>4236</v>
      </c>
      <c r="B1030" s="4" t="s">
        <v>4314</v>
      </c>
      <c r="C1030" s="4" t="s">
        <v>3479</v>
      </c>
      <c r="D1030" s="4" t="s">
        <v>4257</v>
      </c>
      <c r="E1030" s="5" t="n">
        <v>14661</v>
      </c>
      <c r="F1030" s="4" t="n">
        <v>1</v>
      </c>
      <c r="G1030" s="4" t="s">
        <v>4315</v>
      </c>
      <c r="H1030" s="4" t="n">
        <v>39.75969</v>
      </c>
      <c r="I1030" s="4" t="n">
        <v>-86.52267</v>
      </c>
      <c r="J1030" s="4" t="s">
        <v>4316</v>
      </c>
      <c r="K1030" s="6" t="str">
        <f aca="false">HYPERLINK("https://www.google.com/search?q=Danville-Center+Township+Public+Library+Danville+IN+library+website","Search")</f>
        <v>Search</v>
      </c>
      <c r="L1030" s="7"/>
      <c r="M1030" s="7"/>
    </row>
    <row r="1031" customFormat="false" ht="15" hidden="false" customHeight="true" outlineLevel="0" collapsed="false">
      <c r="A1031" s="4" t="s">
        <v>4236</v>
      </c>
      <c r="B1031" s="4" t="s">
        <v>4317</v>
      </c>
      <c r="C1031" s="4" t="s">
        <v>4318</v>
      </c>
      <c r="D1031" s="4" t="s">
        <v>1118</v>
      </c>
      <c r="E1031" s="5" t="n">
        <v>26370</v>
      </c>
      <c r="F1031" s="4" t="n">
        <v>6</v>
      </c>
      <c r="G1031" s="4" t="s">
        <v>4319</v>
      </c>
      <c r="H1031" s="4" t="n">
        <v>41.63787</v>
      </c>
      <c r="I1031" s="4" t="n">
        <v>-87.44157</v>
      </c>
      <c r="J1031" s="4" t="s">
        <v>4320</v>
      </c>
      <c r="K1031" s="6" t="str">
        <f aca="false">HYPERLINK("https://www.google.com/search?q=East+Chicago+Public+Library+East+Chicago+IN+library+website","Search")</f>
        <v>Search</v>
      </c>
      <c r="L1031" s="7"/>
      <c r="M1031" s="8" t="str">
        <f aca="false">HYPERLINK("https://ecpl.overdrive.com","https://ecpl.overdrive.com")</f>
        <v>https://ecpl.overdrive.com</v>
      </c>
    </row>
    <row r="1032" customFormat="false" ht="15" hidden="false" customHeight="true" outlineLevel="0" collapsed="false">
      <c r="A1032" s="4" t="s">
        <v>4236</v>
      </c>
      <c r="B1032" s="4" t="s">
        <v>4321</v>
      </c>
      <c r="C1032" s="4" t="s">
        <v>82</v>
      </c>
      <c r="D1032" s="4" t="s">
        <v>211</v>
      </c>
      <c r="E1032" s="5" t="n">
        <v>14456</v>
      </c>
      <c r="F1032" s="4" t="n">
        <v>3</v>
      </c>
      <c r="G1032" s="4" t="s">
        <v>4322</v>
      </c>
      <c r="H1032" s="4" t="n">
        <v>41.36398</v>
      </c>
      <c r="I1032" s="4" t="n">
        <v>-85.05705</v>
      </c>
      <c r="J1032" s="4" t="s">
        <v>4323</v>
      </c>
      <c r="K1032" s="6" t="str">
        <f aca="false">HYPERLINK("https://www.google.com/search?q=Eckhart+Public+Library+Auburn+IN+library+website","Search")</f>
        <v>Search</v>
      </c>
      <c r="L1032" s="7"/>
      <c r="M1032" s="7"/>
    </row>
    <row r="1033" customFormat="false" ht="15" hidden="false" customHeight="true" outlineLevel="0" collapsed="false">
      <c r="A1033" s="4" t="s">
        <v>4236</v>
      </c>
      <c r="B1033" s="4" t="s">
        <v>4324</v>
      </c>
      <c r="C1033" s="4" t="s">
        <v>4325</v>
      </c>
      <c r="D1033" s="4" t="s">
        <v>4325</v>
      </c>
      <c r="E1033" s="5" t="n">
        <v>95908</v>
      </c>
      <c r="F1033" s="4" t="n">
        <v>5</v>
      </c>
      <c r="G1033" s="4" t="s">
        <v>4326</v>
      </c>
      <c r="H1033" s="4" t="n">
        <v>41.68449</v>
      </c>
      <c r="I1033" s="4" t="n">
        <v>-85.97368</v>
      </c>
      <c r="J1033" s="4" t="s">
        <v>4327</v>
      </c>
      <c r="K1033" s="6" t="str">
        <f aca="false">HYPERLINK("https://www.google.com/search?q=Elkhart+Public+Library+Elkhart+IN+library+website","Search")</f>
        <v>Search</v>
      </c>
      <c r="L1033" s="7"/>
      <c r="M1033" s="7"/>
    </row>
    <row r="1034" customFormat="false" ht="15" hidden="false" customHeight="true" outlineLevel="0" collapsed="false">
      <c r="A1034" s="4" t="s">
        <v>4236</v>
      </c>
      <c r="B1034" s="4" t="s">
        <v>4328</v>
      </c>
      <c r="C1034" s="4" t="s">
        <v>4329</v>
      </c>
      <c r="D1034" s="4" t="s">
        <v>4330</v>
      </c>
      <c r="E1034" s="5" t="n">
        <v>180136</v>
      </c>
      <c r="F1034" s="4" t="n">
        <v>8</v>
      </c>
      <c r="G1034" s="4" t="s">
        <v>4331</v>
      </c>
      <c r="H1034" s="4" t="n">
        <v>37.97102</v>
      </c>
      <c r="I1034" s="4" t="n">
        <v>-87.566</v>
      </c>
      <c r="J1034" s="4" t="s">
        <v>4332</v>
      </c>
      <c r="K1034" s="6" t="str">
        <f aca="false">HYPERLINK("https://www.google.com/search?q=Evansville-Vanderburgh+Public+Library+Evansville+IN+library+website","Search")</f>
        <v>Search</v>
      </c>
      <c r="L1034" s="7"/>
      <c r="M1034" s="8" t="str">
        <f aca="false">HYPERLINK("https://evpl.overdrive.com","https://evpl.overdrive.com")</f>
        <v>https://evpl.overdrive.com</v>
      </c>
    </row>
    <row r="1035" customFormat="false" ht="15" hidden="false" customHeight="true" outlineLevel="0" collapsed="false">
      <c r="A1035" s="4" t="s">
        <v>4236</v>
      </c>
      <c r="B1035" s="4" t="s">
        <v>4333</v>
      </c>
      <c r="C1035" s="4" t="s">
        <v>4334</v>
      </c>
      <c r="D1035" s="4" t="s">
        <v>197</v>
      </c>
      <c r="E1035" s="5" t="n">
        <v>23398</v>
      </c>
      <c r="F1035" s="4" t="n">
        <v>1</v>
      </c>
      <c r="G1035" s="4" t="s">
        <v>4335</v>
      </c>
      <c r="H1035" s="4" t="n">
        <v>39.64568</v>
      </c>
      <c r="I1035" s="4" t="n">
        <v>-85.1377</v>
      </c>
      <c r="J1035" s="4" t="s">
        <v>4336</v>
      </c>
      <c r="K1035" s="6" t="str">
        <f aca="false">HYPERLINK("https://www.google.com/search?q=Fayette+County+Public+Library+Connersville+IN+library+website","Search")</f>
        <v>Search</v>
      </c>
      <c r="L1035" s="7"/>
      <c r="M1035" s="7"/>
    </row>
    <row r="1036" customFormat="false" ht="15" hidden="false" customHeight="true" outlineLevel="0" collapsed="false">
      <c r="A1036" s="4" t="s">
        <v>4236</v>
      </c>
      <c r="B1036" s="4" t="s">
        <v>4337</v>
      </c>
      <c r="C1036" s="4" t="s">
        <v>4338</v>
      </c>
      <c r="D1036" s="4" t="s">
        <v>4339</v>
      </c>
      <c r="E1036" s="5" t="n">
        <v>15615</v>
      </c>
      <c r="F1036" s="4" t="n">
        <v>1</v>
      </c>
      <c r="G1036" s="4" t="s">
        <v>4340</v>
      </c>
      <c r="H1036" s="4" t="n">
        <v>39.93406</v>
      </c>
      <c r="I1036" s="4" t="n">
        <v>-85.84285</v>
      </c>
      <c r="J1036" s="4" t="s">
        <v>4341</v>
      </c>
      <c r="K1036" s="6" t="str">
        <f aca="false">HYPERLINK("https://www.google.com/search?q=Fortville-Vernon+Township+Public+Library+Fortville+IN+library+website","Search")</f>
        <v>Search</v>
      </c>
      <c r="L1036" s="7"/>
      <c r="M1036" s="7"/>
    </row>
    <row r="1037" customFormat="false" ht="15" hidden="false" customHeight="true" outlineLevel="0" collapsed="false">
      <c r="A1037" s="4" t="s">
        <v>4236</v>
      </c>
      <c r="B1037" s="4" t="s">
        <v>4342</v>
      </c>
      <c r="C1037" s="4" t="s">
        <v>3596</v>
      </c>
      <c r="D1037" s="4" t="s">
        <v>1964</v>
      </c>
      <c r="E1037" s="5" t="n">
        <v>31417</v>
      </c>
      <c r="F1037" s="4" t="n">
        <v>4</v>
      </c>
      <c r="G1037" s="4" t="s">
        <v>4343</v>
      </c>
      <c r="H1037" s="4" t="n">
        <v>40.28069</v>
      </c>
      <c r="I1037" s="4" t="n">
        <v>-86.51353</v>
      </c>
      <c r="J1037" s="4" t="s">
        <v>4344</v>
      </c>
      <c r="K1037" s="6" t="str">
        <f aca="false">HYPERLINK("https://www.google.com/search?q=Frankfort+Community+Public+Library-Clinton+County+Contractua+Frankfort+IN+library+website","Search")</f>
        <v>Search</v>
      </c>
      <c r="L1037" s="7"/>
      <c r="M1037" s="7"/>
    </row>
    <row r="1038" customFormat="false" ht="15" hidden="false" customHeight="true" outlineLevel="0" collapsed="false">
      <c r="A1038" s="4" t="s">
        <v>4236</v>
      </c>
      <c r="B1038" s="4" t="s">
        <v>4345</v>
      </c>
      <c r="C1038" s="4" t="s">
        <v>4346</v>
      </c>
      <c r="D1038" s="4" t="s">
        <v>384</v>
      </c>
      <c r="E1038" s="5" t="n">
        <v>10596</v>
      </c>
      <c r="F1038" s="4" t="n">
        <v>2</v>
      </c>
      <c r="G1038" s="4" t="s">
        <v>4347</v>
      </c>
      <c r="H1038" s="4" t="n">
        <v>39.42465</v>
      </c>
      <c r="I1038" s="4" t="n">
        <v>-85.01264</v>
      </c>
      <c r="J1038" s="4" t="s">
        <v>4348</v>
      </c>
      <c r="K1038" s="6" t="str">
        <f aca="false">HYPERLINK("https://www.google.com/search?q=Franklin+County+Public+Library+District+Brookville+IN+library+website","Search")</f>
        <v>Search</v>
      </c>
      <c r="L1038" s="7"/>
      <c r="M1038" s="7"/>
    </row>
    <row r="1039" customFormat="false" ht="15" hidden="false" customHeight="true" outlineLevel="0" collapsed="false">
      <c r="A1039" s="4" t="s">
        <v>4236</v>
      </c>
      <c r="B1039" s="4" t="s">
        <v>4349</v>
      </c>
      <c r="C1039" s="4" t="s">
        <v>4350</v>
      </c>
      <c r="D1039" s="4" t="s">
        <v>2691</v>
      </c>
      <c r="E1039" s="5" t="n">
        <v>16149</v>
      </c>
      <c r="F1039" s="4" t="n">
        <v>3</v>
      </c>
      <c r="G1039" s="4" t="s">
        <v>4351</v>
      </c>
      <c r="H1039" s="4" t="n">
        <v>41.06728</v>
      </c>
      <c r="I1039" s="4" t="n">
        <v>-86.2194</v>
      </c>
      <c r="J1039" s="4" t="s">
        <v>4352</v>
      </c>
      <c r="K1039" s="6" t="str">
        <f aca="false">HYPERLINK("https://www.google.com/search?q=Fulton+County+Public+Library+Rochester+IN+library+website","Search")</f>
        <v>Search</v>
      </c>
      <c r="L1039" s="7"/>
      <c r="M1039" s="7"/>
    </row>
    <row r="1040" customFormat="false" ht="15" hidden="false" customHeight="true" outlineLevel="0" collapsed="false">
      <c r="A1040" s="4" t="s">
        <v>4236</v>
      </c>
      <c r="B1040" s="4" t="s">
        <v>4353</v>
      </c>
      <c r="C1040" s="4" t="s">
        <v>4354</v>
      </c>
      <c r="D1040" s="4" t="s">
        <v>1118</v>
      </c>
      <c r="E1040" s="5" t="n">
        <v>64976</v>
      </c>
      <c r="F1040" s="4" t="n">
        <v>3</v>
      </c>
      <c r="G1040" s="4" t="s">
        <v>4355</v>
      </c>
      <c r="H1040" s="4" t="n">
        <v>41.60206</v>
      </c>
      <c r="I1040" s="4" t="n">
        <v>-87.34066</v>
      </c>
      <c r="J1040" s="4" t="s">
        <v>4356</v>
      </c>
      <c r="K1040" s="6" t="str">
        <f aca="false">HYPERLINK("https://www.google.com/search?q=Gary+Public+Library+Gary+IN+library+website","Search")</f>
        <v>Search</v>
      </c>
      <c r="L1040" s="7"/>
      <c r="M1040" s="8" t="str">
        <f aca="false">HYPERLINK("https://gplebooks.overdrive.com","https://gplebooks.overdrive.com")</f>
        <v>https://gplebooks.overdrive.com</v>
      </c>
    </row>
    <row r="1041" customFormat="false" ht="15" hidden="false" customHeight="true" outlineLevel="0" collapsed="false">
      <c r="A1041" s="4" t="s">
        <v>4236</v>
      </c>
      <c r="B1041" s="4" t="s">
        <v>4357</v>
      </c>
      <c r="C1041" s="4" t="s">
        <v>4358</v>
      </c>
      <c r="D1041" s="4" t="s">
        <v>4325</v>
      </c>
      <c r="E1041" s="5" t="n">
        <v>38606</v>
      </c>
      <c r="F1041" s="4" t="n">
        <v>1</v>
      </c>
      <c r="G1041" s="4" t="s">
        <v>4359</v>
      </c>
      <c r="H1041" s="4" t="n">
        <v>41.57924</v>
      </c>
      <c r="I1041" s="4" t="n">
        <v>-85.83286</v>
      </c>
      <c r="J1041" s="4" t="s">
        <v>4360</v>
      </c>
      <c r="K1041" s="6" t="str">
        <f aca="false">HYPERLINK("https://www.google.com/search?q=Goshen+Public+Library+Goshen+IN+library+website","Search")</f>
        <v>Search</v>
      </c>
      <c r="L1041" s="7"/>
      <c r="M1041" s="7"/>
    </row>
    <row r="1042" customFormat="false" ht="15" hidden="false" customHeight="true" outlineLevel="0" collapsed="false">
      <c r="A1042" s="4" t="s">
        <v>4236</v>
      </c>
      <c r="B1042" s="4" t="s">
        <v>4361</v>
      </c>
      <c r="C1042" s="4" t="s">
        <v>4362</v>
      </c>
      <c r="D1042" s="4" t="s">
        <v>155</v>
      </c>
      <c r="E1042" s="5" t="n">
        <v>26472</v>
      </c>
      <c r="F1042" s="4" t="n">
        <v>2</v>
      </c>
      <c r="G1042" s="4" t="s">
        <v>4363</v>
      </c>
      <c r="H1042" s="4" t="n">
        <v>39.33667</v>
      </c>
      <c r="I1042" s="4" t="n">
        <v>-85.46785</v>
      </c>
      <c r="J1042" s="4" t="s">
        <v>4364</v>
      </c>
      <c r="K1042" s="6" t="str">
        <f aca="false">HYPERLINK("https://www.google.com/search?q=Greensburg-Decatur+County+Contractual+Public+Library+Greensburg+IN+library+website","Search")</f>
        <v>Search</v>
      </c>
      <c r="L1042" s="7"/>
      <c r="M1042" s="7"/>
    </row>
    <row r="1043" customFormat="false" ht="15" hidden="false" customHeight="true" outlineLevel="0" collapsed="false">
      <c r="A1043" s="4" t="s">
        <v>4236</v>
      </c>
      <c r="B1043" s="4" t="s">
        <v>4365</v>
      </c>
      <c r="C1043" s="4" t="s">
        <v>619</v>
      </c>
      <c r="D1043" s="4" t="s">
        <v>2942</v>
      </c>
      <c r="E1043" s="5" t="n">
        <v>33151</v>
      </c>
      <c r="F1043" s="4" t="n">
        <v>1</v>
      </c>
      <c r="G1043" s="4" t="s">
        <v>4366</v>
      </c>
      <c r="H1043" s="4" t="n">
        <v>39.61156</v>
      </c>
      <c r="I1043" s="4" t="n">
        <v>-86.10633</v>
      </c>
      <c r="J1043" s="4" t="s">
        <v>4367</v>
      </c>
      <c r="K1043" s="6" t="str">
        <f aca="false">HYPERLINK("https://www.google.com/search?q=Greenwood+Public+Library+Greenwood+IN+library+website","Search")</f>
        <v>Search</v>
      </c>
      <c r="L1043" s="7"/>
      <c r="M1043" s="7"/>
    </row>
    <row r="1044" customFormat="false" ht="15" hidden="false" customHeight="true" outlineLevel="0" collapsed="false">
      <c r="A1044" s="4" t="s">
        <v>4236</v>
      </c>
      <c r="B1044" s="4" t="s">
        <v>4368</v>
      </c>
      <c r="C1044" s="4" t="s">
        <v>4369</v>
      </c>
      <c r="D1044" s="4" t="s">
        <v>3025</v>
      </c>
      <c r="E1044" s="5" t="n">
        <v>180617</v>
      </c>
      <c r="F1044" s="4" t="n">
        <v>2</v>
      </c>
      <c r="G1044" s="4" t="s">
        <v>4370</v>
      </c>
      <c r="H1044" s="4" t="n">
        <v>40.04624</v>
      </c>
      <c r="I1044" s="4" t="n">
        <v>-85.9951</v>
      </c>
      <c r="J1044" s="4" t="s">
        <v>4371</v>
      </c>
      <c r="K1044" s="6" t="str">
        <f aca="false">HYPERLINK("https://www.google.com/search?q=Hamilton+East+Public+Library+Noblesville+IN+library+website","Search")</f>
        <v>Search</v>
      </c>
      <c r="L1044" s="7"/>
      <c r="M1044" s="8" t="str">
        <f aca="false">HYPERLINK("https://hepl.overdrive.com","https://hepl.overdrive.com")</f>
        <v>https://hepl.overdrive.com</v>
      </c>
    </row>
    <row r="1045" customFormat="false" ht="15" hidden="false" customHeight="true" outlineLevel="0" collapsed="false">
      <c r="A1045" s="4" t="s">
        <v>4236</v>
      </c>
      <c r="B1045" s="4" t="s">
        <v>4372</v>
      </c>
      <c r="C1045" s="4" t="s">
        <v>3454</v>
      </c>
      <c r="D1045" s="4" t="s">
        <v>3025</v>
      </c>
      <c r="E1045" s="5" t="n">
        <v>10863</v>
      </c>
      <c r="F1045" s="4" t="n">
        <v>2</v>
      </c>
      <c r="G1045" s="4" t="s">
        <v>4373</v>
      </c>
      <c r="H1045" s="4" t="n">
        <v>40.12384</v>
      </c>
      <c r="I1045" s="4" t="n">
        <v>-86.01707</v>
      </c>
      <c r="J1045" s="4" t="s">
        <v>4374</v>
      </c>
      <c r="K1045" s="6" t="str">
        <f aca="false">HYPERLINK("https://www.google.com/search?q=Hamilton+North+Public+Library+Cicero+IN+library+website","Search")</f>
        <v>Search</v>
      </c>
      <c r="L1045" s="7"/>
      <c r="M1045" s="7"/>
    </row>
    <row r="1046" customFormat="false" ht="15" hidden="false" customHeight="true" outlineLevel="0" collapsed="false">
      <c r="A1046" s="4" t="s">
        <v>4236</v>
      </c>
      <c r="B1046" s="4" t="s">
        <v>4375</v>
      </c>
      <c r="C1046" s="4" t="s">
        <v>4376</v>
      </c>
      <c r="D1046" s="4" t="s">
        <v>1118</v>
      </c>
      <c r="E1046" s="5" t="n">
        <v>77879</v>
      </c>
      <c r="F1046" s="4" t="n">
        <v>1</v>
      </c>
      <c r="G1046" s="4" t="s">
        <v>4377</v>
      </c>
      <c r="H1046" s="4" t="n">
        <v>41.61766</v>
      </c>
      <c r="I1046" s="4" t="n">
        <v>-87.51454</v>
      </c>
      <c r="J1046" s="4" t="s">
        <v>4378</v>
      </c>
      <c r="K1046" s="6" t="str">
        <f aca="false">HYPERLINK("https://www.google.com/search?q=Hammond+Public+Library+Hammond+IN+library+website","Search")</f>
        <v>Search</v>
      </c>
      <c r="L1046" s="7"/>
      <c r="M1046" s="7"/>
    </row>
    <row r="1047" customFormat="false" ht="15" hidden="false" customHeight="true" outlineLevel="0" collapsed="false">
      <c r="A1047" s="4" t="s">
        <v>4236</v>
      </c>
      <c r="B1047" s="4" t="s">
        <v>4379</v>
      </c>
      <c r="C1047" s="4" t="s">
        <v>4380</v>
      </c>
      <c r="D1047" s="4" t="s">
        <v>4339</v>
      </c>
      <c r="E1047" s="5" t="n">
        <v>64225</v>
      </c>
      <c r="F1047" s="4" t="n">
        <v>2</v>
      </c>
      <c r="G1047" s="4" t="s">
        <v>4381</v>
      </c>
      <c r="H1047" s="4" t="n">
        <v>39.79926</v>
      </c>
      <c r="I1047" s="4" t="n">
        <v>-85.78367</v>
      </c>
      <c r="J1047" s="4" t="s">
        <v>4382</v>
      </c>
      <c r="K1047" s="6" t="str">
        <f aca="false">HYPERLINK("https://www.google.com/search?q=Hancock+County+Public+Library+Greenfield+IN+library+website","Search")</f>
        <v>Search</v>
      </c>
      <c r="L1047" s="7"/>
      <c r="M1047" s="7"/>
    </row>
    <row r="1048" customFormat="false" ht="15" hidden="false" customHeight="true" outlineLevel="0" collapsed="false">
      <c r="A1048" s="4" t="s">
        <v>4236</v>
      </c>
      <c r="B1048" s="4" t="s">
        <v>4383</v>
      </c>
      <c r="C1048" s="4" t="s">
        <v>4384</v>
      </c>
      <c r="D1048" s="4" t="s">
        <v>485</v>
      </c>
      <c r="E1048" s="5" t="n">
        <v>39654</v>
      </c>
      <c r="F1048" s="4" t="n">
        <v>5</v>
      </c>
      <c r="G1048" s="4" t="s">
        <v>4385</v>
      </c>
      <c r="H1048" s="4" t="n">
        <v>38.21075</v>
      </c>
      <c r="I1048" s="4" t="n">
        <v>-86.12638</v>
      </c>
      <c r="J1048" s="4" t="s">
        <v>4386</v>
      </c>
      <c r="K1048" s="6" t="str">
        <f aca="false">HYPERLINK("https://www.google.com/search?q=Harrison+County+Public+Library+Corydon+IN+library+website","Search")</f>
        <v>Search</v>
      </c>
      <c r="L1048" s="7"/>
      <c r="M1048" s="7"/>
    </row>
    <row r="1049" customFormat="false" ht="15" hidden="false" customHeight="true" outlineLevel="0" collapsed="false">
      <c r="A1049" s="4" t="s">
        <v>4236</v>
      </c>
      <c r="B1049" s="4" t="s">
        <v>4387</v>
      </c>
      <c r="C1049" s="4" t="s">
        <v>4388</v>
      </c>
      <c r="D1049" s="4" t="s">
        <v>4388</v>
      </c>
      <c r="E1049" s="5" t="n">
        <v>21397</v>
      </c>
      <c r="F1049" s="4" t="n">
        <v>2</v>
      </c>
      <c r="G1049" s="4" t="s">
        <v>4389</v>
      </c>
      <c r="H1049" s="4" t="n">
        <v>40.88247</v>
      </c>
      <c r="I1049" s="4" t="n">
        <v>-85.49788</v>
      </c>
      <c r="J1049" s="4" t="s">
        <v>4390</v>
      </c>
      <c r="K1049" s="6" t="str">
        <f aca="false">HYPERLINK("https://www.google.com/search?q=Huntington+City-Township+Public+Library+Huntington+IN+library+website","Search")</f>
        <v>Search</v>
      </c>
      <c r="L1049" s="7"/>
      <c r="M1049" s="7"/>
    </row>
    <row r="1050" customFormat="false" ht="15" hidden="false" customHeight="true" outlineLevel="0" collapsed="false">
      <c r="A1050" s="4" t="s">
        <v>4236</v>
      </c>
      <c r="B1050" s="4" t="s">
        <v>4391</v>
      </c>
      <c r="C1050" s="4" t="s">
        <v>4392</v>
      </c>
      <c r="D1050" s="4" t="s">
        <v>486</v>
      </c>
      <c r="E1050" s="5" t="n">
        <v>44011</v>
      </c>
      <c r="F1050" s="4" t="n">
        <v>1</v>
      </c>
      <c r="G1050" s="4" t="s">
        <v>4393</v>
      </c>
      <c r="H1050" s="4" t="n">
        <v>39.95347</v>
      </c>
      <c r="I1050" s="4" t="n">
        <v>-86.26571</v>
      </c>
      <c r="J1050" s="4" t="s">
        <v>4394</v>
      </c>
      <c r="K1050" s="6" t="str">
        <f aca="false">HYPERLINK("https://www.google.com/search?q=Hussey-Mayfield+Memorial+Public+Library+Zionsville+IN+library+website","Search")</f>
        <v>Search</v>
      </c>
      <c r="L1050" s="7"/>
      <c r="M1050" s="7"/>
    </row>
    <row r="1051" customFormat="false" ht="15" hidden="false" customHeight="true" outlineLevel="0" collapsed="false">
      <c r="A1051" s="4" t="s">
        <v>4236</v>
      </c>
      <c r="B1051" s="4" t="s">
        <v>4395</v>
      </c>
      <c r="C1051" s="4" t="s">
        <v>4396</v>
      </c>
      <c r="D1051" s="4" t="s">
        <v>572</v>
      </c>
      <c r="E1051" s="5" t="n">
        <v>963251</v>
      </c>
      <c r="F1051" s="4" t="n">
        <v>24</v>
      </c>
      <c r="G1051" s="4" t="s">
        <v>4397</v>
      </c>
      <c r="H1051" s="4" t="n">
        <v>39.77797</v>
      </c>
      <c r="I1051" s="4" t="n">
        <v>-86.15677</v>
      </c>
      <c r="J1051" s="4" t="s">
        <v>4398</v>
      </c>
      <c r="K1051" s="6" t="str">
        <f aca="false">HYPERLINK("https://www.google.com/search?q=Indianapolis+Public+Library+Indianapolis+IN+library+website","Search")</f>
        <v>Search</v>
      </c>
      <c r="L1051" s="7"/>
      <c r="M1051" s="8" t="str">
        <f aca="false">HYPERLINK("https://indypl.overdrive.com","https://indypl.overdrive.com")</f>
        <v>https://indypl.overdrive.com</v>
      </c>
    </row>
    <row r="1052" customFormat="false" ht="15" hidden="false" customHeight="true" outlineLevel="0" collapsed="false">
      <c r="A1052" s="4" t="s">
        <v>4236</v>
      </c>
      <c r="B1052" s="4" t="s">
        <v>4399</v>
      </c>
      <c r="C1052" s="4" t="s">
        <v>2091</v>
      </c>
      <c r="D1052" s="4" t="s">
        <v>389</v>
      </c>
      <c r="E1052" s="5" t="n">
        <v>39103</v>
      </c>
      <c r="F1052" s="4" t="n">
        <v>3</v>
      </c>
      <c r="G1052" s="4" t="s">
        <v>4400</v>
      </c>
      <c r="H1052" s="4" t="n">
        <v>38.95875</v>
      </c>
      <c r="I1052" s="4" t="n">
        <v>-85.89205</v>
      </c>
      <c r="J1052" s="4" t="s">
        <v>4401</v>
      </c>
      <c r="K1052" s="6" t="str">
        <f aca="false">HYPERLINK("https://www.google.com/search?q=Jackson+County+Public+Library+Seymour+IN+library+website","Search")</f>
        <v>Search</v>
      </c>
      <c r="L1052" s="7"/>
      <c r="M1052" s="7"/>
    </row>
    <row r="1053" customFormat="false" ht="15" hidden="false" customHeight="true" outlineLevel="0" collapsed="false">
      <c r="A1053" s="4" t="s">
        <v>4236</v>
      </c>
      <c r="B1053" s="4" t="s">
        <v>4402</v>
      </c>
      <c r="C1053" s="4" t="s">
        <v>4403</v>
      </c>
      <c r="D1053" s="4" t="s">
        <v>273</v>
      </c>
      <c r="E1053" s="5" t="n">
        <v>30993</v>
      </c>
      <c r="F1053" s="4" t="n">
        <v>3</v>
      </c>
      <c r="G1053" s="4" t="s">
        <v>4404</v>
      </c>
      <c r="H1053" s="4" t="n">
        <v>40.93818</v>
      </c>
      <c r="I1053" s="4" t="n">
        <v>-87.15471</v>
      </c>
      <c r="J1053" s="4" t="s">
        <v>4405</v>
      </c>
      <c r="K1053" s="6" t="str">
        <f aca="false">HYPERLINK("https://www.google.com/search?q=Jasper+County+Public+Library+Rensselaer+IN+library+website","Search")</f>
        <v>Search</v>
      </c>
      <c r="L1053" s="7"/>
      <c r="M1053" s="7"/>
    </row>
    <row r="1054" customFormat="false" ht="15" hidden="false" customHeight="true" outlineLevel="0" collapsed="false">
      <c r="A1054" s="4" t="s">
        <v>4236</v>
      </c>
      <c r="B1054" s="4" t="s">
        <v>4406</v>
      </c>
      <c r="C1054" s="4" t="s">
        <v>273</v>
      </c>
      <c r="D1054" s="4" t="s">
        <v>4407</v>
      </c>
      <c r="E1054" s="5" t="n">
        <v>33733</v>
      </c>
      <c r="F1054" s="4" t="n">
        <v>4</v>
      </c>
      <c r="G1054" s="4" t="s">
        <v>4408</v>
      </c>
      <c r="H1054" s="4" t="n">
        <v>38.38923</v>
      </c>
      <c r="I1054" s="4" t="n">
        <v>-86.93029</v>
      </c>
      <c r="J1054" s="4" t="s">
        <v>4409</v>
      </c>
      <c r="K1054" s="6" t="str">
        <f aca="false">HYPERLINK("https://www.google.com/search?q=Jasper-Dubois+County+Contractual+Public+Library+Jasper+IN+library+website","Search")</f>
        <v>Search</v>
      </c>
      <c r="L1054" s="7"/>
      <c r="M1054" s="7"/>
    </row>
    <row r="1055" customFormat="false" ht="15" hidden="false" customHeight="true" outlineLevel="0" collapsed="false">
      <c r="A1055" s="4" t="s">
        <v>4236</v>
      </c>
      <c r="B1055" s="4" t="s">
        <v>4410</v>
      </c>
      <c r="C1055" s="4" t="s">
        <v>4411</v>
      </c>
      <c r="D1055" s="4" t="s">
        <v>4412</v>
      </c>
      <c r="E1055" s="5" t="n">
        <v>17124</v>
      </c>
      <c r="F1055" s="4" t="n">
        <v>1</v>
      </c>
      <c r="G1055" s="4" t="s">
        <v>4413</v>
      </c>
      <c r="H1055" s="4" t="n">
        <v>40.436</v>
      </c>
      <c r="I1055" s="4" t="n">
        <v>-84.98051</v>
      </c>
      <c r="J1055" s="4" t="s">
        <v>4414</v>
      </c>
      <c r="K1055" s="6" t="str">
        <f aca="false">HYPERLINK("https://www.google.com/search?q=Jay+County+Public+Library+Portland+IN+library+website","Search")</f>
        <v>Search</v>
      </c>
      <c r="L1055" s="7"/>
      <c r="M1055" s="7"/>
    </row>
    <row r="1056" customFormat="false" ht="15" hidden="false" customHeight="true" outlineLevel="0" collapsed="false">
      <c r="A1056" s="4" t="s">
        <v>4236</v>
      </c>
      <c r="B1056" s="4" t="s">
        <v>1677</v>
      </c>
      <c r="C1056" s="4" t="s">
        <v>261</v>
      </c>
      <c r="D1056" s="4" t="s">
        <v>98</v>
      </c>
      <c r="E1056" s="5" t="n">
        <v>33147</v>
      </c>
      <c r="F1056" s="4" t="n">
        <v>2</v>
      </c>
      <c r="G1056" s="4" t="s">
        <v>4415</v>
      </c>
      <c r="H1056" s="4" t="n">
        <v>38.73707</v>
      </c>
      <c r="I1056" s="4" t="n">
        <v>-85.38423</v>
      </c>
      <c r="J1056" s="4" t="s">
        <v>4416</v>
      </c>
      <c r="K1056" s="6" t="str">
        <f aca="false">HYPERLINK("https://www.google.com/search?q=Jefferson+County+Public+Library+Madison+IN+library+website","Search")</f>
        <v>Search</v>
      </c>
      <c r="L1056" s="7"/>
      <c r="M1056" s="7"/>
    </row>
    <row r="1057" customFormat="false" ht="15" hidden="false" customHeight="true" outlineLevel="0" collapsed="false">
      <c r="A1057" s="4" t="s">
        <v>4236</v>
      </c>
      <c r="B1057" s="4" t="s">
        <v>4417</v>
      </c>
      <c r="C1057" s="4" t="s">
        <v>4418</v>
      </c>
      <c r="D1057" s="4" t="s">
        <v>501</v>
      </c>
      <c r="E1057" s="5" t="n">
        <v>61469</v>
      </c>
      <c r="F1057" s="4" t="n">
        <v>2</v>
      </c>
      <c r="G1057" s="4" t="s">
        <v>4419</v>
      </c>
      <c r="H1057" s="4" t="n">
        <v>38.27524</v>
      </c>
      <c r="I1057" s="4" t="n">
        <v>-85.74036</v>
      </c>
      <c r="J1057" s="4" t="s">
        <v>4420</v>
      </c>
      <c r="K1057" s="6" t="str">
        <f aca="false">HYPERLINK("https://www.google.com/search?q=Jeffersonville+Township+Public+Library+Jeffersonville+IN+library+website","Search")</f>
        <v>Search</v>
      </c>
      <c r="L1057" s="7"/>
      <c r="M1057" s="7"/>
    </row>
    <row r="1058" customFormat="false" ht="15" hidden="false" customHeight="true" outlineLevel="0" collapsed="false">
      <c r="A1058" s="4" t="s">
        <v>4236</v>
      </c>
      <c r="B1058" s="4" t="s">
        <v>4421</v>
      </c>
      <c r="C1058" s="4" t="s">
        <v>4422</v>
      </c>
      <c r="D1058" s="4" t="s">
        <v>4423</v>
      </c>
      <c r="E1058" s="5" t="n">
        <v>27613</v>
      </c>
      <c r="F1058" s="4" t="n">
        <v>1</v>
      </c>
      <c r="G1058" s="4" t="s">
        <v>4424</v>
      </c>
      <c r="H1058" s="4" t="n">
        <v>39.02117</v>
      </c>
      <c r="I1058" s="4" t="n">
        <v>-85.64007</v>
      </c>
      <c r="J1058" s="4" t="s">
        <v>4425</v>
      </c>
      <c r="K1058" s="6" t="str">
        <f aca="false">HYPERLINK("https://www.google.com/search?q=Jennings+County+Public+Library+North+Vernon+IN+library+website","Search")</f>
        <v>Search</v>
      </c>
      <c r="L1058" s="7"/>
      <c r="M1058" s="7"/>
    </row>
    <row r="1059" customFormat="false" ht="15" hidden="false" customHeight="true" outlineLevel="0" collapsed="false">
      <c r="A1059" s="4" t="s">
        <v>4236</v>
      </c>
      <c r="B1059" s="4" t="s">
        <v>4426</v>
      </c>
      <c r="C1059" s="4" t="s">
        <v>384</v>
      </c>
      <c r="D1059" s="4" t="s">
        <v>2942</v>
      </c>
      <c r="E1059" s="5" t="n">
        <v>124714</v>
      </c>
      <c r="F1059" s="4" t="n">
        <v>5</v>
      </c>
      <c r="G1059" s="4" t="s">
        <v>4427</v>
      </c>
      <c r="H1059" s="4" t="n">
        <v>39.47958</v>
      </c>
      <c r="I1059" s="4" t="n">
        <v>-86.05469</v>
      </c>
      <c r="J1059" s="4" t="s">
        <v>4428</v>
      </c>
      <c r="K1059" s="6" t="str">
        <f aca="false">HYPERLINK("https://www.google.com/search?q=Johnson+County+Public+Library+Franklin+IN+library+website","Search")</f>
        <v>Search</v>
      </c>
      <c r="L1059" s="7"/>
      <c r="M1059" s="7"/>
    </row>
    <row r="1060" customFormat="false" ht="15" hidden="false" customHeight="true" outlineLevel="0" collapsed="false">
      <c r="A1060" s="4" t="s">
        <v>4236</v>
      </c>
      <c r="B1060" s="4" t="s">
        <v>4429</v>
      </c>
      <c r="C1060" s="4" t="s">
        <v>4430</v>
      </c>
      <c r="D1060" s="4" t="s">
        <v>4431</v>
      </c>
      <c r="E1060" s="5" t="n">
        <v>17007</v>
      </c>
      <c r="F1060" s="4" t="n">
        <v>2</v>
      </c>
      <c r="G1060" s="4" t="s">
        <v>4432</v>
      </c>
      <c r="H1060" s="4" t="n">
        <v>41.44235</v>
      </c>
      <c r="I1060" s="4" t="n">
        <v>-85.25455</v>
      </c>
      <c r="J1060" s="4" t="s">
        <v>4433</v>
      </c>
      <c r="K1060" s="6" t="str">
        <f aca="false">HYPERLINK("https://www.google.com/search?q=Kendallville+Public+Library+Kendallville+IN+library+website","Search")</f>
        <v>Search</v>
      </c>
      <c r="L1060" s="7"/>
      <c r="M1060" s="7"/>
    </row>
    <row r="1061" customFormat="false" ht="15" hidden="false" customHeight="true" outlineLevel="0" collapsed="false">
      <c r="A1061" s="4" t="s">
        <v>4236</v>
      </c>
      <c r="B1061" s="4" t="s">
        <v>4434</v>
      </c>
      <c r="C1061" s="4" t="s">
        <v>4435</v>
      </c>
      <c r="D1061" s="4" t="s">
        <v>3618</v>
      </c>
      <c r="E1061" s="5" t="n">
        <v>31488</v>
      </c>
      <c r="F1061" s="4" t="n">
        <v>1</v>
      </c>
      <c r="G1061" s="4" t="s">
        <v>4436</v>
      </c>
      <c r="H1061" s="4" t="n">
        <v>38.67901</v>
      </c>
      <c r="I1061" s="4" t="n">
        <v>-87.52377</v>
      </c>
      <c r="J1061" s="4" t="s">
        <v>4437</v>
      </c>
      <c r="K1061" s="6" t="str">
        <f aca="false">HYPERLINK("https://www.google.com/search?q=Knox+County+Public+Library+Vincennes+IN+library+website","Search")</f>
        <v>Search</v>
      </c>
      <c r="L1061" s="7"/>
      <c r="M1061" s="7"/>
    </row>
    <row r="1062" customFormat="false" ht="15" hidden="false" customHeight="true" outlineLevel="0" collapsed="false">
      <c r="A1062" s="4" t="s">
        <v>4236</v>
      </c>
      <c r="B1062" s="4" t="s">
        <v>4438</v>
      </c>
      <c r="C1062" s="4" t="s">
        <v>4439</v>
      </c>
      <c r="D1062" s="4" t="s">
        <v>4440</v>
      </c>
      <c r="E1062" s="5" t="n">
        <v>77304</v>
      </c>
      <c r="F1062" s="4" t="n">
        <v>3</v>
      </c>
      <c r="G1062" s="4" t="s">
        <v>4441</v>
      </c>
      <c r="H1062" s="4" t="n">
        <v>40.4881</v>
      </c>
      <c r="I1062" s="4" t="n">
        <v>-86.13</v>
      </c>
      <c r="J1062" s="4" t="s">
        <v>4442</v>
      </c>
      <c r="K1062" s="6" t="str">
        <f aca="false">HYPERLINK("https://www.google.com/search?q=Kokomo-Howard+County+Public+Library+Kokomo+IN+library+website","Search")</f>
        <v>Search</v>
      </c>
      <c r="L1062" s="7"/>
      <c r="M1062" s="7"/>
    </row>
    <row r="1063" customFormat="false" ht="15" hidden="false" customHeight="true" outlineLevel="0" collapsed="false">
      <c r="A1063" s="4" t="s">
        <v>4236</v>
      </c>
      <c r="B1063" s="4" t="s">
        <v>4443</v>
      </c>
      <c r="C1063" s="4" t="s">
        <v>2853</v>
      </c>
      <c r="D1063" s="4" t="s">
        <v>2853</v>
      </c>
      <c r="E1063" s="5" t="n">
        <v>40446</v>
      </c>
      <c r="F1063" s="4" t="n">
        <v>3</v>
      </c>
      <c r="G1063" s="4" t="s">
        <v>4444</v>
      </c>
      <c r="H1063" s="4" t="n">
        <v>41.64394</v>
      </c>
      <c r="I1063" s="4" t="n">
        <v>-85.41953</v>
      </c>
      <c r="J1063" s="4" t="s">
        <v>4445</v>
      </c>
      <c r="K1063" s="6" t="str">
        <f aca="false">HYPERLINK("https://www.google.com/search?q=La+Grange+County+Public+Library+Lagrange+IN+library+website","Search")</f>
        <v>Search</v>
      </c>
      <c r="L1063" s="7"/>
      <c r="M1063" s="7"/>
    </row>
    <row r="1064" customFormat="false" ht="15" hidden="false" customHeight="true" outlineLevel="0" collapsed="false">
      <c r="A1064" s="4" t="s">
        <v>4236</v>
      </c>
      <c r="B1064" s="4" t="s">
        <v>4446</v>
      </c>
      <c r="C1064" s="4" t="s">
        <v>4447</v>
      </c>
      <c r="D1064" s="4" t="s">
        <v>4447</v>
      </c>
      <c r="E1064" s="5" t="n">
        <v>65515</v>
      </c>
      <c r="F1064" s="4" t="n">
        <v>7</v>
      </c>
      <c r="G1064" s="4" t="s">
        <v>4448</v>
      </c>
      <c r="H1064" s="4" t="n">
        <v>41.60905</v>
      </c>
      <c r="I1064" s="4" t="n">
        <v>-86.72097</v>
      </c>
      <c r="J1064" s="4" t="s">
        <v>4449</v>
      </c>
      <c r="K1064" s="6" t="str">
        <f aca="false">HYPERLINK("https://www.google.com/search?q=La+Porte+County+Public+Library+La+Porte+IN+library+website","Search")</f>
        <v>Search</v>
      </c>
      <c r="L1064" s="7"/>
      <c r="M1064" s="7"/>
    </row>
    <row r="1065" customFormat="false" ht="15" hidden="false" customHeight="true" outlineLevel="0" collapsed="false">
      <c r="A1065" s="4" t="s">
        <v>4236</v>
      </c>
      <c r="B1065" s="4" t="s">
        <v>4450</v>
      </c>
      <c r="C1065" s="4" t="s">
        <v>4451</v>
      </c>
      <c r="D1065" s="4" t="s">
        <v>1118</v>
      </c>
      <c r="E1065" s="5" t="n">
        <v>251239</v>
      </c>
      <c r="F1065" s="4" t="n">
        <v>9</v>
      </c>
      <c r="G1065" s="4" t="s">
        <v>4452</v>
      </c>
      <c r="H1065" s="4" t="n">
        <v>41.47073</v>
      </c>
      <c r="I1065" s="4" t="n">
        <v>-87.35936</v>
      </c>
      <c r="J1065" s="4" t="s">
        <v>4453</v>
      </c>
      <c r="K1065" s="6" t="str">
        <f aca="false">HYPERLINK("https://www.google.com/search?q=Lake+County+Public+Library+Merrillville+IN+library+website","Search")</f>
        <v>Search</v>
      </c>
      <c r="L1065" s="7"/>
      <c r="M1065" s="7"/>
    </row>
    <row r="1066" customFormat="false" ht="15" hidden="false" customHeight="true" outlineLevel="0" collapsed="false">
      <c r="A1066" s="4" t="s">
        <v>4236</v>
      </c>
      <c r="B1066" s="4" t="s">
        <v>4454</v>
      </c>
      <c r="C1066" s="4" t="s">
        <v>4455</v>
      </c>
      <c r="D1066" s="4" t="s">
        <v>4253</v>
      </c>
      <c r="E1066" s="5" t="n">
        <v>33739</v>
      </c>
      <c r="F1066" s="4" t="n">
        <v>2</v>
      </c>
      <c r="G1066" s="4" t="s">
        <v>4456</v>
      </c>
      <c r="H1066" s="4" t="n">
        <v>39.09144</v>
      </c>
      <c r="I1066" s="4" t="n">
        <v>-84.84952</v>
      </c>
      <c r="J1066" s="4" t="s">
        <v>4457</v>
      </c>
      <c r="K1066" s="6" t="str">
        <f aca="false">HYPERLINK("https://www.google.com/search?q=Lawrenceburg+Public+Library+District+Lawrenceburg+IN+library+website","Search")</f>
        <v>Search</v>
      </c>
      <c r="L1066" s="7"/>
      <c r="M1066" s="7"/>
    </row>
    <row r="1067" customFormat="false" ht="15" hidden="false" customHeight="true" outlineLevel="0" collapsed="false">
      <c r="A1067" s="4" t="s">
        <v>4236</v>
      </c>
      <c r="B1067" s="4" t="s">
        <v>4458</v>
      </c>
      <c r="C1067" s="4" t="s">
        <v>4459</v>
      </c>
      <c r="D1067" s="4" t="s">
        <v>486</v>
      </c>
      <c r="E1067" s="5" t="n">
        <v>25311</v>
      </c>
      <c r="F1067" s="4" t="n">
        <v>1</v>
      </c>
      <c r="G1067" s="4" t="s">
        <v>4460</v>
      </c>
      <c r="H1067" s="4" t="n">
        <v>40.04848</v>
      </c>
      <c r="I1067" s="4" t="n">
        <v>-86.46779</v>
      </c>
      <c r="J1067" s="4" t="s">
        <v>4461</v>
      </c>
      <c r="K1067" s="6" t="str">
        <f aca="false">HYPERLINK("https://www.google.com/search?q=Lebanon+Public+Library+Lebanon+IN+library+website","Search")</f>
        <v>Search</v>
      </c>
      <c r="L1067" s="7"/>
      <c r="M1067" s="7"/>
    </row>
    <row r="1068" customFormat="false" ht="15" hidden="false" customHeight="true" outlineLevel="0" collapsed="false">
      <c r="A1068" s="4" t="s">
        <v>4236</v>
      </c>
      <c r="B1068" s="4" t="s">
        <v>4462</v>
      </c>
      <c r="C1068" s="4" t="s">
        <v>357</v>
      </c>
      <c r="D1068" s="4" t="s">
        <v>3118</v>
      </c>
      <c r="E1068" s="5" t="n">
        <v>11000</v>
      </c>
      <c r="F1068" s="4" t="n">
        <v>2</v>
      </c>
      <c r="G1068" s="4" t="s">
        <v>4463</v>
      </c>
      <c r="H1068" s="4" t="n">
        <v>38.17053</v>
      </c>
      <c r="I1068" s="4" t="n">
        <v>-86.98767</v>
      </c>
      <c r="J1068" s="4" t="s">
        <v>4464</v>
      </c>
      <c r="K1068" s="6" t="str">
        <f aca="false">HYPERLINK("https://www.google.com/search?q=Lincoln+Heritage+Public+Library+Dale+IN+library+website","Search")</f>
        <v>Search</v>
      </c>
      <c r="L1068" s="7"/>
      <c r="M1068" s="7"/>
    </row>
    <row r="1069" customFormat="false" ht="15" hidden="false" customHeight="true" outlineLevel="0" collapsed="false">
      <c r="A1069" s="4" t="s">
        <v>4236</v>
      </c>
      <c r="B1069" s="4" t="s">
        <v>4465</v>
      </c>
      <c r="C1069" s="4" t="s">
        <v>4466</v>
      </c>
      <c r="D1069" s="4" t="s">
        <v>4467</v>
      </c>
      <c r="E1069" s="5" t="n">
        <v>34161</v>
      </c>
      <c r="F1069" s="4" t="n">
        <v>2</v>
      </c>
      <c r="G1069" s="4" t="s">
        <v>4468</v>
      </c>
      <c r="H1069" s="4" t="n">
        <v>40.75468</v>
      </c>
      <c r="I1069" s="4" t="n">
        <v>-86.36215</v>
      </c>
      <c r="J1069" s="4" t="s">
        <v>4469</v>
      </c>
      <c r="K1069" s="6" t="str">
        <f aca="false">HYPERLINK("https://www.google.com/search?q=Logansport-Cass+County+Public+Library+Logansport+IN+library+website","Search")</f>
        <v>Search</v>
      </c>
      <c r="L1069" s="7"/>
      <c r="M1069" s="8" t="str">
        <f aca="false">HYPERLINK("https://lccpl.overdrive.com","https://lccpl.overdrive.com")</f>
        <v>https://lccpl.overdrive.com</v>
      </c>
    </row>
    <row r="1070" customFormat="false" ht="15" hidden="false" customHeight="true" outlineLevel="0" collapsed="false">
      <c r="A1070" s="4" t="s">
        <v>4236</v>
      </c>
      <c r="B1070" s="4" t="s">
        <v>4470</v>
      </c>
      <c r="C1070" s="4" t="s">
        <v>4471</v>
      </c>
      <c r="D1070" s="4" t="s">
        <v>1118</v>
      </c>
      <c r="E1070" s="5" t="n">
        <v>22120</v>
      </c>
      <c r="F1070" s="4" t="n">
        <v>3</v>
      </c>
      <c r="G1070" s="4" t="s">
        <v>4472</v>
      </c>
      <c r="H1070" s="4" t="n">
        <v>41.28993</v>
      </c>
      <c r="I1070" s="4" t="n">
        <v>-87.40543</v>
      </c>
      <c r="J1070" s="4" t="s">
        <v>4473</v>
      </c>
      <c r="K1070" s="6" t="str">
        <f aca="false">HYPERLINK("https://www.google.com/search?q=Lowell+Public+Library+Lowell+IN+library+website","Search")</f>
        <v>Search</v>
      </c>
      <c r="L1070" s="7"/>
      <c r="M1070" s="7"/>
    </row>
    <row r="1071" customFormat="false" ht="15" hidden="false" customHeight="true" outlineLevel="0" collapsed="false">
      <c r="A1071" s="4" t="s">
        <v>4236</v>
      </c>
      <c r="B1071" s="4" t="s">
        <v>3048</v>
      </c>
      <c r="C1071" s="4" t="s">
        <v>572</v>
      </c>
      <c r="D1071" s="4" t="s">
        <v>4474</v>
      </c>
      <c r="E1071" s="5" t="n">
        <v>27980</v>
      </c>
      <c r="F1071" s="4" t="n">
        <v>1</v>
      </c>
      <c r="G1071" s="4" t="s">
        <v>4475</v>
      </c>
      <c r="H1071" s="4" t="n">
        <v>40.55538</v>
      </c>
      <c r="I1071" s="4" t="n">
        <v>-85.65982</v>
      </c>
      <c r="J1071" s="4" t="s">
        <v>4476</v>
      </c>
      <c r="K1071" s="6" t="str">
        <f aca="false">HYPERLINK("https://www.google.com/search?q=Marion+Public+Library+Marion+IN+library+website","Search")</f>
        <v>Search</v>
      </c>
      <c r="L1071" s="7"/>
      <c r="M1071" s="7"/>
    </row>
    <row r="1072" customFormat="false" ht="15" hidden="false" customHeight="true" outlineLevel="0" collapsed="false">
      <c r="A1072" s="4" t="s">
        <v>4236</v>
      </c>
      <c r="B1072" s="4" t="s">
        <v>4477</v>
      </c>
      <c r="C1072" s="4" t="s">
        <v>4478</v>
      </c>
      <c r="D1072" s="4" t="s">
        <v>4479</v>
      </c>
      <c r="E1072" s="5" t="n">
        <v>35913</v>
      </c>
      <c r="F1072" s="4" t="n">
        <v>1</v>
      </c>
      <c r="G1072" s="4" t="s">
        <v>4480</v>
      </c>
      <c r="H1072" s="4" t="n">
        <v>41.71836</v>
      </c>
      <c r="I1072" s="4" t="n">
        <v>-86.90235</v>
      </c>
      <c r="J1072" s="4" t="s">
        <v>4481</v>
      </c>
      <c r="K1072" s="6" t="str">
        <f aca="false">HYPERLINK("https://www.google.com/search?q=Michigan+City+Public+Library+Michigan+City+IN+library+website","Search")</f>
        <v>Search</v>
      </c>
      <c r="L1072" s="7"/>
      <c r="M1072" s="7"/>
    </row>
    <row r="1073" customFormat="false" ht="15" hidden="false" customHeight="true" outlineLevel="0" collapsed="false">
      <c r="A1073" s="4" t="s">
        <v>4236</v>
      </c>
      <c r="B1073" s="4" t="s">
        <v>4482</v>
      </c>
      <c r="C1073" s="4" t="s">
        <v>4483</v>
      </c>
      <c r="D1073" s="4" t="s">
        <v>4325</v>
      </c>
      <c r="E1073" s="5" t="n">
        <v>24185</v>
      </c>
      <c r="F1073" s="4" t="n">
        <v>1</v>
      </c>
      <c r="G1073" s="4" t="s">
        <v>4484</v>
      </c>
      <c r="H1073" s="4" t="n">
        <v>41.67668</v>
      </c>
      <c r="I1073" s="4" t="n">
        <v>-85.70605</v>
      </c>
      <c r="J1073" s="4" t="s">
        <v>4485</v>
      </c>
      <c r="K1073" s="6" t="str">
        <f aca="false">HYPERLINK("https://www.google.com/search?q=Middlebury+Community+Public+Library+Middlebury+IN+library+website","Search")</f>
        <v>Search</v>
      </c>
      <c r="L1073" s="7"/>
      <c r="M1073" s="8" t="str">
        <f aca="false">HYPERLINK("https://middleburypubliclibrary.overdrive.com","https://middleburypubliclibrary.overdrive.com")</f>
        <v>https://middleburypubliclibrary.overdrive.com</v>
      </c>
    </row>
    <row r="1074" customFormat="false" ht="15" hidden="false" customHeight="true" outlineLevel="0" collapsed="false">
      <c r="A1074" s="4" t="s">
        <v>4236</v>
      </c>
      <c r="B1074" s="4" t="s">
        <v>4486</v>
      </c>
      <c r="C1074" s="4" t="s">
        <v>4487</v>
      </c>
      <c r="D1074" s="4" t="s">
        <v>4488</v>
      </c>
      <c r="E1074" s="5" t="n">
        <v>93095</v>
      </c>
      <c r="F1074" s="4" t="n">
        <v>3</v>
      </c>
      <c r="G1074" s="4" t="s">
        <v>4489</v>
      </c>
      <c r="H1074" s="4" t="n">
        <v>41.66108</v>
      </c>
      <c r="I1074" s="4" t="n">
        <v>-86.17878</v>
      </c>
      <c r="J1074" s="4" t="s">
        <v>4490</v>
      </c>
      <c r="K1074" s="6" t="str">
        <f aca="false">HYPERLINK("https://www.google.com/search?q=Mishawaka-Penn-Harris+Public+Library+Mishawaka+IN+library+website","Search")</f>
        <v>Search</v>
      </c>
      <c r="L1074" s="7"/>
      <c r="M1074" s="7"/>
    </row>
    <row r="1075" customFormat="false" ht="15" hidden="false" customHeight="true" outlineLevel="0" collapsed="false">
      <c r="A1075" s="4" t="s">
        <v>4236</v>
      </c>
      <c r="B1075" s="4" t="s">
        <v>4491</v>
      </c>
      <c r="C1075" s="4" t="s">
        <v>2664</v>
      </c>
      <c r="D1075" s="4" t="s">
        <v>279</v>
      </c>
      <c r="E1075" s="5" t="n">
        <v>11178</v>
      </c>
      <c r="F1075" s="4" t="n">
        <v>1</v>
      </c>
      <c r="G1075" s="4" t="s">
        <v>4492</v>
      </c>
      <c r="H1075" s="4" t="n">
        <v>38.73242</v>
      </c>
      <c r="I1075" s="4" t="n">
        <v>-86.47489</v>
      </c>
      <c r="J1075" s="4" t="s">
        <v>4493</v>
      </c>
      <c r="K1075" s="6" t="str">
        <f aca="false">HYPERLINK("https://www.google.com/search?q=Mitchell+Community+Public+Library+Mitchell+IN+library+website","Search")</f>
        <v>Search</v>
      </c>
      <c r="L1075" s="7"/>
      <c r="M1075" s="7"/>
    </row>
    <row r="1076" customFormat="false" ht="15" hidden="false" customHeight="true" outlineLevel="0" collapsed="false">
      <c r="A1076" s="4" t="s">
        <v>4236</v>
      </c>
      <c r="B1076" s="4" t="s">
        <v>309</v>
      </c>
      <c r="C1076" s="4" t="s">
        <v>3370</v>
      </c>
      <c r="D1076" s="4" t="s">
        <v>311</v>
      </c>
      <c r="E1076" s="5" t="n">
        <v>139718</v>
      </c>
      <c r="F1076" s="4" t="n">
        <v>2</v>
      </c>
      <c r="G1076" s="4" t="s">
        <v>4494</v>
      </c>
      <c r="H1076" s="4" t="n">
        <v>39.16659</v>
      </c>
      <c r="I1076" s="4" t="n">
        <v>-86.5308</v>
      </c>
      <c r="J1076" s="4" t="s">
        <v>4495</v>
      </c>
      <c r="K1076" s="6" t="str">
        <f aca="false">HYPERLINK("https://www.google.com/search?q=Monroe+County+Public+Library+Bloomington+IN+library+website","Search")</f>
        <v>Search</v>
      </c>
      <c r="L1076" s="7"/>
      <c r="M1076" s="7"/>
    </row>
    <row r="1077" customFormat="false" ht="15" hidden="false" customHeight="true" outlineLevel="0" collapsed="false">
      <c r="A1077" s="4" t="s">
        <v>4236</v>
      </c>
      <c r="B1077" s="4" t="s">
        <v>4496</v>
      </c>
      <c r="C1077" s="4" t="s">
        <v>627</v>
      </c>
      <c r="D1077" s="4" t="s">
        <v>660</v>
      </c>
      <c r="E1077" s="5" t="n">
        <v>14392</v>
      </c>
      <c r="F1077" s="4" t="n">
        <v>1</v>
      </c>
      <c r="G1077" s="4" t="s">
        <v>4497</v>
      </c>
      <c r="H1077" s="4" t="n">
        <v>40.7449</v>
      </c>
      <c r="I1077" s="4" t="n">
        <v>-86.76583</v>
      </c>
      <c r="J1077" s="4" t="s">
        <v>4498</v>
      </c>
      <c r="K1077" s="6" t="str">
        <f aca="false">HYPERLINK("https://www.google.com/search?q=Monticello-Union+Township+Public+Library+Monticello+IN+library+website","Search")</f>
        <v>Search</v>
      </c>
      <c r="L1077" s="7"/>
      <c r="M1077" s="7"/>
    </row>
    <row r="1078" customFormat="false" ht="15" hidden="false" customHeight="true" outlineLevel="0" collapsed="false">
      <c r="A1078" s="4" t="s">
        <v>4236</v>
      </c>
      <c r="B1078" s="4" t="s">
        <v>4499</v>
      </c>
      <c r="C1078" s="4" t="s">
        <v>4500</v>
      </c>
      <c r="D1078" s="4" t="s">
        <v>156</v>
      </c>
      <c r="E1078" s="5" t="n">
        <v>13416</v>
      </c>
      <c r="F1078" s="4" t="n">
        <v>1</v>
      </c>
      <c r="G1078" s="4" t="s">
        <v>4501</v>
      </c>
      <c r="H1078" s="4" t="n">
        <v>39.61174</v>
      </c>
      <c r="I1078" s="4" t="n">
        <v>-86.38027</v>
      </c>
      <c r="J1078" s="4" t="s">
        <v>4502</v>
      </c>
      <c r="K1078" s="6" t="str">
        <f aca="false">HYPERLINK("https://www.google.com/search?q=Mooresville+Public+Library+Mooresville+IN+library+website","Search")</f>
        <v>Search</v>
      </c>
      <c r="L1078" s="7"/>
      <c r="M1078" s="7"/>
    </row>
    <row r="1079" customFormat="false" ht="15" hidden="false" customHeight="true" outlineLevel="0" collapsed="false">
      <c r="A1079" s="4" t="s">
        <v>4236</v>
      </c>
      <c r="B1079" s="4" t="s">
        <v>4503</v>
      </c>
      <c r="C1079" s="4" t="s">
        <v>4504</v>
      </c>
      <c r="D1079" s="4" t="s">
        <v>156</v>
      </c>
      <c r="E1079" s="5" t="n">
        <v>58364</v>
      </c>
      <c r="F1079" s="4" t="n">
        <v>6</v>
      </c>
      <c r="G1079" s="4" t="s">
        <v>4505</v>
      </c>
      <c r="H1079" s="4" t="n">
        <v>39.42557</v>
      </c>
      <c r="I1079" s="4" t="n">
        <v>-86.42728</v>
      </c>
      <c r="J1079" s="4" t="s">
        <v>4506</v>
      </c>
      <c r="K1079" s="6" t="str">
        <f aca="false">HYPERLINK("https://www.google.com/search?q=Morgan+County+Public+Library+Martinsville+IN+library+website","Search")</f>
        <v>Search</v>
      </c>
      <c r="L1079" s="7"/>
      <c r="M1079" s="7"/>
    </row>
    <row r="1080" customFormat="false" ht="15" hidden="false" customHeight="true" outlineLevel="0" collapsed="false">
      <c r="A1080" s="4" t="s">
        <v>4236</v>
      </c>
      <c r="B1080" s="4" t="s">
        <v>4507</v>
      </c>
      <c r="C1080" s="4" t="s">
        <v>1348</v>
      </c>
      <c r="D1080" s="4" t="s">
        <v>2849</v>
      </c>
      <c r="E1080" s="5" t="n">
        <v>50318</v>
      </c>
      <c r="F1080" s="4" t="n">
        <v>1</v>
      </c>
      <c r="G1080" s="4" t="s">
        <v>4508</v>
      </c>
      <c r="H1080" s="4" t="n">
        <v>39.83012</v>
      </c>
      <c r="I1080" s="4" t="n">
        <v>-84.89397</v>
      </c>
      <c r="J1080" s="4" t="s">
        <v>4509</v>
      </c>
      <c r="K1080" s="6" t="str">
        <f aca="false">HYPERLINK("https://www.google.com/search?q=Morrisson-Reeves+Library+Richmond+IN+library+website","Search")</f>
        <v>Search</v>
      </c>
      <c r="L1080" s="7"/>
      <c r="M1080" s="7"/>
    </row>
    <row r="1081" customFormat="false" ht="15" hidden="false" customHeight="true" outlineLevel="0" collapsed="false">
      <c r="A1081" s="4" t="s">
        <v>4236</v>
      </c>
      <c r="B1081" s="4" t="s">
        <v>4510</v>
      </c>
      <c r="C1081" s="4" t="s">
        <v>4511</v>
      </c>
      <c r="D1081" s="4" t="s">
        <v>3041</v>
      </c>
      <c r="E1081" s="5" t="n">
        <v>64943</v>
      </c>
      <c r="F1081" s="4" t="n">
        <v>4</v>
      </c>
      <c r="G1081" s="4" t="s">
        <v>4512</v>
      </c>
      <c r="H1081" s="4" t="n">
        <v>40.17649</v>
      </c>
      <c r="I1081" s="4" t="n">
        <v>-85.38743</v>
      </c>
      <c r="J1081" s="4" t="s">
        <v>4513</v>
      </c>
      <c r="K1081" s="6" t="str">
        <f aca="false">HYPERLINK("https://www.google.com/search?q=Muncie-Center+Township+Public+Library+Muncie+IN+library+website","Search")</f>
        <v>Search</v>
      </c>
      <c r="L1081" s="7"/>
      <c r="M1081" s="7"/>
    </row>
    <row r="1082" customFormat="false" ht="15" hidden="false" customHeight="true" outlineLevel="0" collapsed="false">
      <c r="A1082" s="4" t="s">
        <v>4236</v>
      </c>
      <c r="B1082" s="4" t="s">
        <v>4514</v>
      </c>
      <c r="C1082" s="4" t="s">
        <v>4515</v>
      </c>
      <c r="D1082" s="4" t="s">
        <v>4325</v>
      </c>
      <c r="E1082" s="5" t="n">
        <v>10482</v>
      </c>
      <c r="F1082" s="4" t="n">
        <v>2</v>
      </c>
      <c r="G1082" s="4" t="s">
        <v>4516</v>
      </c>
      <c r="H1082" s="4" t="n">
        <v>41.44334</v>
      </c>
      <c r="I1082" s="4" t="n">
        <v>-86.00128</v>
      </c>
      <c r="J1082" s="4" t="s">
        <v>4517</v>
      </c>
      <c r="K1082" s="6" t="str">
        <f aca="false">HYPERLINK("https://www.google.com/search?q=Nappanee+Public+Library+Nappanee+IN+library+website","Search")</f>
        <v>Search</v>
      </c>
      <c r="L1082" s="7"/>
      <c r="M1082" s="7"/>
    </row>
    <row r="1083" customFormat="false" ht="15" hidden="false" customHeight="true" outlineLevel="0" collapsed="false">
      <c r="A1083" s="4" t="s">
        <v>4236</v>
      </c>
      <c r="B1083" s="4" t="s">
        <v>4518</v>
      </c>
      <c r="C1083" s="4" t="s">
        <v>4519</v>
      </c>
      <c r="D1083" s="4" t="s">
        <v>2814</v>
      </c>
      <c r="E1083" s="5" t="n">
        <v>80484</v>
      </c>
      <c r="F1083" s="4" t="n">
        <v>4</v>
      </c>
      <c r="G1083" s="4" t="s">
        <v>4520</v>
      </c>
      <c r="H1083" s="4" t="n">
        <v>38.2851</v>
      </c>
      <c r="I1083" s="4" t="n">
        <v>-85.82602</v>
      </c>
      <c r="J1083" s="4" t="s">
        <v>4521</v>
      </c>
      <c r="K1083" s="6" t="str">
        <f aca="false">HYPERLINK("https://www.google.com/search?q=New+Albany-Floyd+County+Public+Library+New+Albany+IN+library+website","Search")</f>
        <v>Search</v>
      </c>
      <c r="L1083" s="7"/>
      <c r="M1083" s="7"/>
    </row>
    <row r="1084" customFormat="false" ht="15" hidden="false" customHeight="true" outlineLevel="0" collapsed="false">
      <c r="A1084" s="4" t="s">
        <v>4236</v>
      </c>
      <c r="B1084" s="4" t="s">
        <v>4522</v>
      </c>
      <c r="C1084" s="4" t="s">
        <v>2222</v>
      </c>
      <c r="D1084" s="4" t="s">
        <v>2715</v>
      </c>
      <c r="E1084" s="5" t="n">
        <v>39935</v>
      </c>
      <c r="F1084" s="4" t="n">
        <v>1</v>
      </c>
      <c r="G1084" s="4" t="s">
        <v>4523</v>
      </c>
      <c r="H1084" s="4" t="n">
        <v>39.92917</v>
      </c>
      <c r="I1084" s="4" t="n">
        <v>-85.3675</v>
      </c>
      <c r="J1084" s="4" t="s">
        <v>4524</v>
      </c>
      <c r="K1084" s="6" t="str">
        <f aca="false">HYPERLINK("https://www.google.com/search?q=New+Castle-Henry+County+Public+Library+New+Castle+IN+library+website","Search")</f>
        <v>Search</v>
      </c>
      <c r="L1084" s="7"/>
      <c r="M1084" s="7"/>
    </row>
    <row r="1085" customFormat="false" ht="15" hidden="false" customHeight="true" outlineLevel="0" collapsed="false">
      <c r="A1085" s="4" t="s">
        <v>4236</v>
      </c>
      <c r="B1085" s="4" t="s">
        <v>4525</v>
      </c>
      <c r="C1085" s="4" t="s">
        <v>4526</v>
      </c>
      <c r="D1085" s="4" t="s">
        <v>4277</v>
      </c>
      <c r="E1085" s="5" t="n">
        <v>41238</v>
      </c>
      <c r="F1085" s="4" t="n">
        <v>3</v>
      </c>
      <c r="G1085" s="4" t="s">
        <v>4527</v>
      </c>
      <c r="H1085" s="4" t="n">
        <v>37.97395</v>
      </c>
      <c r="I1085" s="4" t="n">
        <v>-87.40586</v>
      </c>
      <c r="J1085" s="4" t="s">
        <v>4528</v>
      </c>
      <c r="K1085" s="6" t="str">
        <f aca="false">HYPERLINK("https://www.google.com/search?q=Newburgh+Chandler+Public+Library+Newburgh+IN+library+website","Search")</f>
        <v>Search</v>
      </c>
      <c r="L1085" s="7"/>
      <c r="M1085" s="7"/>
    </row>
    <row r="1086" customFormat="false" ht="15" hidden="false" customHeight="true" outlineLevel="0" collapsed="false">
      <c r="A1086" s="4" t="s">
        <v>4236</v>
      </c>
      <c r="B1086" s="4" t="s">
        <v>4529</v>
      </c>
      <c r="C1086" s="4" t="s">
        <v>4530</v>
      </c>
      <c r="D1086" s="4" t="s">
        <v>4431</v>
      </c>
      <c r="E1086" s="5" t="n">
        <v>23306</v>
      </c>
      <c r="F1086" s="4" t="n">
        <v>3</v>
      </c>
      <c r="G1086" s="4" t="s">
        <v>4531</v>
      </c>
      <c r="H1086" s="4" t="n">
        <v>41.39597</v>
      </c>
      <c r="I1086" s="4" t="n">
        <v>-85.41426</v>
      </c>
      <c r="J1086" s="4" t="s">
        <v>4532</v>
      </c>
      <c r="K1086" s="6" t="str">
        <f aca="false">HYPERLINK("https://www.google.com/search?q=Noble+County+Public+Library+Albion+IN+library+website","Search")</f>
        <v>Search</v>
      </c>
      <c r="L1086" s="7"/>
      <c r="M1086" s="7"/>
    </row>
    <row r="1087" customFormat="false" ht="15" hidden="false" customHeight="true" outlineLevel="0" collapsed="false">
      <c r="A1087" s="4" t="s">
        <v>4236</v>
      </c>
      <c r="B1087" s="4" t="s">
        <v>4533</v>
      </c>
      <c r="C1087" s="4" t="s">
        <v>4534</v>
      </c>
      <c r="D1087" s="4" t="s">
        <v>261</v>
      </c>
      <c r="E1087" s="5" t="n">
        <v>18930</v>
      </c>
      <c r="F1087" s="4" t="n">
        <v>3</v>
      </c>
      <c r="G1087" s="4" t="s">
        <v>4535</v>
      </c>
      <c r="H1087" s="4" t="n">
        <v>40.27701</v>
      </c>
      <c r="I1087" s="4" t="n">
        <v>-85.83966</v>
      </c>
      <c r="J1087" s="4" t="s">
        <v>4536</v>
      </c>
      <c r="K1087" s="6" t="str">
        <f aca="false">HYPERLINK("https://www.google.com/search?q=North+Madison+County+Public+Library+System+Elwood+IN+library+website","Search")</f>
        <v>Search</v>
      </c>
      <c r="L1087" s="7"/>
      <c r="M1087" s="7"/>
    </row>
    <row r="1088" customFormat="false" ht="15" hidden="false" customHeight="true" outlineLevel="0" collapsed="false">
      <c r="A1088" s="4" t="s">
        <v>4236</v>
      </c>
      <c r="B1088" s="4" t="s">
        <v>4537</v>
      </c>
      <c r="C1088" s="4" t="s">
        <v>4538</v>
      </c>
      <c r="D1088" s="4" t="s">
        <v>4265</v>
      </c>
      <c r="E1088" s="5" t="n">
        <v>10202</v>
      </c>
      <c r="F1088" s="4" t="n">
        <v>2</v>
      </c>
      <c r="G1088" s="4" t="s">
        <v>4539</v>
      </c>
      <c r="H1088" s="4" t="n">
        <v>39.12913</v>
      </c>
      <c r="I1088" s="4" t="n">
        <v>-85.29226</v>
      </c>
      <c r="J1088" s="4" t="s">
        <v>4540</v>
      </c>
      <c r="K1088" s="6" t="str">
        <f aca="false">HYPERLINK("https://www.google.com/search?q=Osgood+Public+Library+Osgood+IN+library+website","Search")</f>
        <v>Search</v>
      </c>
      <c r="L1088" s="7"/>
      <c r="M1088" s="7"/>
    </row>
    <row r="1089" customFormat="false" ht="15" hidden="false" customHeight="true" outlineLevel="0" collapsed="false">
      <c r="A1089" s="4" t="s">
        <v>4236</v>
      </c>
      <c r="B1089" s="4" t="s">
        <v>4541</v>
      </c>
      <c r="C1089" s="4" t="s">
        <v>3118</v>
      </c>
      <c r="D1089" s="4" t="s">
        <v>4542</v>
      </c>
      <c r="E1089" s="5" t="n">
        <v>21321</v>
      </c>
      <c r="F1089" s="4" t="n">
        <v>1</v>
      </c>
      <c r="G1089" s="4" t="s">
        <v>4543</v>
      </c>
      <c r="H1089" s="4" t="n">
        <v>39.2858</v>
      </c>
      <c r="I1089" s="4" t="n">
        <v>-86.7637</v>
      </c>
      <c r="J1089" s="4" t="s">
        <v>4544</v>
      </c>
      <c r="K1089" s="6" t="str">
        <f aca="false">HYPERLINK("https://www.google.com/search?q=Owen+County+Public+Library+Spencer+IN+library+website","Search")</f>
        <v>Search</v>
      </c>
      <c r="L1089" s="7"/>
      <c r="M1089" s="7"/>
    </row>
    <row r="1090" customFormat="false" ht="15" hidden="false" customHeight="true" outlineLevel="0" collapsed="false">
      <c r="A1090" s="4" t="s">
        <v>4236</v>
      </c>
      <c r="B1090" s="4" t="s">
        <v>4545</v>
      </c>
      <c r="C1090" s="4" t="s">
        <v>4546</v>
      </c>
      <c r="D1090" s="4" t="s">
        <v>4547</v>
      </c>
      <c r="E1090" s="5" t="n">
        <v>15115</v>
      </c>
      <c r="F1090" s="4" t="n">
        <v>1</v>
      </c>
      <c r="G1090" s="4" t="s">
        <v>4548</v>
      </c>
      <c r="H1090" s="4" t="n">
        <v>39.76315</v>
      </c>
      <c r="I1090" s="4" t="n">
        <v>-87.22913</v>
      </c>
      <c r="J1090" s="4" t="s">
        <v>4549</v>
      </c>
      <c r="K1090" s="6" t="str">
        <f aca="false">HYPERLINK("https://www.google.com/search?q=Parke+County+Public+Library+Rockville+IN+library+website","Search")</f>
        <v>Search</v>
      </c>
      <c r="L1090" s="7"/>
      <c r="M1090" s="7"/>
    </row>
    <row r="1091" customFormat="false" ht="15" hidden="false" customHeight="true" outlineLevel="0" collapsed="false">
      <c r="A1091" s="4" t="s">
        <v>4236</v>
      </c>
      <c r="B1091" s="4" t="s">
        <v>4550</v>
      </c>
      <c r="C1091" s="4" t="s">
        <v>4551</v>
      </c>
      <c r="D1091" s="4" t="s">
        <v>4552</v>
      </c>
      <c r="E1091" s="5" t="n">
        <v>15874</v>
      </c>
      <c r="F1091" s="4" t="n">
        <v>1</v>
      </c>
      <c r="G1091" s="4" t="s">
        <v>4553</v>
      </c>
      <c r="H1091" s="4" t="n">
        <v>41.15931</v>
      </c>
      <c r="I1091" s="4" t="n">
        <v>-85.46865</v>
      </c>
      <c r="J1091" s="4" t="s">
        <v>4554</v>
      </c>
      <c r="K1091" s="6" t="str">
        <f aca="false">HYPERLINK("https://www.google.com/search?q=Peabody+Public+Library+Columbia+City+IN+library+website","Search")</f>
        <v>Search</v>
      </c>
      <c r="L1091" s="7"/>
      <c r="M1091" s="7"/>
    </row>
    <row r="1092" customFormat="false" ht="15" hidden="false" customHeight="true" outlineLevel="0" collapsed="false">
      <c r="A1092" s="4" t="s">
        <v>4236</v>
      </c>
      <c r="B1092" s="4" t="s">
        <v>4555</v>
      </c>
      <c r="C1092" s="4" t="s">
        <v>4556</v>
      </c>
      <c r="D1092" s="4" t="s">
        <v>261</v>
      </c>
      <c r="E1092" s="5" t="n">
        <v>26748</v>
      </c>
      <c r="F1092" s="4" t="n">
        <v>1</v>
      </c>
      <c r="G1092" s="4" t="s">
        <v>4557</v>
      </c>
      <c r="H1092" s="4" t="n">
        <v>40.00377</v>
      </c>
      <c r="I1092" s="4" t="n">
        <v>-85.73548</v>
      </c>
      <c r="J1092" s="4" t="s">
        <v>4558</v>
      </c>
      <c r="K1092" s="6" t="str">
        <f aca="false">HYPERLINK("https://www.google.com/search?q=Pendleton+Community+Public+Library+Pendleton+IN+library+website","Search")</f>
        <v>Search</v>
      </c>
      <c r="L1092" s="7"/>
      <c r="M1092" s="7"/>
    </row>
    <row r="1093" customFormat="false" ht="15" hidden="false" customHeight="true" outlineLevel="0" collapsed="false">
      <c r="A1093" s="4" t="s">
        <v>4236</v>
      </c>
      <c r="B1093" s="4" t="s">
        <v>4559</v>
      </c>
      <c r="C1093" s="4" t="s">
        <v>4560</v>
      </c>
      <c r="D1093" s="4" t="s">
        <v>2719</v>
      </c>
      <c r="E1093" s="5" t="n">
        <v>20694</v>
      </c>
      <c r="F1093" s="4" t="n">
        <v>2</v>
      </c>
      <c r="G1093" s="4" t="s">
        <v>4561</v>
      </c>
      <c r="H1093" s="4" t="n">
        <v>37.95527</v>
      </c>
      <c r="I1093" s="4" t="n">
        <v>-86.74902</v>
      </c>
      <c r="J1093" s="4" t="s">
        <v>4562</v>
      </c>
      <c r="K1093" s="6" t="str">
        <f aca="false">HYPERLINK("https://www.google.com/search?q=Perry+County+Public+Library+Tell+City+IN+library+website","Search")</f>
        <v>Search</v>
      </c>
      <c r="L1093" s="7"/>
      <c r="M1093" s="7"/>
    </row>
    <row r="1094" customFormat="false" ht="15" hidden="false" customHeight="true" outlineLevel="0" collapsed="false">
      <c r="A1094" s="4" t="s">
        <v>4236</v>
      </c>
      <c r="B1094" s="4" t="s">
        <v>4563</v>
      </c>
      <c r="C1094" s="4" t="s">
        <v>4564</v>
      </c>
      <c r="D1094" s="4" t="s">
        <v>2442</v>
      </c>
      <c r="E1094" s="5" t="n">
        <v>11073</v>
      </c>
      <c r="F1094" s="4" t="n">
        <v>1</v>
      </c>
      <c r="G1094" s="4" t="s">
        <v>4565</v>
      </c>
      <c r="H1094" s="4" t="n">
        <v>40.75513</v>
      </c>
      <c r="I1094" s="4" t="n">
        <v>-86.06592</v>
      </c>
      <c r="J1094" s="4" t="s">
        <v>4566</v>
      </c>
      <c r="K1094" s="6" t="str">
        <f aca="false">HYPERLINK("https://www.google.com/search?q=Peru+Public+Library+Peru+IN+library+website","Search")</f>
        <v>Search</v>
      </c>
      <c r="L1094" s="7"/>
      <c r="M1094" s="7"/>
    </row>
    <row r="1095" customFormat="false" ht="15" hidden="false" customHeight="true" outlineLevel="0" collapsed="false">
      <c r="A1095" s="4" t="s">
        <v>4236</v>
      </c>
      <c r="B1095" s="4" t="s">
        <v>4567</v>
      </c>
      <c r="C1095" s="4" t="s">
        <v>4568</v>
      </c>
      <c r="D1095" s="4" t="s">
        <v>415</v>
      </c>
      <c r="E1095" s="5" t="n">
        <v>12250</v>
      </c>
      <c r="F1095" s="4" t="n">
        <v>3</v>
      </c>
      <c r="G1095" s="4" t="s">
        <v>4569</v>
      </c>
      <c r="H1095" s="4" t="n">
        <v>38.49031</v>
      </c>
      <c r="I1095" s="4" t="n">
        <v>-87.27456</v>
      </c>
      <c r="J1095" s="4" t="s">
        <v>4570</v>
      </c>
      <c r="K1095" s="6" t="str">
        <f aca="false">HYPERLINK("https://www.google.com/search?q=Pike+County+Public+Library+Petersburg+IN+library+website","Search")</f>
        <v>Search</v>
      </c>
      <c r="L1095" s="7"/>
      <c r="M1095" s="7"/>
    </row>
    <row r="1096" customFormat="false" ht="15" hidden="false" customHeight="true" outlineLevel="0" collapsed="false">
      <c r="A1096" s="4" t="s">
        <v>4236</v>
      </c>
      <c r="B1096" s="4" t="s">
        <v>4571</v>
      </c>
      <c r="C1096" s="4" t="s">
        <v>3970</v>
      </c>
      <c r="D1096" s="4" t="s">
        <v>4257</v>
      </c>
      <c r="E1096" s="5" t="n">
        <v>33797</v>
      </c>
      <c r="F1096" s="4" t="n">
        <v>1</v>
      </c>
      <c r="G1096" s="4" t="s">
        <v>4572</v>
      </c>
      <c r="H1096" s="4" t="n">
        <v>39.69698</v>
      </c>
      <c r="I1096" s="4" t="n">
        <v>-86.38679</v>
      </c>
      <c r="J1096" s="4" t="s">
        <v>4573</v>
      </c>
      <c r="K1096" s="6" t="str">
        <f aca="false">HYPERLINK("https://www.google.com/search?q=Plainfield-Guilford+Township+Public+Library+Plainfield+IN+library+website","Search")</f>
        <v>Search</v>
      </c>
      <c r="L1096" s="7"/>
      <c r="M1096" s="7"/>
    </row>
    <row r="1097" customFormat="false" ht="15" hidden="false" customHeight="true" outlineLevel="0" collapsed="false">
      <c r="A1097" s="4" t="s">
        <v>4236</v>
      </c>
      <c r="B1097" s="4" t="s">
        <v>4574</v>
      </c>
      <c r="C1097" s="4" t="s">
        <v>3038</v>
      </c>
      <c r="D1097" s="4" t="s">
        <v>58</v>
      </c>
      <c r="E1097" s="5" t="n">
        <v>26285</v>
      </c>
      <c r="F1097" s="4" t="n">
        <v>1</v>
      </c>
      <c r="G1097" s="4" t="s">
        <v>4575</v>
      </c>
      <c r="H1097" s="4" t="n">
        <v>41.34097</v>
      </c>
      <c r="I1097" s="4" t="n">
        <v>-86.31047</v>
      </c>
      <c r="J1097" s="4" t="s">
        <v>4576</v>
      </c>
      <c r="K1097" s="6" t="str">
        <f aca="false">HYPERLINK("https://www.google.com/search?q=Plymouth+Public+Library+Plymouth+IN+library+website","Search")</f>
        <v>Search</v>
      </c>
      <c r="L1097" s="7"/>
      <c r="M1097" s="7"/>
    </row>
    <row r="1098" customFormat="false" ht="15" hidden="false" customHeight="true" outlineLevel="0" collapsed="false">
      <c r="A1098" s="4" t="s">
        <v>4236</v>
      </c>
      <c r="B1098" s="4" t="s">
        <v>4577</v>
      </c>
      <c r="C1098" s="4" t="s">
        <v>4578</v>
      </c>
      <c r="D1098" s="4" t="s">
        <v>4579</v>
      </c>
      <c r="E1098" s="5" t="n">
        <v>152580</v>
      </c>
      <c r="F1098" s="4" t="n">
        <v>5</v>
      </c>
      <c r="G1098" s="4" t="s">
        <v>4580</v>
      </c>
      <c r="H1098" s="4" t="n">
        <v>41.46883</v>
      </c>
      <c r="I1098" s="4" t="n">
        <v>-87.05898</v>
      </c>
      <c r="J1098" s="4" t="s">
        <v>4581</v>
      </c>
      <c r="K1098" s="6" t="str">
        <f aca="false">HYPERLINK("https://www.google.com/search?q=Porter+County+Public+Library+System+Valparaiso+IN+library+website","Search")</f>
        <v>Search</v>
      </c>
      <c r="L1098" s="7"/>
      <c r="M1098" s="7"/>
    </row>
    <row r="1099" customFormat="false" ht="15" hidden="false" customHeight="true" outlineLevel="0" collapsed="false">
      <c r="A1099" s="4" t="s">
        <v>4236</v>
      </c>
      <c r="B1099" s="4" t="s">
        <v>4582</v>
      </c>
      <c r="C1099" s="4" t="s">
        <v>4583</v>
      </c>
      <c r="D1099" s="4" t="s">
        <v>4584</v>
      </c>
      <c r="E1099" s="5" t="n">
        <v>11527</v>
      </c>
      <c r="F1099" s="4" t="n">
        <v>1</v>
      </c>
      <c r="G1099" s="4" t="s">
        <v>4585</v>
      </c>
      <c r="H1099" s="4" t="n">
        <v>38.35454</v>
      </c>
      <c r="I1099" s="4" t="n">
        <v>-87.56877</v>
      </c>
      <c r="J1099" s="4" t="s">
        <v>4586</v>
      </c>
      <c r="K1099" s="6" t="str">
        <f aca="false">HYPERLINK("https://www.google.com/search?q=Princeton+Public+Library+Princeton+IN+library+website","Search")</f>
        <v>Search</v>
      </c>
      <c r="L1099" s="7"/>
      <c r="M1099" s="7"/>
    </row>
    <row r="1100" customFormat="false" ht="15" hidden="false" customHeight="true" outlineLevel="0" collapsed="false">
      <c r="A1100" s="4" t="s">
        <v>4236</v>
      </c>
      <c r="B1100" s="4" t="s">
        <v>4587</v>
      </c>
      <c r="C1100" s="4" t="s">
        <v>4588</v>
      </c>
      <c r="D1100" s="4" t="s">
        <v>4589</v>
      </c>
      <c r="E1100" s="5" t="n">
        <v>35117</v>
      </c>
      <c r="F1100" s="4" t="n">
        <v>1</v>
      </c>
      <c r="G1100" s="4" t="s">
        <v>4590</v>
      </c>
      <c r="H1100" s="4" t="n">
        <v>39.64258</v>
      </c>
      <c r="I1100" s="4" t="n">
        <v>-86.86311</v>
      </c>
      <c r="J1100" s="4" t="s">
        <v>4591</v>
      </c>
      <c r="K1100" s="6" t="str">
        <f aca="false">HYPERLINK("https://www.google.com/search?q=Putnam+County+Public+Library+Greencastle+IN+library+website","Search")</f>
        <v>Search</v>
      </c>
      <c r="L1100" s="7"/>
      <c r="M1100" s="7"/>
    </row>
    <row r="1101" customFormat="false" ht="15" hidden="false" customHeight="true" outlineLevel="0" collapsed="false">
      <c r="A1101" s="4" t="s">
        <v>4236</v>
      </c>
      <c r="B1101" s="4" t="s">
        <v>4592</v>
      </c>
      <c r="C1101" s="4" t="s">
        <v>4593</v>
      </c>
      <c r="D1101" s="4" t="s">
        <v>4594</v>
      </c>
      <c r="E1101" s="5" t="n">
        <v>13890</v>
      </c>
      <c r="F1101" s="4" t="n">
        <v>1</v>
      </c>
      <c r="G1101" s="4" t="s">
        <v>4595</v>
      </c>
      <c r="H1101" s="4" t="n">
        <v>39.60934</v>
      </c>
      <c r="I1101" s="4" t="n">
        <v>-85.44599</v>
      </c>
      <c r="J1101" s="4" t="s">
        <v>4596</v>
      </c>
      <c r="K1101" s="6" t="str">
        <f aca="false">HYPERLINK("https://www.google.com/search?q=Rushville+Public+Library+Rushville+IN+library+website","Search")</f>
        <v>Search</v>
      </c>
      <c r="L1101" s="7"/>
      <c r="M1101" s="7"/>
    </row>
    <row r="1102" customFormat="false" ht="15" hidden="false" customHeight="true" outlineLevel="0" collapsed="false">
      <c r="A1102" s="4" t="s">
        <v>4236</v>
      </c>
      <c r="B1102" s="4" t="s">
        <v>4597</v>
      </c>
      <c r="C1102" s="4" t="s">
        <v>4598</v>
      </c>
      <c r="D1102" s="4" t="s">
        <v>441</v>
      </c>
      <c r="E1102" s="5" t="n">
        <v>10506</v>
      </c>
      <c r="F1102" s="4" t="n">
        <v>1</v>
      </c>
      <c r="G1102" s="4" t="s">
        <v>4599</v>
      </c>
      <c r="H1102" s="4" t="n">
        <v>38.60753</v>
      </c>
      <c r="I1102" s="4" t="n">
        <v>-86.10082</v>
      </c>
      <c r="J1102" s="4" t="s">
        <v>4600</v>
      </c>
      <c r="K1102" s="6" t="str">
        <f aca="false">HYPERLINK("https://www.google.com/search?q=Salem-Washington+Township+Public+Library+Salem+IN+library+website","Search")</f>
        <v>Search</v>
      </c>
      <c r="L1102" s="7"/>
      <c r="M1102" s="7"/>
    </row>
    <row r="1103" customFormat="false" ht="15" hidden="false" customHeight="true" outlineLevel="0" collapsed="false">
      <c r="A1103" s="4" t="s">
        <v>4236</v>
      </c>
      <c r="B1103" s="4" t="s">
        <v>4601</v>
      </c>
      <c r="C1103" s="4" t="s">
        <v>4602</v>
      </c>
      <c r="D1103" s="4" t="s">
        <v>2895</v>
      </c>
      <c r="E1103" s="5" t="n">
        <v>24384</v>
      </c>
      <c r="F1103" s="4" t="n">
        <v>3</v>
      </c>
      <c r="G1103" s="4" t="s">
        <v>4603</v>
      </c>
      <c r="H1103" s="4" t="n">
        <v>38.68454</v>
      </c>
      <c r="I1103" s="4" t="n">
        <v>-85.77037</v>
      </c>
      <c r="J1103" s="4" t="s">
        <v>4604</v>
      </c>
      <c r="K1103" s="6" t="str">
        <f aca="false">HYPERLINK("https://www.google.com/search?q=Scott+County+Public+Library+Scottsburg+IN+library+website","Search")</f>
        <v>Search</v>
      </c>
      <c r="L1103" s="7"/>
      <c r="M1103" s="7"/>
    </row>
    <row r="1104" customFormat="false" ht="15" hidden="false" customHeight="true" outlineLevel="0" collapsed="false">
      <c r="A1104" s="4" t="s">
        <v>4236</v>
      </c>
      <c r="B1104" s="4" t="s">
        <v>4605</v>
      </c>
      <c r="C1104" s="4" t="s">
        <v>4606</v>
      </c>
      <c r="D1104" s="4" t="s">
        <v>53</v>
      </c>
      <c r="E1104" s="5" t="n">
        <v>45055</v>
      </c>
      <c r="F1104" s="4" t="n">
        <v>3</v>
      </c>
      <c r="G1104" s="4" t="s">
        <v>4607</v>
      </c>
      <c r="H1104" s="4" t="n">
        <v>39.52292</v>
      </c>
      <c r="I1104" s="4" t="n">
        <v>-85.77898</v>
      </c>
      <c r="J1104" s="4" t="s">
        <v>4608</v>
      </c>
      <c r="K1104" s="6" t="str">
        <f aca="false">HYPERLINK("https://www.google.com/search?q=Shelby+County+Public+Library+Shelbyville+IN+library+website","Search")</f>
        <v>Search</v>
      </c>
      <c r="L1104" s="7"/>
      <c r="M1104" s="7"/>
    </row>
    <row r="1105" customFormat="false" ht="15" hidden="false" customHeight="true" outlineLevel="0" collapsed="false">
      <c r="A1105" s="4" t="s">
        <v>4236</v>
      </c>
      <c r="B1105" s="4" t="s">
        <v>4609</v>
      </c>
      <c r="C1105" s="4" t="s">
        <v>4610</v>
      </c>
      <c r="D1105" s="4" t="s">
        <v>572</v>
      </c>
      <c r="E1105" s="5" t="n">
        <v>13952</v>
      </c>
      <c r="F1105" s="4" t="n">
        <v>1</v>
      </c>
      <c r="G1105" s="4" t="s">
        <v>4611</v>
      </c>
      <c r="H1105" s="4" t="n">
        <v>39.80173</v>
      </c>
      <c r="I1105" s="4" t="n">
        <v>-86.25976</v>
      </c>
      <c r="J1105" s="4" t="s">
        <v>4612</v>
      </c>
      <c r="K1105" s="6" t="str">
        <f aca="false">HYPERLINK("https://www.google.com/search?q=Speedway+Public+Library+Speedway+IN+library+website","Search")</f>
        <v>Search</v>
      </c>
      <c r="L1105" s="7"/>
      <c r="M1105" s="7"/>
    </row>
    <row r="1106" customFormat="false" ht="15" hidden="false" customHeight="true" outlineLevel="0" collapsed="false">
      <c r="A1106" s="4" t="s">
        <v>4236</v>
      </c>
      <c r="B1106" s="4" t="s">
        <v>4613</v>
      </c>
      <c r="C1106" s="4" t="s">
        <v>4614</v>
      </c>
      <c r="D1106" s="4" t="s">
        <v>4488</v>
      </c>
      <c r="E1106" s="5" t="n">
        <v>170799</v>
      </c>
      <c r="F1106" s="4" t="n">
        <v>10</v>
      </c>
      <c r="G1106" s="4" t="s">
        <v>4615</v>
      </c>
      <c r="H1106" s="4" t="n">
        <v>41.67336</v>
      </c>
      <c r="I1106" s="4" t="n">
        <v>-86.25192</v>
      </c>
      <c r="J1106" s="4" t="s">
        <v>4616</v>
      </c>
      <c r="K1106" s="6" t="str">
        <f aca="false">HYPERLINK("https://www.google.com/search?q=St+Joseph+County+Public+Library+South+Bend+IN+library+website","Search")</f>
        <v>Search</v>
      </c>
      <c r="L1106" s="7"/>
      <c r="M1106" s="8" t="str">
        <f aca="false">HYPERLINK("https://sjcpl.overdrive.com","https://sjcpl.overdrive.com")</f>
        <v>https://sjcpl.overdrive.com</v>
      </c>
    </row>
    <row r="1107" customFormat="false" ht="15" hidden="false" customHeight="true" outlineLevel="0" collapsed="false">
      <c r="A1107" s="4" t="s">
        <v>4236</v>
      </c>
      <c r="B1107" s="4" t="s">
        <v>4617</v>
      </c>
      <c r="C1107" s="4" t="s">
        <v>3618</v>
      </c>
      <c r="D1107" s="4" t="s">
        <v>4618</v>
      </c>
      <c r="E1107" s="5" t="n">
        <v>18762</v>
      </c>
      <c r="F1107" s="4" t="n">
        <v>4</v>
      </c>
      <c r="G1107" s="4" t="s">
        <v>4619</v>
      </c>
      <c r="H1107" s="4" t="n">
        <v>41.28805</v>
      </c>
      <c r="I1107" s="4" t="n">
        <v>-86.62519</v>
      </c>
      <c r="J1107" s="4" t="s">
        <v>4620</v>
      </c>
      <c r="K1107" s="6" t="str">
        <f aca="false">HYPERLINK("https://www.google.com/search?q=Starke+County+Public+Library+System+Knox+IN+library+website","Search")</f>
        <v>Search</v>
      </c>
      <c r="L1107" s="7"/>
      <c r="M1107" s="7"/>
    </row>
    <row r="1108" customFormat="false" ht="15" hidden="false" customHeight="true" outlineLevel="0" collapsed="false">
      <c r="A1108" s="4" t="s">
        <v>4236</v>
      </c>
      <c r="B1108" s="4" t="s">
        <v>4621</v>
      </c>
      <c r="C1108" s="4" t="s">
        <v>4622</v>
      </c>
      <c r="D1108" s="4" t="s">
        <v>4622</v>
      </c>
      <c r="E1108" s="5" t="n">
        <v>20817</v>
      </c>
      <c r="F1108" s="4" t="n">
        <v>6</v>
      </c>
      <c r="G1108" s="4" t="s">
        <v>4623</v>
      </c>
      <c r="H1108" s="4" t="n">
        <v>39.09414</v>
      </c>
      <c r="I1108" s="4" t="n">
        <v>-87.41141</v>
      </c>
      <c r="J1108" s="4" t="s">
        <v>4624</v>
      </c>
      <c r="K1108" s="6" t="str">
        <f aca="false">HYPERLINK("https://www.google.com/search?q=Sullivan+County+Public+Library+Sullivan+IN+library+website","Search")</f>
        <v>Search</v>
      </c>
      <c r="L1108" s="7"/>
      <c r="M1108" s="7"/>
    </row>
    <row r="1109" customFormat="false" ht="15" hidden="false" customHeight="true" outlineLevel="0" collapsed="false">
      <c r="A1109" s="4" t="s">
        <v>4236</v>
      </c>
      <c r="B1109" s="4" t="s">
        <v>4625</v>
      </c>
      <c r="C1109" s="4" t="s">
        <v>1682</v>
      </c>
      <c r="D1109" s="4" t="s">
        <v>4626</v>
      </c>
      <c r="E1109" s="5" t="n">
        <v>142059</v>
      </c>
      <c r="F1109" s="4" t="n">
        <v>4</v>
      </c>
      <c r="G1109" s="4" t="s">
        <v>4627</v>
      </c>
      <c r="H1109" s="4" t="n">
        <v>40.41732</v>
      </c>
      <c r="I1109" s="4" t="n">
        <v>-86.88922</v>
      </c>
      <c r="J1109" s="4" t="s">
        <v>4628</v>
      </c>
      <c r="K1109" s="6" t="str">
        <f aca="false">HYPERLINK("https://www.google.com/search?q=Tippecanoe+County+Public+Library+Lafayette+IN+library+website","Search")</f>
        <v>Search</v>
      </c>
      <c r="L1109" s="7"/>
      <c r="M1109" s="7"/>
    </row>
    <row r="1110" customFormat="false" ht="15" hidden="false" customHeight="true" outlineLevel="0" collapsed="false">
      <c r="A1110" s="4" t="s">
        <v>4236</v>
      </c>
      <c r="B1110" s="4" t="s">
        <v>4629</v>
      </c>
      <c r="C1110" s="4" t="s">
        <v>4630</v>
      </c>
      <c r="D1110" s="4" t="s">
        <v>4630</v>
      </c>
      <c r="E1110" s="5" t="n">
        <v>15359</v>
      </c>
      <c r="F1110" s="4" t="n">
        <v>2</v>
      </c>
      <c r="G1110" s="4" t="s">
        <v>4631</v>
      </c>
      <c r="H1110" s="4" t="n">
        <v>40.28093</v>
      </c>
      <c r="I1110" s="4" t="n">
        <v>-86.03993</v>
      </c>
      <c r="J1110" s="4" t="s">
        <v>4632</v>
      </c>
      <c r="K1110" s="6" t="str">
        <f aca="false">HYPERLINK("https://www.google.com/search?q=Tipton+County+Public+Library+Tipton+IN+library+website","Search")</f>
        <v>Search</v>
      </c>
      <c r="L1110" s="7"/>
      <c r="M1110" s="7"/>
    </row>
    <row r="1111" customFormat="false" ht="15" hidden="false" customHeight="true" outlineLevel="0" collapsed="false">
      <c r="A1111" s="4" t="s">
        <v>4236</v>
      </c>
      <c r="B1111" s="4" t="s">
        <v>4633</v>
      </c>
      <c r="C1111" s="4" t="s">
        <v>4634</v>
      </c>
      <c r="D1111" s="4" t="s">
        <v>4635</v>
      </c>
      <c r="E1111" s="5" t="n">
        <v>106153</v>
      </c>
      <c r="F1111" s="4" t="n">
        <v>2</v>
      </c>
      <c r="G1111" s="4" t="s">
        <v>4636</v>
      </c>
      <c r="H1111" s="4" t="n">
        <v>39.46344</v>
      </c>
      <c r="I1111" s="4" t="n">
        <v>-87.40836</v>
      </c>
      <c r="J1111" s="4" t="s">
        <v>4637</v>
      </c>
      <c r="K1111" s="6" t="str">
        <f aca="false">HYPERLINK("https://www.google.com/search?q=Vigo+County+Public+Library+Terre+Haute+IN+library+website","Search")</f>
        <v>Search</v>
      </c>
      <c r="L1111" s="7"/>
      <c r="M1111" s="7"/>
    </row>
    <row r="1112" customFormat="false" ht="15" hidden="false" customHeight="true" outlineLevel="0" collapsed="false">
      <c r="A1112" s="4" t="s">
        <v>4236</v>
      </c>
      <c r="B1112" s="4" t="s">
        <v>4638</v>
      </c>
      <c r="C1112" s="4" t="s">
        <v>4639</v>
      </c>
      <c r="D1112" s="4" t="s">
        <v>4639</v>
      </c>
      <c r="E1112" s="5" t="n">
        <v>10440</v>
      </c>
      <c r="F1112" s="4" t="n">
        <v>1</v>
      </c>
      <c r="G1112" s="4" t="s">
        <v>4640</v>
      </c>
      <c r="H1112" s="4" t="n">
        <v>40.7986</v>
      </c>
      <c r="I1112" s="4" t="n">
        <v>-85.82397</v>
      </c>
      <c r="J1112" s="4" t="s">
        <v>4641</v>
      </c>
      <c r="K1112" s="6" t="str">
        <f aca="false">HYPERLINK("https://www.google.com/search?q=Wabash+Carnegie+Public+Library+Wabash+IN+library+website","Search")</f>
        <v>Search</v>
      </c>
      <c r="L1112" s="7"/>
      <c r="M1112" s="7"/>
    </row>
    <row r="1113" customFormat="false" ht="15" hidden="false" customHeight="true" outlineLevel="0" collapsed="false">
      <c r="A1113" s="4" t="s">
        <v>4236</v>
      </c>
      <c r="B1113" s="4" t="s">
        <v>4642</v>
      </c>
      <c r="C1113" s="4" t="s">
        <v>4643</v>
      </c>
      <c r="D1113" s="4" t="s">
        <v>4644</v>
      </c>
      <c r="E1113" s="5" t="n">
        <v>30433</v>
      </c>
      <c r="F1113" s="4" t="n">
        <v>1</v>
      </c>
      <c r="G1113" s="4" t="s">
        <v>4645</v>
      </c>
      <c r="H1113" s="4" t="n">
        <v>41.23904</v>
      </c>
      <c r="I1113" s="4" t="n">
        <v>-85.85343</v>
      </c>
      <c r="J1113" s="4" t="s">
        <v>4646</v>
      </c>
      <c r="K1113" s="6" t="str">
        <f aca="false">HYPERLINK("https://www.google.com/search?q=Warsaw+Community+Public+Library+Warsaw+IN+library+website","Search")</f>
        <v>Search</v>
      </c>
      <c r="L1113" s="7"/>
      <c r="M1113" s="7"/>
    </row>
    <row r="1114" customFormat="false" ht="15" hidden="false" customHeight="true" outlineLevel="0" collapsed="false">
      <c r="A1114" s="4" t="s">
        <v>4236</v>
      </c>
      <c r="B1114" s="4" t="s">
        <v>4647</v>
      </c>
      <c r="C1114" s="4" t="s">
        <v>441</v>
      </c>
      <c r="D1114" s="4" t="s">
        <v>4648</v>
      </c>
      <c r="E1114" s="5" t="n">
        <v>16054</v>
      </c>
      <c r="F1114" s="4" t="n">
        <v>1</v>
      </c>
      <c r="G1114" s="4" t="s">
        <v>4649</v>
      </c>
      <c r="H1114" s="4" t="n">
        <v>38.65692</v>
      </c>
      <c r="I1114" s="4" t="n">
        <v>-87.17927</v>
      </c>
      <c r="J1114" s="4" t="s">
        <v>4650</v>
      </c>
      <c r="K1114" s="6" t="str">
        <f aca="false">HYPERLINK("https://www.google.com/search?q=Washington+Carnegie+Public+Library+Washington+IN+library+website","Search")</f>
        <v>Search</v>
      </c>
      <c r="L1114" s="7"/>
      <c r="M1114" s="7"/>
    </row>
    <row r="1115" customFormat="false" ht="15" hidden="false" customHeight="true" outlineLevel="0" collapsed="false">
      <c r="A1115" s="4" t="s">
        <v>4236</v>
      </c>
      <c r="B1115" s="4" t="s">
        <v>4651</v>
      </c>
      <c r="C1115" s="4" t="s">
        <v>4652</v>
      </c>
      <c r="D1115" s="4" t="s">
        <v>4653</v>
      </c>
      <c r="E1115" s="5" t="n">
        <v>27704</v>
      </c>
      <c r="F1115" s="4" t="n">
        <v>2</v>
      </c>
      <c r="G1115" s="4" t="s">
        <v>4654</v>
      </c>
      <c r="H1115" s="4" t="n">
        <v>40.73872</v>
      </c>
      <c r="I1115" s="4" t="n">
        <v>-85.17348</v>
      </c>
      <c r="J1115" s="4" t="s">
        <v>4655</v>
      </c>
      <c r="K1115" s="6" t="str">
        <f aca="false">HYPERLINK("https://www.google.com/search?q=Wells+County+Public+Library+Bluffton+IN+library+website","Search")</f>
        <v>Search</v>
      </c>
      <c r="L1115" s="7"/>
      <c r="M1115" s="7"/>
    </row>
    <row r="1116" customFormat="false" ht="15" hidden="false" customHeight="true" outlineLevel="0" collapsed="false">
      <c r="A1116" s="4" t="s">
        <v>4236</v>
      </c>
      <c r="B1116" s="4" t="s">
        <v>4656</v>
      </c>
      <c r="C1116" s="4" t="s">
        <v>4657</v>
      </c>
      <c r="D1116" s="4" t="s">
        <v>4626</v>
      </c>
      <c r="E1116" s="5" t="n">
        <v>44595</v>
      </c>
      <c r="F1116" s="4" t="n">
        <v>1</v>
      </c>
      <c r="G1116" s="4" t="s">
        <v>4658</v>
      </c>
      <c r="H1116" s="4" t="n">
        <v>40.42488</v>
      </c>
      <c r="I1116" s="4" t="n">
        <v>-86.90734</v>
      </c>
      <c r="J1116" s="4" t="s">
        <v>4659</v>
      </c>
      <c r="K1116" s="6" t="str">
        <f aca="false">HYPERLINK("https://www.google.com/search?q=West+Lafayette+Public+Library+West+Lafayette+IN+library+website","Search")</f>
        <v>Search</v>
      </c>
      <c r="L1116" s="7"/>
      <c r="M1116" s="7"/>
    </row>
    <row r="1117" customFormat="false" ht="15" hidden="false" customHeight="true" outlineLevel="0" collapsed="false">
      <c r="A1117" s="4" t="s">
        <v>4236</v>
      </c>
      <c r="B1117" s="4" t="s">
        <v>4181</v>
      </c>
      <c r="C1117" s="4" t="s">
        <v>4660</v>
      </c>
      <c r="D1117" s="4" t="s">
        <v>4579</v>
      </c>
      <c r="E1117" s="5" t="n">
        <v>20635</v>
      </c>
      <c r="F1117" s="4" t="n">
        <v>2</v>
      </c>
      <c r="G1117" s="4" t="s">
        <v>4661</v>
      </c>
      <c r="H1117" s="4" t="n">
        <v>41.60994</v>
      </c>
      <c r="I1117" s="4" t="n">
        <v>-87.05385</v>
      </c>
      <c r="J1117" s="4" t="s">
        <v>4662</v>
      </c>
      <c r="K1117" s="6" t="str">
        <f aca="false">HYPERLINK("https://www.google.com/search?q=Westchester+Public+Library+Chesterton+IN+library+website","Search")</f>
        <v>Search</v>
      </c>
      <c r="L1117" s="7"/>
      <c r="M1117" s="7"/>
    </row>
    <row r="1118" customFormat="false" ht="15" hidden="false" customHeight="true" outlineLevel="0" collapsed="false">
      <c r="A1118" s="4" t="s">
        <v>4236</v>
      </c>
      <c r="B1118" s="4" t="s">
        <v>4663</v>
      </c>
      <c r="C1118" s="4" t="s">
        <v>4664</v>
      </c>
      <c r="D1118" s="4" t="s">
        <v>3025</v>
      </c>
      <c r="E1118" s="5" t="n">
        <v>49262</v>
      </c>
      <c r="F1118" s="4" t="n">
        <v>1</v>
      </c>
      <c r="G1118" s="4" t="s">
        <v>4665</v>
      </c>
      <c r="H1118" s="4" t="n">
        <v>40.04996</v>
      </c>
      <c r="I1118" s="4" t="n">
        <v>-86.13109</v>
      </c>
      <c r="J1118" s="4" t="s">
        <v>4666</v>
      </c>
      <c r="K1118" s="6" t="str">
        <f aca="false">HYPERLINK("https://www.google.com/search?q=Westfield-Washington+Public+Library+Westfield+IN+library+website","Search")</f>
        <v>Search</v>
      </c>
      <c r="L1118" s="7"/>
      <c r="M1118" s="7"/>
    </row>
    <row r="1119" customFormat="false" ht="15" hidden="false" customHeight="true" outlineLevel="0" collapsed="false">
      <c r="A1119" s="4" t="s">
        <v>4236</v>
      </c>
      <c r="B1119" s="4" t="s">
        <v>4667</v>
      </c>
      <c r="C1119" s="4" t="s">
        <v>4329</v>
      </c>
      <c r="D1119" s="4" t="s">
        <v>4330</v>
      </c>
      <c r="E1119" s="5" t="n">
        <v>117298</v>
      </c>
      <c r="F1119" s="4" t="n">
        <v>1</v>
      </c>
      <c r="G1119" s="4" t="s">
        <v>4668</v>
      </c>
      <c r="H1119" s="4" t="n">
        <v>37.97843</v>
      </c>
      <c r="I1119" s="4" t="n">
        <v>-87.57512</v>
      </c>
      <c r="J1119" s="4" t="s">
        <v>4669</v>
      </c>
      <c r="K1119" s="6" t="str">
        <f aca="false">HYPERLINK("https://www.google.com/search?q=Willard+Library+Of+Evansville+Evansville+IN+library+website","Search")</f>
        <v>Search</v>
      </c>
      <c r="L1119" s="7"/>
      <c r="M1119" s="7"/>
    </row>
    <row r="1120" customFormat="false" ht="15" hidden="false" customHeight="true" outlineLevel="0" collapsed="false">
      <c r="A1120" s="4" t="s">
        <v>4236</v>
      </c>
      <c r="B1120" s="4" t="s">
        <v>4670</v>
      </c>
      <c r="C1120" s="4" t="s">
        <v>4671</v>
      </c>
      <c r="D1120" s="4" t="s">
        <v>3041</v>
      </c>
      <c r="E1120" s="5" t="n">
        <v>11467</v>
      </c>
      <c r="F1120" s="4" t="n">
        <v>1</v>
      </c>
      <c r="G1120" s="4" t="s">
        <v>4672</v>
      </c>
      <c r="H1120" s="4" t="n">
        <v>40.1747</v>
      </c>
      <c r="I1120" s="4" t="n">
        <v>-85.49058</v>
      </c>
      <c r="J1120" s="4" t="s">
        <v>4673</v>
      </c>
      <c r="K1120" s="6" t="str">
        <f aca="false">HYPERLINK("https://www.google.com/search?q=Yorktown+Public+Library+Yorktown+IN+library+website","Search")</f>
        <v>Search</v>
      </c>
      <c r="L1120" s="7"/>
      <c r="M1120" s="7"/>
    </row>
    <row r="1121" customFormat="false" ht="15" hidden="false" customHeight="true" outlineLevel="0" collapsed="false">
      <c r="A1121" s="4" t="s">
        <v>4674</v>
      </c>
      <c r="B1121" s="4" t="s">
        <v>4675</v>
      </c>
      <c r="C1121" s="4" t="s">
        <v>4676</v>
      </c>
      <c r="D1121" s="4" t="s">
        <v>138</v>
      </c>
      <c r="E1121" s="5" t="n">
        <v>15435</v>
      </c>
      <c r="F1121" s="4" t="n">
        <v>1</v>
      </c>
      <c r="G1121" s="4" t="s">
        <v>4677</v>
      </c>
      <c r="H1121" s="4" t="n">
        <v>37.69394</v>
      </c>
      <c r="I1121" s="4" t="n">
        <v>-97.119</v>
      </c>
      <c r="J1121" s="4" t="s">
        <v>4678</v>
      </c>
      <c r="K1121" s="6" t="str">
        <f aca="false">HYPERLINK("https://www.google.com/search?q=Andover+Public+Library+Andover+KS+library+website","Search")</f>
        <v>Search</v>
      </c>
      <c r="L1121" s="7"/>
      <c r="M1121" s="7"/>
    </row>
    <row r="1122" customFormat="false" ht="15" hidden="false" customHeight="true" outlineLevel="0" collapsed="false">
      <c r="A1122" s="4" t="s">
        <v>4674</v>
      </c>
      <c r="B1122" s="4" t="s">
        <v>4679</v>
      </c>
      <c r="C1122" s="4" t="s">
        <v>4680</v>
      </c>
      <c r="D1122" s="4" t="s">
        <v>4681</v>
      </c>
      <c r="E1122" s="5" t="n">
        <v>11929</v>
      </c>
      <c r="F1122" s="4" t="n">
        <v>1</v>
      </c>
      <c r="G1122" s="4" t="s">
        <v>4682</v>
      </c>
      <c r="H1122" s="4" t="n">
        <v>37.06131</v>
      </c>
      <c r="I1122" s="4" t="n">
        <v>-97.03806</v>
      </c>
      <c r="J1122" s="4" t="s">
        <v>4683</v>
      </c>
      <c r="K1122" s="6" t="str">
        <f aca="false">HYPERLINK("https://www.google.com/search?q=Arkansas+City+Public+Library+Arkansas+City+KS+library+website","Search")</f>
        <v>Search</v>
      </c>
      <c r="L1122" s="7"/>
      <c r="M1122" s="7"/>
    </row>
    <row r="1123" customFormat="false" ht="15" hidden="false" customHeight="true" outlineLevel="0" collapsed="false">
      <c r="A1123" s="4" t="s">
        <v>4674</v>
      </c>
      <c r="B1123" s="4" t="s">
        <v>4684</v>
      </c>
      <c r="C1123" s="4" t="s">
        <v>4685</v>
      </c>
      <c r="D1123" s="4" t="s">
        <v>4685</v>
      </c>
      <c r="E1123" s="5" t="n">
        <v>10694</v>
      </c>
      <c r="F1123" s="4" t="n">
        <v>1</v>
      </c>
      <c r="G1123" s="4" t="s">
        <v>4686</v>
      </c>
      <c r="H1123" s="4" t="n">
        <v>39.56299</v>
      </c>
      <c r="I1123" s="4" t="n">
        <v>-95.11797</v>
      </c>
      <c r="J1123" s="4" t="s">
        <v>4687</v>
      </c>
      <c r="K1123" s="6" t="str">
        <f aca="false">HYPERLINK("https://www.google.com/search?q=Atchison+Library+Atchison+KS+library+website","Search")</f>
        <v>Search</v>
      </c>
      <c r="L1123" s="7"/>
      <c r="M1123" s="7"/>
    </row>
    <row r="1124" customFormat="false" ht="15" hidden="false" customHeight="true" outlineLevel="0" collapsed="false">
      <c r="A1124" s="4" t="s">
        <v>4674</v>
      </c>
      <c r="B1124" s="4" t="s">
        <v>4688</v>
      </c>
      <c r="C1124" s="4" t="s">
        <v>4689</v>
      </c>
      <c r="D1124" s="4" t="s">
        <v>4690</v>
      </c>
      <c r="E1124" s="5" t="n">
        <v>12209</v>
      </c>
      <c r="F1124" s="4" t="n">
        <v>1</v>
      </c>
      <c r="G1124" s="4" t="s">
        <v>4691</v>
      </c>
      <c r="H1124" s="4" t="n">
        <v>39.1217</v>
      </c>
      <c r="I1124" s="4" t="n">
        <v>-94.94651</v>
      </c>
      <c r="J1124" s="4" t="s">
        <v>4692</v>
      </c>
      <c r="K1124" s="6" t="str">
        <f aca="false">HYPERLINK("https://www.google.com/search?q=Basehor+Community+Library%2C+Dist+%232%2C+Lv.+Co.+Basehor+KS+library+website","Search")</f>
        <v>Search</v>
      </c>
      <c r="L1124" s="7"/>
      <c r="M1124" s="7"/>
    </row>
    <row r="1125" customFormat="false" ht="15" hidden="false" customHeight="true" outlineLevel="0" collapsed="false">
      <c r="A1125" s="4" t="s">
        <v>4674</v>
      </c>
      <c r="B1125" s="4" t="s">
        <v>4693</v>
      </c>
      <c r="C1125" s="4" t="s">
        <v>466</v>
      </c>
      <c r="D1125" s="4" t="s">
        <v>138</v>
      </c>
      <c r="E1125" s="5" t="n">
        <v>12810</v>
      </c>
      <c r="F1125" s="4" t="n">
        <v>1</v>
      </c>
      <c r="G1125" s="4" t="s">
        <v>4694</v>
      </c>
      <c r="H1125" s="4" t="n">
        <v>37.81231</v>
      </c>
      <c r="I1125" s="4" t="n">
        <v>-96.85394</v>
      </c>
      <c r="J1125" s="4" t="s">
        <v>4695</v>
      </c>
      <c r="K1125" s="6" t="str">
        <f aca="false">HYPERLINK("https://www.google.com/search?q=Bradford+Memorial+Library+El+Dorado+KS+library+website","Search")</f>
        <v>Search</v>
      </c>
      <c r="L1125" s="7"/>
      <c r="M1125" s="7"/>
    </row>
    <row r="1126" customFormat="false" ht="15" hidden="false" customHeight="true" outlineLevel="0" collapsed="false">
      <c r="A1126" s="4" t="s">
        <v>4674</v>
      </c>
      <c r="B1126" s="4" t="s">
        <v>1891</v>
      </c>
      <c r="C1126" s="4" t="s">
        <v>1888</v>
      </c>
      <c r="D1126" s="4" t="s">
        <v>4696</v>
      </c>
      <c r="E1126" s="5" t="n">
        <v>25847</v>
      </c>
      <c r="F1126" s="4" t="n">
        <v>1</v>
      </c>
      <c r="G1126" s="4" t="s">
        <v>4697</v>
      </c>
      <c r="H1126" s="4" t="n">
        <v>37.55021</v>
      </c>
      <c r="I1126" s="4" t="n">
        <v>-97.24696</v>
      </c>
      <c r="J1126" s="4" t="s">
        <v>4698</v>
      </c>
      <c r="K1126" s="6" t="str">
        <f aca="false">HYPERLINK("https://www.google.com/search?q=Derby+Public+Library+Derby+KS+library+website","Search")</f>
        <v>Search</v>
      </c>
      <c r="L1126" s="7"/>
      <c r="M1126" s="7"/>
    </row>
    <row r="1127" customFormat="false" ht="15" hidden="false" customHeight="true" outlineLevel="0" collapsed="false">
      <c r="A1127" s="4" t="s">
        <v>4674</v>
      </c>
      <c r="B1127" s="4" t="s">
        <v>4699</v>
      </c>
      <c r="C1127" s="4" t="s">
        <v>4700</v>
      </c>
      <c r="D1127" s="4" t="s">
        <v>4701</v>
      </c>
      <c r="E1127" s="5" t="n">
        <v>27690</v>
      </c>
      <c r="F1127" s="4" t="n">
        <v>1</v>
      </c>
      <c r="G1127" s="4" t="s">
        <v>4702</v>
      </c>
      <c r="H1127" s="4" t="n">
        <v>37.75784</v>
      </c>
      <c r="I1127" s="4" t="n">
        <v>-100.01882</v>
      </c>
      <c r="J1127" s="4" t="s">
        <v>4703</v>
      </c>
      <c r="K1127" s="6" t="str">
        <f aca="false">HYPERLINK("https://www.google.com/search?q=Dodge+City+Public+Library+Dodge+City+KS+library+website","Search")</f>
        <v>Search</v>
      </c>
      <c r="L1127" s="7"/>
      <c r="M1127" s="7"/>
    </row>
    <row r="1128" customFormat="false" ht="15" hidden="false" customHeight="true" outlineLevel="0" collapsed="false">
      <c r="A1128" s="4" t="s">
        <v>4674</v>
      </c>
      <c r="B1128" s="4" t="s">
        <v>4704</v>
      </c>
      <c r="C1128" s="4" t="s">
        <v>4705</v>
      </c>
      <c r="D1128" s="4" t="s">
        <v>4706</v>
      </c>
      <c r="E1128" s="5" t="n">
        <v>35934</v>
      </c>
      <c r="F1128" s="4" t="n">
        <v>1</v>
      </c>
      <c r="G1128" s="4" t="s">
        <v>4707</v>
      </c>
      <c r="H1128" s="4" t="n">
        <v>39.02933</v>
      </c>
      <c r="I1128" s="4" t="n">
        <v>-96.83285</v>
      </c>
      <c r="J1128" s="4" t="s">
        <v>4708</v>
      </c>
      <c r="K1128" s="6" t="str">
        <f aca="false">HYPERLINK("https://www.google.com/search?q=Dorothy+Bramlage+Public+Library+Junction+City+KS+library+website","Search")</f>
        <v>Search</v>
      </c>
      <c r="L1128" s="7"/>
      <c r="M1128" s="7"/>
    </row>
    <row r="1129" customFormat="false" ht="15" hidden="false" customHeight="true" outlineLevel="0" collapsed="false">
      <c r="A1129" s="4" t="s">
        <v>4674</v>
      </c>
      <c r="B1129" s="4" t="s">
        <v>4709</v>
      </c>
      <c r="C1129" s="4" t="s">
        <v>4710</v>
      </c>
      <c r="D1129" s="4" t="s">
        <v>4711</v>
      </c>
      <c r="E1129" s="5" t="n">
        <v>28485</v>
      </c>
      <c r="F1129" s="4" t="n">
        <v>1</v>
      </c>
      <c r="G1129" s="4" t="s">
        <v>4712</v>
      </c>
      <c r="H1129" s="4" t="n">
        <v>38.405</v>
      </c>
      <c r="I1129" s="4" t="n">
        <v>-96.17851</v>
      </c>
      <c r="J1129" s="4" t="s">
        <v>4713</v>
      </c>
      <c r="K1129" s="6" t="str">
        <f aca="false">HYPERLINK("https://www.google.com/search?q=Emporia+Public+Library+Emporia+KS+library+website","Search")</f>
        <v>Search</v>
      </c>
      <c r="L1129" s="7"/>
      <c r="M1129" s="7"/>
    </row>
    <row r="1130" customFormat="false" ht="15" hidden="false" customHeight="true" outlineLevel="0" collapsed="false">
      <c r="A1130" s="4" t="s">
        <v>4674</v>
      </c>
      <c r="B1130" s="4" t="s">
        <v>4714</v>
      </c>
      <c r="C1130" s="4" t="s">
        <v>3214</v>
      </c>
      <c r="D1130" s="4" t="s">
        <v>4715</v>
      </c>
      <c r="E1130" s="5" t="n">
        <v>38107</v>
      </c>
      <c r="F1130" s="4" t="n">
        <v>1</v>
      </c>
      <c r="G1130" s="4" t="s">
        <v>4716</v>
      </c>
      <c r="H1130" s="4" t="n">
        <v>37.97041</v>
      </c>
      <c r="I1130" s="4" t="n">
        <v>-100.86517</v>
      </c>
      <c r="J1130" s="4" t="s">
        <v>4717</v>
      </c>
      <c r="K1130" s="6" t="str">
        <f aca="false">HYPERLINK("https://www.google.com/search?q=Finney+County+Public+Library+Garden+City+KS+library+website","Search")</f>
        <v>Search</v>
      </c>
      <c r="L1130" s="7"/>
      <c r="M1130" s="7"/>
    </row>
    <row r="1131" customFormat="false" ht="15" hidden="false" customHeight="true" outlineLevel="0" collapsed="false">
      <c r="A1131" s="4" t="s">
        <v>4674</v>
      </c>
      <c r="B1131" s="4" t="s">
        <v>4718</v>
      </c>
      <c r="C1131" s="4" t="s">
        <v>4719</v>
      </c>
      <c r="D1131" s="4" t="s">
        <v>4720</v>
      </c>
      <c r="E1131" s="5" t="n">
        <v>14580</v>
      </c>
      <c r="F1131" s="4" t="n">
        <v>1</v>
      </c>
      <c r="G1131" s="4" t="s">
        <v>4721</v>
      </c>
      <c r="H1131" s="4" t="n">
        <v>38.36583</v>
      </c>
      <c r="I1131" s="4" t="n">
        <v>-98.76658</v>
      </c>
      <c r="J1131" s="4" t="s">
        <v>4722</v>
      </c>
      <c r="K1131" s="6" t="str">
        <f aca="false">HYPERLINK("https://www.google.com/search?q=Great+Bend+Public+Library+Great+Bend+KS+library+website","Search")</f>
        <v>Search</v>
      </c>
      <c r="L1131" s="7"/>
      <c r="M1131" s="7"/>
    </row>
    <row r="1132" customFormat="false" ht="15" hidden="false" customHeight="true" outlineLevel="0" collapsed="false">
      <c r="A1132" s="4" t="s">
        <v>4674</v>
      </c>
      <c r="B1132" s="4" t="s">
        <v>4723</v>
      </c>
      <c r="C1132" s="4" t="s">
        <v>4724</v>
      </c>
      <c r="D1132" s="4" t="s">
        <v>4725</v>
      </c>
      <c r="E1132" s="5" t="n">
        <v>20795</v>
      </c>
      <c r="F1132" s="4" t="n">
        <v>1</v>
      </c>
      <c r="G1132" s="4" t="s">
        <v>4726</v>
      </c>
      <c r="H1132" s="4" t="n">
        <v>38.87305</v>
      </c>
      <c r="I1132" s="4" t="n">
        <v>-99.32983</v>
      </c>
      <c r="J1132" s="4" t="s">
        <v>4727</v>
      </c>
      <c r="K1132" s="6" t="str">
        <f aca="false">HYPERLINK("https://www.google.com/search?q=Hays+Public+Library+Hays+KS+library+website","Search")</f>
        <v>Search</v>
      </c>
      <c r="L1132" s="7"/>
      <c r="M1132" s="7"/>
    </row>
    <row r="1133" customFormat="false" ht="15" hidden="false" customHeight="true" outlineLevel="0" collapsed="false">
      <c r="A1133" s="4" t="s">
        <v>4674</v>
      </c>
      <c r="B1133" s="4" t="s">
        <v>4728</v>
      </c>
      <c r="C1133" s="4" t="s">
        <v>4729</v>
      </c>
      <c r="D1133" s="4" t="s">
        <v>4696</v>
      </c>
      <c r="E1133" s="5" t="n">
        <v>11315</v>
      </c>
      <c r="F1133" s="4" t="n">
        <v>1</v>
      </c>
      <c r="G1133" s="4" t="s">
        <v>4730</v>
      </c>
      <c r="H1133" s="4" t="n">
        <v>37.56276</v>
      </c>
      <c r="I1133" s="4" t="n">
        <v>-97.3507</v>
      </c>
      <c r="J1133" s="4" t="s">
        <v>4731</v>
      </c>
      <c r="K1133" s="6" t="str">
        <f aca="false">HYPERLINK("https://www.google.com/search?q=Haysville+Community+Library+Haysville+KS+library+website","Search")</f>
        <v>Search</v>
      </c>
      <c r="L1133" s="7"/>
      <c r="M1133" s="7"/>
    </row>
    <row r="1134" customFormat="false" ht="15" hidden="false" customHeight="true" outlineLevel="0" collapsed="false">
      <c r="A1134" s="4" t="s">
        <v>4674</v>
      </c>
      <c r="B1134" s="4" t="s">
        <v>4732</v>
      </c>
      <c r="C1134" s="4" t="s">
        <v>4733</v>
      </c>
      <c r="D1134" s="4" t="s">
        <v>4734</v>
      </c>
      <c r="E1134" s="5" t="n">
        <v>39712</v>
      </c>
      <c r="F1134" s="4" t="n">
        <v>1</v>
      </c>
      <c r="G1134" s="4" t="s">
        <v>4735</v>
      </c>
      <c r="H1134" s="4" t="n">
        <v>38.0632</v>
      </c>
      <c r="I1134" s="4" t="n">
        <v>-97.93192</v>
      </c>
      <c r="J1134" s="4" t="s">
        <v>4736</v>
      </c>
      <c r="K1134" s="6" t="str">
        <f aca="false">HYPERLINK("https://www.google.com/search?q=Hutchinson+Public+Library+Hutchinson+KS+library+website","Search")</f>
        <v>Search</v>
      </c>
      <c r="L1134" s="7"/>
      <c r="M1134" s="7"/>
    </row>
    <row r="1135" customFormat="false" ht="15" hidden="false" customHeight="true" outlineLevel="0" collapsed="false">
      <c r="A1135" s="4" t="s">
        <v>4674</v>
      </c>
      <c r="B1135" s="4" t="s">
        <v>3006</v>
      </c>
      <c r="C1135" s="4" t="s">
        <v>559</v>
      </c>
      <c r="D1135" s="4" t="s">
        <v>315</v>
      </c>
      <c r="E1135" s="5" t="n">
        <v>12233</v>
      </c>
      <c r="F1135" s="4" t="n">
        <v>1</v>
      </c>
      <c r="G1135" s="4" t="s">
        <v>4737</v>
      </c>
      <c r="H1135" s="4" t="n">
        <v>37.22219</v>
      </c>
      <c r="I1135" s="4" t="n">
        <v>-95.70447</v>
      </c>
      <c r="J1135" s="4" t="s">
        <v>4738</v>
      </c>
      <c r="K1135" s="6" t="str">
        <f aca="false">HYPERLINK("https://www.google.com/search?q=Independence+Public+Library+Independence+KS+library+website","Search")</f>
        <v>Search</v>
      </c>
      <c r="L1135" s="7"/>
      <c r="M1135" s="7"/>
    </row>
    <row r="1136" customFormat="false" ht="15" hidden="false" customHeight="true" outlineLevel="0" collapsed="false">
      <c r="A1136" s="4" t="s">
        <v>4674</v>
      </c>
      <c r="B1136" s="4" t="s">
        <v>4739</v>
      </c>
      <c r="C1136" s="4" t="s">
        <v>4740</v>
      </c>
      <c r="D1136" s="4" t="s">
        <v>2942</v>
      </c>
      <c r="E1136" s="5" t="n">
        <v>470205</v>
      </c>
      <c r="F1136" s="4" t="n">
        <v>14</v>
      </c>
      <c r="G1136" s="4" t="s">
        <v>4741</v>
      </c>
      <c r="H1136" s="4" t="n">
        <v>38.97017</v>
      </c>
      <c r="I1136" s="4" t="n">
        <v>-94.70091</v>
      </c>
      <c r="J1136" s="4" t="s">
        <v>4742</v>
      </c>
      <c r="K1136" s="6" t="str">
        <f aca="false">HYPERLINK("https://www.google.com/search?q=Johnson+County+Library+Overland+Park+KS+library+website","Search")</f>
        <v>Search</v>
      </c>
      <c r="L1136" s="7"/>
      <c r="M1136" s="7"/>
    </row>
    <row r="1137" customFormat="false" ht="15" hidden="false" customHeight="true" outlineLevel="0" collapsed="false">
      <c r="A1137" s="4" t="s">
        <v>4674</v>
      </c>
      <c r="B1137" s="4" t="s">
        <v>4743</v>
      </c>
      <c r="C1137" s="4" t="s">
        <v>4744</v>
      </c>
      <c r="D1137" s="4" t="s">
        <v>4745</v>
      </c>
      <c r="E1137" s="5" t="n">
        <v>159248</v>
      </c>
      <c r="F1137" s="4" t="n">
        <v>5</v>
      </c>
      <c r="G1137" s="4" t="s">
        <v>4746</v>
      </c>
      <c r="H1137" s="4" t="n">
        <v>39.1155</v>
      </c>
      <c r="I1137" s="4" t="n">
        <v>-94.62516</v>
      </c>
      <c r="J1137" s="4" t="s">
        <v>4747</v>
      </c>
      <c r="K1137" s="6" t="str">
        <f aca="false">HYPERLINK("https://www.google.com/search?q=Kansas+City%2C+Kansas+Public+Library+Kansas+City+KS+library+website","Search")</f>
        <v>Search</v>
      </c>
      <c r="L1137" s="7"/>
      <c r="M1137" s="7"/>
    </row>
    <row r="1138" customFormat="false" ht="15" hidden="false" customHeight="true" outlineLevel="0" collapsed="false">
      <c r="A1138" s="4" t="s">
        <v>4674</v>
      </c>
      <c r="B1138" s="4" t="s">
        <v>4748</v>
      </c>
      <c r="C1138" s="4" t="s">
        <v>3759</v>
      </c>
      <c r="D1138" s="4" t="s">
        <v>4690</v>
      </c>
      <c r="E1138" s="5" t="n">
        <v>11239</v>
      </c>
      <c r="F1138" s="4" t="n">
        <v>1</v>
      </c>
      <c r="G1138" s="4" t="s">
        <v>4749</v>
      </c>
      <c r="H1138" s="4" t="n">
        <v>39.23833</v>
      </c>
      <c r="I1138" s="4" t="n">
        <v>-94.89871</v>
      </c>
      <c r="J1138" s="4" t="s">
        <v>4750</v>
      </c>
      <c r="K1138" s="6" t="str">
        <f aca="false">HYPERLINK("https://www.google.com/search?q=Lansing+Community+Library+Lansing+KS+library+website","Search")</f>
        <v>Search</v>
      </c>
      <c r="L1138" s="7"/>
      <c r="M1138" s="7"/>
    </row>
    <row r="1139" customFormat="false" ht="15" hidden="false" customHeight="true" outlineLevel="0" collapsed="false">
      <c r="A1139" s="4" t="s">
        <v>4674</v>
      </c>
      <c r="B1139" s="4" t="s">
        <v>4751</v>
      </c>
      <c r="C1139" s="4" t="s">
        <v>279</v>
      </c>
      <c r="D1139" s="4" t="s">
        <v>719</v>
      </c>
      <c r="E1139" s="5" t="n">
        <v>95256</v>
      </c>
      <c r="F1139" s="4" t="n">
        <v>1</v>
      </c>
      <c r="G1139" s="4" t="s">
        <v>4752</v>
      </c>
      <c r="H1139" s="4" t="n">
        <v>38.97085</v>
      </c>
      <c r="I1139" s="4" t="n">
        <v>-95.23736</v>
      </c>
      <c r="J1139" s="4" t="s">
        <v>4753</v>
      </c>
      <c r="K1139" s="6" t="str">
        <f aca="false">HYPERLINK("https://www.google.com/search?q=Lawrence+Public+Library+Lawrence+KS+library+website","Search")</f>
        <v>Search</v>
      </c>
      <c r="L1139" s="7"/>
      <c r="M1139" s="7"/>
    </row>
    <row r="1140" customFormat="false" ht="15" hidden="false" customHeight="true" outlineLevel="0" collapsed="false">
      <c r="A1140" s="4" t="s">
        <v>4674</v>
      </c>
      <c r="B1140" s="4" t="s">
        <v>4754</v>
      </c>
      <c r="C1140" s="4" t="s">
        <v>4690</v>
      </c>
      <c r="D1140" s="4" t="s">
        <v>4690</v>
      </c>
      <c r="E1140" s="5" t="n">
        <v>37176</v>
      </c>
      <c r="F1140" s="4" t="n">
        <v>1</v>
      </c>
      <c r="G1140" s="4" t="s">
        <v>4755</v>
      </c>
      <c r="H1140" s="4" t="n">
        <v>39.31078</v>
      </c>
      <c r="I1140" s="4" t="n">
        <v>-94.91286</v>
      </c>
      <c r="J1140" s="4" t="s">
        <v>4756</v>
      </c>
      <c r="K1140" s="6" t="str">
        <f aca="false">HYPERLINK("https://www.google.com/search?q=Leavenworth+Public+Library+Leavenworth+KS+library+website","Search")</f>
        <v>Search</v>
      </c>
      <c r="L1140" s="7"/>
      <c r="M1140" s="7"/>
    </row>
    <row r="1141" customFormat="false" ht="15" hidden="false" customHeight="true" outlineLevel="0" collapsed="false">
      <c r="A1141" s="4" t="s">
        <v>4674</v>
      </c>
      <c r="B1141" s="4" t="s">
        <v>4757</v>
      </c>
      <c r="C1141" s="4" t="s">
        <v>4758</v>
      </c>
      <c r="D1141" s="4" t="s">
        <v>4759</v>
      </c>
      <c r="E1141" s="5" t="n">
        <v>19640</v>
      </c>
      <c r="F1141" s="4" t="n">
        <v>1</v>
      </c>
      <c r="G1141" s="4" t="s">
        <v>4760</v>
      </c>
      <c r="H1141" s="4" t="n">
        <v>37.0433</v>
      </c>
      <c r="I1141" s="4" t="n">
        <v>-100.92229</v>
      </c>
      <c r="J1141" s="4" t="s">
        <v>4761</v>
      </c>
      <c r="K1141" s="6" t="str">
        <f aca="false">HYPERLINK("https://www.google.com/search?q=Liberal+Memorial+Library+Liberal+KS+library+website","Search")</f>
        <v>Search</v>
      </c>
      <c r="L1141" s="7"/>
      <c r="M1141" s="7"/>
    </row>
    <row r="1142" customFormat="false" ht="15" hidden="false" customHeight="true" outlineLevel="0" collapsed="false">
      <c r="A1142" s="4" t="s">
        <v>4674</v>
      </c>
      <c r="B1142" s="4" t="s">
        <v>4762</v>
      </c>
      <c r="C1142" s="4" t="s">
        <v>3800</v>
      </c>
      <c r="D1142" s="4" t="s">
        <v>4763</v>
      </c>
      <c r="E1142" s="5" t="n">
        <v>54763</v>
      </c>
      <c r="F1142" s="4" t="n">
        <v>1</v>
      </c>
      <c r="G1142" s="4" t="s">
        <v>4764</v>
      </c>
      <c r="H1142" s="4" t="n">
        <v>39.17896</v>
      </c>
      <c r="I1142" s="4" t="n">
        <v>-96.56628</v>
      </c>
      <c r="J1142" s="4" t="s">
        <v>4765</v>
      </c>
      <c r="K1142" s="6" t="str">
        <f aca="false">HYPERLINK("https://www.google.com/search?q=Manhattan+Public+Library+Manhattan+KS+library+website","Search")</f>
        <v>Search</v>
      </c>
      <c r="L1142" s="7"/>
      <c r="M1142" s="7"/>
    </row>
    <row r="1143" customFormat="false" ht="15" hidden="false" customHeight="true" outlineLevel="0" collapsed="false">
      <c r="A1143" s="4" t="s">
        <v>4674</v>
      </c>
      <c r="B1143" s="4" t="s">
        <v>4766</v>
      </c>
      <c r="C1143" s="4" t="s">
        <v>4767</v>
      </c>
      <c r="D1143" s="4" t="s">
        <v>4767</v>
      </c>
      <c r="E1143" s="5" t="n">
        <v>13944</v>
      </c>
      <c r="F1143" s="4" t="n">
        <v>1</v>
      </c>
      <c r="G1143" s="4" t="s">
        <v>4768</v>
      </c>
      <c r="H1143" s="4" t="n">
        <v>38.37046</v>
      </c>
      <c r="I1143" s="4" t="n">
        <v>-97.66895</v>
      </c>
      <c r="J1143" s="4" t="s">
        <v>4769</v>
      </c>
      <c r="K1143" s="6" t="str">
        <f aca="false">HYPERLINK("https://www.google.com/search?q=Mcpherson+Public+Library+Mcpherson+KS+library+website","Search")</f>
        <v>Search</v>
      </c>
      <c r="L1143" s="7"/>
      <c r="M1143" s="7"/>
    </row>
    <row r="1144" customFormat="false" ht="15" hidden="false" customHeight="true" outlineLevel="0" collapsed="false">
      <c r="A1144" s="4" t="s">
        <v>4674</v>
      </c>
      <c r="B1144" s="4" t="s">
        <v>3071</v>
      </c>
      <c r="C1144" s="4" t="s">
        <v>2762</v>
      </c>
      <c r="D1144" s="4" t="s">
        <v>3667</v>
      </c>
      <c r="E1144" s="5" t="n">
        <v>18433</v>
      </c>
      <c r="F1144" s="4" t="n">
        <v>1</v>
      </c>
      <c r="G1144" s="4" t="s">
        <v>4770</v>
      </c>
      <c r="H1144" s="4" t="n">
        <v>38.05071</v>
      </c>
      <c r="I1144" s="4" t="n">
        <v>-97.34307</v>
      </c>
      <c r="J1144" s="4" t="s">
        <v>4771</v>
      </c>
      <c r="K1144" s="6" t="str">
        <f aca="false">HYPERLINK("https://www.google.com/search?q=Newton+Public+Library+Newton+KS+library+website","Search")</f>
        <v>Search</v>
      </c>
      <c r="L1144" s="7"/>
      <c r="M1144" s="7"/>
    </row>
    <row r="1145" customFormat="false" ht="15" hidden="false" customHeight="true" outlineLevel="0" collapsed="false">
      <c r="A1145" s="4" t="s">
        <v>4674</v>
      </c>
      <c r="B1145" s="4" t="s">
        <v>4772</v>
      </c>
      <c r="C1145" s="4" t="s">
        <v>4773</v>
      </c>
      <c r="D1145" s="4" t="s">
        <v>2942</v>
      </c>
      <c r="E1145" s="5" t="n">
        <v>143014</v>
      </c>
      <c r="F1145" s="4" t="n">
        <v>2</v>
      </c>
      <c r="G1145" s="4" t="s">
        <v>4774</v>
      </c>
      <c r="H1145" s="4" t="n">
        <v>38.88376</v>
      </c>
      <c r="I1145" s="4" t="n">
        <v>-94.77103</v>
      </c>
      <c r="J1145" s="4" t="s">
        <v>4775</v>
      </c>
      <c r="K1145" s="6" t="str">
        <f aca="false">HYPERLINK("https://www.google.com/search?q=Olathe+Public+Library+Olathe+KS+library+website","Search")</f>
        <v>Search</v>
      </c>
      <c r="L1145" s="7"/>
      <c r="M1145" s="7"/>
    </row>
    <row r="1146" customFormat="false" ht="15" hidden="false" customHeight="true" outlineLevel="0" collapsed="false">
      <c r="A1146" s="4" t="s">
        <v>4674</v>
      </c>
      <c r="B1146" s="4" t="s">
        <v>4776</v>
      </c>
      <c r="C1146" s="4" t="s">
        <v>4001</v>
      </c>
      <c r="D1146" s="4" t="s">
        <v>384</v>
      </c>
      <c r="E1146" s="5" t="n">
        <v>12604</v>
      </c>
      <c r="F1146" s="4" t="n">
        <v>1</v>
      </c>
      <c r="G1146" s="4" t="s">
        <v>4777</v>
      </c>
      <c r="H1146" s="4" t="n">
        <v>38.61708</v>
      </c>
      <c r="I1146" s="4" t="n">
        <v>-95.26709</v>
      </c>
      <c r="J1146" s="4" t="s">
        <v>4778</v>
      </c>
      <c r="K1146" s="6" t="str">
        <f aca="false">HYPERLINK("https://www.google.com/search?q=Ottawa+Library+Ottawa+KS+library+website","Search")</f>
        <v>Search</v>
      </c>
      <c r="L1146" s="7"/>
      <c r="M1146" s="8" t="str">
        <f aca="false">HYPERLINK("https://ottawa.overdrive.com","https://ottawa.overdrive.com")</f>
        <v>https://ottawa.overdrive.com</v>
      </c>
    </row>
    <row r="1147" customFormat="false" ht="15" hidden="false" customHeight="true" outlineLevel="0" collapsed="false">
      <c r="A1147" s="4" t="s">
        <v>4674</v>
      </c>
      <c r="B1147" s="4" t="s">
        <v>4779</v>
      </c>
      <c r="C1147" s="4" t="s">
        <v>4780</v>
      </c>
      <c r="D1147" s="4" t="s">
        <v>516</v>
      </c>
      <c r="E1147" s="5" t="n">
        <v>20738</v>
      </c>
      <c r="F1147" s="4" t="n">
        <v>1</v>
      </c>
      <c r="G1147" s="4" t="s">
        <v>4781</v>
      </c>
      <c r="H1147" s="4" t="n">
        <v>37.41065</v>
      </c>
      <c r="I1147" s="4" t="n">
        <v>-94.70778</v>
      </c>
      <c r="J1147" s="4" t="s">
        <v>4782</v>
      </c>
      <c r="K1147" s="6" t="str">
        <f aca="false">HYPERLINK("https://www.google.com/search?q=Pittsburg+Public+Library+Pittsburg+KS+library+website","Search")</f>
        <v>Search</v>
      </c>
      <c r="L1147" s="7"/>
      <c r="M1147" s="7"/>
    </row>
    <row r="1148" customFormat="false" ht="15" hidden="false" customHeight="true" outlineLevel="0" collapsed="false">
      <c r="A1148" s="4" t="s">
        <v>4674</v>
      </c>
      <c r="B1148" s="4" t="s">
        <v>4783</v>
      </c>
      <c r="C1148" s="4" t="s">
        <v>4784</v>
      </c>
      <c r="D1148" s="4" t="s">
        <v>4785</v>
      </c>
      <c r="E1148" s="5" t="n">
        <v>27896</v>
      </c>
      <c r="F1148" s="4" t="n">
        <v>8</v>
      </c>
      <c r="G1148" s="4" t="s">
        <v>4786</v>
      </c>
      <c r="H1148" s="4" t="n">
        <v>39.19607</v>
      </c>
      <c r="I1148" s="4" t="n">
        <v>-96.06813</v>
      </c>
      <c r="J1148" s="4" t="s">
        <v>4787</v>
      </c>
      <c r="K1148" s="6" t="str">
        <f aca="false">HYPERLINK("https://www.google.com/search?q=Pottawatomie+Wabaunsee+Regional+Library+St.+Marys+KS+library+website","Search")</f>
        <v>Search</v>
      </c>
      <c r="L1148" s="7"/>
      <c r="M1148" s="7"/>
    </row>
    <row r="1149" customFormat="false" ht="15" hidden="false" customHeight="true" outlineLevel="0" collapsed="false">
      <c r="A1149" s="4" t="s">
        <v>4674</v>
      </c>
      <c r="B1149" s="4" t="s">
        <v>4788</v>
      </c>
      <c r="C1149" s="4" t="s">
        <v>4789</v>
      </c>
      <c r="D1149" s="4" t="s">
        <v>3663</v>
      </c>
      <c r="E1149" s="5" t="n">
        <v>46481</v>
      </c>
      <c r="F1149" s="4" t="n">
        <v>1</v>
      </c>
      <c r="G1149" s="4" t="s">
        <v>4790</v>
      </c>
      <c r="H1149" s="4" t="n">
        <v>38.84512</v>
      </c>
      <c r="I1149" s="4" t="n">
        <v>-97.61125</v>
      </c>
      <c r="J1149" s="4" t="s">
        <v>4791</v>
      </c>
      <c r="K1149" s="6" t="str">
        <f aca="false">HYPERLINK("https://www.google.com/search?q=Salina+Public+Library+Salina+KS+library+website","Search")</f>
        <v>Search</v>
      </c>
      <c r="L1149" s="7"/>
      <c r="M1149" s="7"/>
    </row>
    <row r="1150" customFormat="false" ht="15" hidden="false" customHeight="true" outlineLevel="0" collapsed="false">
      <c r="A1150" s="4" t="s">
        <v>4674</v>
      </c>
      <c r="B1150" s="4" t="s">
        <v>4792</v>
      </c>
      <c r="C1150" s="4" t="s">
        <v>4793</v>
      </c>
      <c r="D1150" s="4" t="s">
        <v>4794</v>
      </c>
      <c r="E1150" s="5" t="n">
        <v>174460</v>
      </c>
      <c r="F1150" s="4" t="n">
        <v>1</v>
      </c>
      <c r="G1150" s="4" t="s">
        <v>4795</v>
      </c>
      <c r="H1150" s="4" t="n">
        <v>39.05129</v>
      </c>
      <c r="I1150" s="4" t="n">
        <v>-95.69642</v>
      </c>
      <c r="J1150" s="4" t="s">
        <v>4796</v>
      </c>
      <c r="K1150" s="6" t="str">
        <f aca="false">HYPERLINK("https://www.google.com/search?q=Topeka+And+Shawnee+County+Public+Library+Topeka+KS+library+website","Search")</f>
        <v>Search</v>
      </c>
      <c r="L1150" s="7"/>
      <c r="M1150" s="8" t="str">
        <f aca="false">HYPERLINK("https://tscpl.overdrive.com","https://tscpl.overdrive.com")</f>
        <v>https://tscpl.overdrive.com</v>
      </c>
    </row>
    <row r="1151" customFormat="false" ht="15" hidden="false" customHeight="true" outlineLevel="0" collapsed="false">
      <c r="A1151" s="4" t="s">
        <v>4674</v>
      </c>
      <c r="B1151" s="4" t="s">
        <v>4797</v>
      </c>
      <c r="C1151" s="4" t="s">
        <v>4798</v>
      </c>
      <c r="D1151" s="4" t="s">
        <v>4696</v>
      </c>
      <c r="E1151" s="5" t="n">
        <v>395699</v>
      </c>
      <c r="F1151" s="4" t="n">
        <v>7</v>
      </c>
      <c r="G1151" s="4" t="s">
        <v>4799</v>
      </c>
      <c r="H1151" s="4" t="n">
        <v>37.68777</v>
      </c>
      <c r="I1151" s="4" t="n">
        <v>-97.34793</v>
      </c>
      <c r="J1151" s="4" t="s">
        <v>4800</v>
      </c>
      <c r="K1151" s="6" t="str">
        <f aca="false">HYPERLINK("https://www.google.com/search?q=Wichita+Public+Library+Wichita+KS+library+website","Search")</f>
        <v>Search</v>
      </c>
      <c r="L1151" s="7"/>
      <c r="M1151" s="8" t="str">
        <f aca="false">HYPERLINK("https://wichita.overdrive.com","https://wichita.overdrive.com")</f>
        <v>https://wichita.overdrive.com</v>
      </c>
    </row>
    <row r="1152" customFormat="false" ht="15" hidden="false" customHeight="true" outlineLevel="0" collapsed="false">
      <c r="A1152" s="4" t="s">
        <v>4674</v>
      </c>
      <c r="B1152" s="4" t="s">
        <v>4801</v>
      </c>
      <c r="C1152" s="4" t="s">
        <v>4802</v>
      </c>
      <c r="D1152" s="4" t="s">
        <v>4681</v>
      </c>
      <c r="E1152" s="5" t="n">
        <v>11726</v>
      </c>
      <c r="F1152" s="4" t="n">
        <v>1</v>
      </c>
      <c r="G1152" s="4" t="s">
        <v>4803</v>
      </c>
      <c r="H1152" s="4" t="n">
        <v>37.2434</v>
      </c>
      <c r="I1152" s="4" t="n">
        <v>-96.97839</v>
      </c>
      <c r="J1152" s="4" t="s">
        <v>4804</v>
      </c>
      <c r="K1152" s="6" t="str">
        <f aca="false">HYPERLINK("https://www.google.com/search?q=Winfield+Public+Library+Winfield+KS+library+website","Search")</f>
        <v>Search</v>
      </c>
      <c r="L1152" s="7"/>
      <c r="M1152" s="7"/>
    </row>
    <row r="1153" customFormat="false" ht="15" hidden="false" customHeight="true" outlineLevel="0" collapsed="false">
      <c r="A1153" s="4" t="s">
        <v>4805</v>
      </c>
      <c r="B1153" s="4" t="s">
        <v>4806</v>
      </c>
      <c r="C1153" s="4" t="s">
        <v>506</v>
      </c>
      <c r="D1153" s="4" t="s">
        <v>4807</v>
      </c>
      <c r="E1153" s="5" t="n">
        <v>19202</v>
      </c>
      <c r="F1153" s="4" t="n">
        <v>1</v>
      </c>
      <c r="G1153" s="4" t="s">
        <v>4808</v>
      </c>
      <c r="H1153" s="4" t="n">
        <v>37.10471</v>
      </c>
      <c r="I1153" s="4" t="n">
        <v>-85.308</v>
      </c>
      <c r="J1153" s="4" t="s">
        <v>4809</v>
      </c>
      <c r="K1153" s="6" t="str">
        <f aca="false">HYPERLINK("https://www.google.com/search?q=Adair+County+Public+Library+Columbia+KY+library+website","Search")</f>
        <v>Search</v>
      </c>
      <c r="L1153" s="7"/>
      <c r="M1153" s="7"/>
    </row>
    <row r="1154" customFormat="false" ht="15" hidden="false" customHeight="true" outlineLevel="0" collapsed="false">
      <c r="A1154" s="4" t="s">
        <v>4805</v>
      </c>
      <c r="B1154" s="4" t="s">
        <v>4244</v>
      </c>
      <c r="C1154" s="4" t="s">
        <v>4810</v>
      </c>
      <c r="D1154" s="4" t="s">
        <v>4246</v>
      </c>
      <c r="E1154" s="5" t="n">
        <v>21315</v>
      </c>
      <c r="F1154" s="4" t="n">
        <v>1</v>
      </c>
      <c r="G1154" s="4" t="s">
        <v>4811</v>
      </c>
      <c r="H1154" s="4" t="n">
        <v>36.75303</v>
      </c>
      <c r="I1154" s="4" t="n">
        <v>-86.1912</v>
      </c>
      <c r="J1154" s="4" t="s">
        <v>4812</v>
      </c>
      <c r="K1154" s="6" t="str">
        <f aca="false">HYPERLINK("https://www.google.com/search?q=Allen+County+Public+Library+Scottsville+KY+library+website","Search")</f>
        <v>Search</v>
      </c>
      <c r="L1154" s="7"/>
      <c r="M1154" s="7"/>
    </row>
    <row r="1155" customFormat="false" ht="15" hidden="false" customHeight="true" outlineLevel="0" collapsed="false">
      <c r="A1155" s="4" t="s">
        <v>4805</v>
      </c>
      <c r="B1155" s="4" t="s">
        <v>4813</v>
      </c>
      <c r="C1155" s="4" t="s">
        <v>4455</v>
      </c>
      <c r="D1155" s="4" t="s">
        <v>4250</v>
      </c>
      <c r="E1155" s="5" t="n">
        <v>22747</v>
      </c>
      <c r="F1155" s="4" t="n">
        <v>1</v>
      </c>
      <c r="G1155" s="4" t="s">
        <v>4814</v>
      </c>
      <c r="H1155" s="4" t="n">
        <v>38.03833</v>
      </c>
      <c r="I1155" s="4" t="n">
        <v>-84.89665</v>
      </c>
      <c r="J1155" s="4" t="s">
        <v>4815</v>
      </c>
      <c r="K1155" s="6" t="str">
        <f aca="false">HYPERLINK("https://www.google.com/search?q=Anderson+County+Public+Library+Lawrenceburg+KY+library+website","Search")</f>
        <v>Search</v>
      </c>
      <c r="L1155" s="7"/>
      <c r="M1155" s="7"/>
    </row>
    <row r="1156" customFormat="false" ht="15" hidden="false" customHeight="true" outlineLevel="0" collapsed="false">
      <c r="A1156" s="4" t="s">
        <v>4805</v>
      </c>
      <c r="B1156" s="4" t="s">
        <v>4816</v>
      </c>
      <c r="C1156" s="4" t="s">
        <v>4817</v>
      </c>
      <c r="D1156" s="4" t="s">
        <v>4818</v>
      </c>
      <c r="E1156" s="5" t="n">
        <v>12648</v>
      </c>
      <c r="F1156" s="4" t="n">
        <v>1</v>
      </c>
      <c r="G1156" s="4" t="s">
        <v>4819</v>
      </c>
      <c r="H1156" s="4" t="n">
        <v>36.96658</v>
      </c>
      <c r="I1156" s="4" t="n">
        <v>-89.08897</v>
      </c>
      <c r="J1156" s="4" t="s">
        <v>4820</v>
      </c>
      <c r="K1156" s="6" t="str">
        <f aca="false">HYPERLINK("https://www.google.com/search?q=Ballard%2FCarlisle+Public+Library+Wickliffe+KY+library+website","Search")</f>
        <v>Search</v>
      </c>
      <c r="L1156" s="7"/>
      <c r="M1156" s="7"/>
    </row>
    <row r="1157" customFormat="false" ht="15" hidden="false" customHeight="true" outlineLevel="0" collapsed="false">
      <c r="A1157" s="4" t="s">
        <v>4805</v>
      </c>
      <c r="B1157" s="4" t="s">
        <v>4821</v>
      </c>
      <c r="C1157" s="4" t="s">
        <v>4822</v>
      </c>
      <c r="D1157" s="4" t="s">
        <v>4823</v>
      </c>
      <c r="E1157" s="5" t="n">
        <v>12500</v>
      </c>
      <c r="F1157" s="4" t="n">
        <v>2</v>
      </c>
      <c r="G1157" s="4" t="s">
        <v>4824</v>
      </c>
      <c r="H1157" s="4" t="n">
        <v>38.14472</v>
      </c>
      <c r="I1157" s="4" t="n">
        <v>-83.76444</v>
      </c>
      <c r="J1157" s="4" t="s">
        <v>4825</v>
      </c>
      <c r="K1157" s="6" t="str">
        <f aca="false">HYPERLINK("https://www.google.com/search?q=Bath+County+Memorial+Library+Owingsville+KY+library+website","Search")</f>
        <v>Search</v>
      </c>
      <c r="L1157" s="7"/>
      <c r="M1157" s="7"/>
    </row>
    <row r="1158" customFormat="false" ht="15" hidden="false" customHeight="true" outlineLevel="0" collapsed="false">
      <c r="A1158" s="4" t="s">
        <v>4805</v>
      </c>
      <c r="B1158" s="4" t="s">
        <v>4826</v>
      </c>
      <c r="C1158" s="4" t="s">
        <v>4827</v>
      </c>
      <c r="D1158" s="4" t="s">
        <v>4828</v>
      </c>
      <c r="E1158" s="5" t="n">
        <v>26032</v>
      </c>
      <c r="F1158" s="4" t="n">
        <v>2</v>
      </c>
      <c r="G1158" s="4" t="s">
        <v>4829</v>
      </c>
      <c r="H1158" s="4" t="n">
        <v>36.60166</v>
      </c>
      <c r="I1158" s="4" t="n">
        <v>-83.71361</v>
      </c>
      <c r="J1158" s="4" t="s">
        <v>4830</v>
      </c>
      <c r="K1158" s="6" t="str">
        <f aca="false">HYPERLINK("https://www.google.com/search?q=Bell+County+Public+Library+System+Middlesboro+KY+library+website","Search")</f>
        <v>Search</v>
      </c>
      <c r="L1158" s="7"/>
      <c r="M1158" s="7"/>
    </row>
    <row r="1159" customFormat="false" ht="15" hidden="false" customHeight="true" outlineLevel="0" collapsed="false">
      <c r="A1159" s="4" t="s">
        <v>4805</v>
      </c>
      <c r="B1159" s="4" t="s">
        <v>4831</v>
      </c>
      <c r="C1159" s="4" t="s">
        <v>2903</v>
      </c>
      <c r="D1159" s="4" t="s">
        <v>486</v>
      </c>
      <c r="E1159" s="5" t="n">
        <v>133581</v>
      </c>
      <c r="F1159" s="4" t="n">
        <v>6</v>
      </c>
      <c r="G1159" s="4" t="s">
        <v>4832</v>
      </c>
      <c r="H1159" s="4" t="n">
        <v>39.01958</v>
      </c>
      <c r="I1159" s="4" t="n">
        <v>-84.69171</v>
      </c>
      <c r="J1159" s="4" t="s">
        <v>4833</v>
      </c>
      <c r="K1159" s="6" t="str">
        <f aca="false">HYPERLINK("https://www.google.com/search?q=Boone+County+Public+Library+District+Burlington+KY+library+website","Search")</f>
        <v>Search</v>
      </c>
      <c r="L1159" s="7"/>
      <c r="M1159" s="7"/>
    </row>
    <row r="1160" customFormat="false" ht="15" hidden="false" customHeight="true" outlineLevel="0" collapsed="false">
      <c r="A1160" s="4" t="s">
        <v>4805</v>
      </c>
      <c r="B1160" s="4" t="s">
        <v>4834</v>
      </c>
      <c r="C1160" s="4" t="s">
        <v>4835</v>
      </c>
      <c r="D1160" s="4" t="s">
        <v>4836</v>
      </c>
      <c r="E1160" s="5" t="n">
        <v>46718</v>
      </c>
      <c r="F1160" s="4" t="n">
        <v>3</v>
      </c>
      <c r="G1160" s="4" t="s">
        <v>4837</v>
      </c>
      <c r="H1160" s="4" t="n">
        <v>38.47598</v>
      </c>
      <c r="I1160" s="4" t="n">
        <v>-82.63951</v>
      </c>
      <c r="J1160" s="4" t="s">
        <v>4838</v>
      </c>
      <c r="K1160" s="6" t="str">
        <f aca="false">HYPERLINK("https://www.google.com/search?q=Boyd+County+Public+Library+Ashland+KY+library+website","Search")</f>
        <v>Search</v>
      </c>
      <c r="L1160" s="7"/>
      <c r="M1160" s="7"/>
    </row>
    <row r="1161" customFormat="false" ht="15" hidden="false" customHeight="true" outlineLevel="0" collapsed="false">
      <c r="A1161" s="4" t="s">
        <v>4805</v>
      </c>
      <c r="B1161" s="4" t="s">
        <v>4839</v>
      </c>
      <c r="C1161" s="4" t="s">
        <v>3479</v>
      </c>
      <c r="D1161" s="4" t="s">
        <v>4840</v>
      </c>
      <c r="E1161" s="5" t="n">
        <v>30060</v>
      </c>
      <c r="F1161" s="4" t="n">
        <v>1</v>
      </c>
      <c r="G1161" s="4" t="s">
        <v>4841</v>
      </c>
      <c r="H1161" s="4" t="n">
        <v>37.64736</v>
      </c>
      <c r="I1161" s="4" t="n">
        <v>-84.77273</v>
      </c>
      <c r="J1161" s="4" t="s">
        <v>4842</v>
      </c>
      <c r="K1161" s="6" t="str">
        <f aca="false">HYPERLINK("https://www.google.com/search?q=Boyle+County+Public+Library+Danville+KY+library+website","Search")</f>
        <v>Search</v>
      </c>
      <c r="L1161" s="7"/>
      <c r="M1161" s="7"/>
    </row>
    <row r="1162" customFormat="false" ht="15" hidden="false" customHeight="true" outlineLevel="0" collapsed="false">
      <c r="A1162" s="4" t="s">
        <v>4805</v>
      </c>
      <c r="B1162" s="4" t="s">
        <v>4843</v>
      </c>
      <c r="C1162" s="4" t="s">
        <v>389</v>
      </c>
      <c r="D1162" s="4" t="s">
        <v>4844</v>
      </c>
      <c r="E1162" s="5" t="n">
        <v>12630</v>
      </c>
      <c r="F1162" s="4" t="n">
        <v>1</v>
      </c>
      <c r="G1162" s="4" t="s">
        <v>4845</v>
      </c>
      <c r="H1162" s="4" t="n">
        <v>37.55342</v>
      </c>
      <c r="I1162" s="4" t="n">
        <v>-83.38327</v>
      </c>
      <c r="J1162" s="4" t="s">
        <v>4846</v>
      </c>
      <c r="K1162" s="6" t="str">
        <f aca="false">HYPERLINK("https://www.google.com/search?q=Breathitt+County+Public+Library+Jackson+KY+library+website","Search")</f>
        <v>Search</v>
      </c>
      <c r="L1162" s="7"/>
      <c r="M1162" s="7"/>
    </row>
    <row r="1163" customFormat="false" ht="15" hidden="false" customHeight="true" outlineLevel="0" collapsed="false">
      <c r="A1163" s="4" t="s">
        <v>4805</v>
      </c>
      <c r="B1163" s="4" t="s">
        <v>4847</v>
      </c>
      <c r="C1163" s="4" t="s">
        <v>4848</v>
      </c>
      <c r="D1163" s="4" t="s">
        <v>4849</v>
      </c>
      <c r="E1163" s="5" t="n">
        <v>20477</v>
      </c>
      <c r="F1163" s="4" t="n">
        <v>3</v>
      </c>
      <c r="G1163" s="4" t="s">
        <v>4850</v>
      </c>
      <c r="H1163" s="4" t="n">
        <v>37.77601</v>
      </c>
      <c r="I1163" s="4" t="n">
        <v>-86.4471</v>
      </c>
      <c r="J1163" s="4" t="s">
        <v>4851</v>
      </c>
      <c r="K1163" s="6" t="str">
        <f aca="false">HYPERLINK("https://www.google.com/search?q=Breckinridge+County+Public+Library+Hardinsburg+KY+library+website","Search")</f>
        <v>Search</v>
      </c>
      <c r="L1163" s="7"/>
      <c r="M1163" s="7"/>
    </row>
    <row r="1164" customFormat="false" ht="15" hidden="false" customHeight="true" outlineLevel="0" collapsed="false">
      <c r="A1164" s="4" t="s">
        <v>4805</v>
      </c>
      <c r="B1164" s="4" t="s">
        <v>4852</v>
      </c>
      <c r="C1164" s="4" t="s">
        <v>4853</v>
      </c>
      <c r="D1164" s="4" t="s">
        <v>4854</v>
      </c>
      <c r="E1164" s="5" t="n">
        <v>81676</v>
      </c>
      <c r="F1164" s="4" t="n">
        <v>5</v>
      </c>
      <c r="G1164" s="4" t="s">
        <v>4855</v>
      </c>
      <c r="H1164" s="4" t="n">
        <v>37.98726</v>
      </c>
      <c r="I1164" s="4" t="n">
        <v>-85.71512</v>
      </c>
      <c r="J1164" s="4" t="s">
        <v>4856</v>
      </c>
      <c r="K1164" s="6" t="str">
        <f aca="false">HYPERLINK("https://www.google.com/search?q=Bullitt+County+Library+District+Shepherdsville+KY+library+website","Search")</f>
        <v>Search</v>
      </c>
      <c r="L1164" s="7"/>
      <c r="M1164" s="7"/>
    </row>
    <row r="1165" customFormat="false" ht="15" hidden="false" customHeight="true" outlineLevel="0" collapsed="false">
      <c r="A1165" s="4" t="s">
        <v>4805</v>
      </c>
      <c r="B1165" s="4" t="s">
        <v>4857</v>
      </c>
      <c r="C1165" s="4" t="s">
        <v>4858</v>
      </c>
      <c r="D1165" s="4" t="s">
        <v>138</v>
      </c>
      <c r="E1165" s="5" t="n">
        <v>12879</v>
      </c>
      <c r="F1165" s="4" t="n">
        <v>1</v>
      </c>
      <c r="G1165" s="4" t="s">
        <v>4859</v>
      </c>
      <c r="H1165" s="4" t="n">
        <v>37.22651</v>
      </c>
      <c r="I1165" s="4" t="n">
        <v>-86.68361</v>
      </c>
      <c r="J1165" s="4" t="s">
        <v>4860</v>
      </c>
      <c r="K1165" s="6" t="str">
        <f aca="false">HYPERLINK("https://www.google.com/search?q=Butler+County+Public+Library+Morgantown+KY+library+website","Search")</f>
        <v>Search</v>
      </c>
      <c r="L1165" s="7"/>
      <c r="M1165" s="7"/>
    </row>
    <row r="1166" customFormat="false" ht="15" hidden="false" customHeight="true" outlineLevel="0" collapsed="false">
      <c r="A1166" s="4" t="s">
        <v>4805</v>
      </c>
      <c r="B1166" s="4" t="s">
        <v>4861</v>
      </c>
      <c r="C1166" s="4" t="s">
        <v>4862</v>
      </c>
      <c r="D1166" s="4" t="s">
        <v>4863</v>
      </c>
      <c r="E1166" s="5" t="n">
        <v>39001</v>
      </c>
      <c r="F1166" s="4" t="n">
        <v>1</v>
      </c>
      <c r="G1166" s="4" t="s">
        <v>4864</v>
      </c>
      <c r="H1166" s="4" t="n">
        <v>36.61069</v>
      </c>
      <c r="I1166" s="4" t="n">
        <v>-88.30689</v>
      </c>
      <c r="J1166" s="4" t="s">
        <v>4865</v>
      </c>
      <c r="K1166" s="6" t="str">
        <f aca="false">HYPERLINK("https://www.google.com/search?q=Calloway+County+Public+Library+Murray+KY+library+website","Search")</f>
        <v>Search</v>
      </c>
      <c r="L1166" s="7"/>
      <c r="M1166" s="7"/>
    </row>
    <row r="1167" customFormat="false" ht="15" hidden="false" customHeight="true" outlineLevel="0" collapsed="false">
      <c r="A1167" s="4" t="s">
        <v>4805</v>
      </c>
      <c r="B1167" s="4" t="s">
        <v>4866</v>
      </c>
      <c r="C1167" s="4" t="s">
        <v>4867</v>
      </c>
      <c r="D1167" s="4" t="s">
        <v>1428</v>
      </c>
      <c r="E1167" s="5" t="n">
        <v>93584</v>
      </c>
      <c r="F1167" s="4" t="n">
        <v>4</v>
      </c>
      <c r="G1167" s="4" t="s">
        <v>4868</v>
      </c>
      <c r="H1167" s="4" t="n">
        <v>39.02456</v>
      </c>
      <c r="I1167" s="4" t="n">
        <v>-84.44362</v>
      </c>
      <c r="J1167" s="4" t="s">
        <v>4869</v>
      </c>
      <c r="K1167" s="6" t="str">
        <f aca="false">HYPERLINK("https://www.google.com/search?q=Campbell+County+Public+Library+District+Cold+Spring+KY+library+website","Search")</f>
        <v>Search</v>
      </c>
      <c r="L1167" s="7"/>
      <c r="M1167" s="7"/>
    </row>
    <row r="1168" customFormat="false" ht="15" hidden="false" customHeight="true" outlineLevel="0" collapsed="false">
      <c r="A1168" s="4" t="s">
        <v>4805</v>
      </c>
      <c r="B1168" s="4" t="s">
        <v>4870</v>
      </c>
      <c r="C1168" s="4" t="s">
        <v>374</v>
      </c>
      <c r="D1168" s="4" t="s">
        <v>491</v>
      </c>
      <c r="E1168" s="5" t="n">
        <v>10631</v>
      </c>
      <c r="F1168" s="4" t="n">
        <v>1</v>
      </c>
      <c r="G1168" s="4" t="s">
        <v>4871</v>
      </c>
      <c r="H1168" s="4" t="n">
        <v>38.68164</v>
      </c>
      <c r="I1168" s="4" t="n">
        <v>-85.18073</v>
      </c>
      <c r="J1168" s="4" t="s">
        <v>4872</v>
      </c>
      <c r="K1168" s="6" t="str">
        <f aca="false">HYPERLINK("https://www.google.com/search?q=Carroll+County+Public+Library+District+Carrollton+KY+library+website","Search")</f>
        <v>Search</v>
      </c>
      <c r="L1168" s="7"/>
      <c r="M1168" s="7"/>
    </row>
    <row r="1169" customFormat="false" ht="15" hidden="false" customHeight="true" outlineLevel="0" collapsed="false">
      <c r="A1169" s="4" t="s">
        <v>4805</v>
      </c>
      <c r="B1169" s="4" t="s">
        <v>4873</v>
      </c>
      <c r="C1169" s="4" t="s">
        <v>4874</v>
      </c>
      <c r="D1169" s="4" t="s">
        <v>4875</v>
      </c>
      <c r="E1169" s="5" t="n">
        <v>26797</v>
      </c>
      <c r="F1169" s="4" t="n">
        <v>2</v>
      </c>
      <c r="G1169" s="4" t="s">
        <v>4876</v>
      </c>
      <c r="H1169" s="4" t="n">
        <v>38.30277</v>
      </c>
      <c r="I1169" s="4" t="n">
        <v>-83.17363</v>
      </c>
      <c r="J1169" s="4" t="s">
        <v>4877</v>
      </c>
      <c r="K1169" s="6" t="str">
        <f aca="false">HYPERLINK("https://www.google.com/search?q=Carter+County+Public+Library+Olive+Hill+KY+library+website","Search")</f>
        <v>Search</v>
      </c>
      <c r="L1169" s="7"/>
      <c r="M1169" s="7"/>
    </row>
    <row r="1170" customFormat="false" ht="15" hidden="false" customHeight="true" outlineLevel="0" collapsed="false">
      <c r="A1170" s="4" t="s">
        <v>4805</v>
      </c>
      <c r="B1170" s="4" t="s">
        <v>4878</v>
      </c>
      <c r="C1170" s="4" t="s">
        <v>4879</v>
      </c>
      <c r="D1170" s="4" t="s">
        <v>4880</v>
      </c>
      <c r="E1170" s="5" t="n">
        <v>16159</v>
      </c>
      <c r="F1170" s="4" t="n">
        <v>1</v>
      </c>
      <c r="G1170" s="4" t="s">
        <v>4881</v>
      </c>
      <c r="H1170" s="4" t="n">
        <v>37.31621</v>
      </c>
      <c r="I1170" s="4" t="n">
        <v>-84.9362</v>
      </c>
      <c r="J1170" s="4" t="s">
        <v>4882</v>
      </c>
      <c r="K1170" s="6" t="str">
        <f aca="false">HYPERLINK("https://www.google.com/search?q=Casey+County+Public+Library+Liberty+KY+library+website","Search")</f>
        <v>Search</v>
      </c>
      <c r="L1170" s="7"/>
      <c r="M1170" s="7"/>
    </row>
    <row r="1171" customFormat="false" ht="15" hidden="false" customHeight="true" outlineLevel="0" collapsed="false">
      <c r="A1171" s="4" t="s">
        <v>4805</v>
      </c>
      <c r="B1171" s="4" t="s">
        <v>4883</v>
      </c>
      <c r="C1171" s="4" t="s">
        <v>1811</v>
      </c>
      <c r="D1171" s="4" t="s">
        <v>501</v>
      </c>
      <c r="E1171" s="5" t="n">
        <v>36263</v>
      </c>
      <c r="F1171" s="4" t="n">
        <v>1</v>
      </c>
      <c r="G1171" s="4" t="s">
        <v>4884</v>
      </c>
      <c r="H1171" s="4" t="n">
        <v>37.9882</v>
      </c>
      <c r="I1171" s="4" t="n">
        <v>-84.18678</v>
      </c>
      <c r="J1171" s="4" t="s">
        <v>4885</v>
      </c>
      <c r="K1171" s="6" t="str">
        <f aca="false">HYPERLINK("https://www.google.com/search?q=Clark+County+Public+Library+Winchester+KY+library+website","Search")</f>
        <v>Search</v>
      </c>
      <c r="L1171" s="7"/>
      <c r="M1171" s="7"/>
    </row>
    <row r="1172" customFormat="false" ht="15" hidden="false" customHeight="true" outlineLevel="0" collapsed="false">
      <c r="A1172" s="4" t="s">
        <v>4805</v>
      </c>
      <c r="B1172" s="4" t="s">
        <v>4886</v>
      </c>
      <c r="C1172" s="4" t="s">
        <v>1996</v>
      </c>
      <c r="D1172" s="4" t="s">
        <v>2322</v>
      </c>
      <c r="E1172" s="5" t="n">
        <v>19901</v>
      </c>
      <c r="F1172" s="4" t="n">
        <v>1</v>
      </c>
      <c r="G1172" s="4" t="s">
        <v>4887</v>
      </c>
      <c r="H1172" s="4" t="n">
        <v>37.15371</v>
      </c>
      <c r="I1172" s="4" t="n">
        <v>-83.76075</v>
      </c>
      <c r="J1172" s="4" t="s">
        <v>4888</v>
      </c>
      <c r="K1172" s="6" t="str">
        <f aca="false">HYPERLINK("https://www.google.com/search?q=Clay+County+Public+Library+Manchester+KY+library+website","Search")</f>
        <v>Search</v>
      </c>
      <c r="L1172" s="7"/>
      <c r="M1172" s="7"/>
    </row>
    <row r="1173" customFormat="false" ht="15" hidden="false" customHeight="true" outlineLevel="0" collapsed="false">
      <c r="A1173" s="4" t="s">
        <v>4805</v>
      </c>
      <c r="B1173" s="4" t="s">
        <v>4889</v>
      </c>
      <c r="C1173" s="4" t="s">
        <v>2671</v>
      </c>
      <c r="D1173" s="4" t="s">
        <v>1964</v>
      </c>
      <c r="E1173" s="5" t="n">
        <v>10218</v>
      </c>
      <c r="F1173" s="4" t="n">
        <v>1</v>
      </c>
      <c r="G1173" s="4" t="s">
        <v>4890</v>
      </c>
      <c r="H1173" s="4" t="n">
        <v>36.70996</v>
      </c>
      <c r="I1173" s="4" t="n">
        <v>-85.13506</v>
      </c>
      <c r="J1173" s="4" t="s">
        <v>4891</v>
      </c>
      <c r="K1173" s="6" t="str">
        <f aca="false">HYPERLINK("https://www.google.com/search?q=Clinton+County+Public+Library+Albany+KY+library+website","Search")</f>
        <v>Search</v>
      </c>
      <c r="L1173" s="7"/>
      <c r="M1173" s="7"/>
    </row>
    <row r="1174" customFormat="false" ht="15" hidden="false" customHeight="true" outlineLevel="0" collapsed="false">
      <c r="A1174" s="4" t="s">
        <v>4805</v>
      </c>
      <c r="B1174" s="4" t="s">
        <v>4892</v>
      </c>
      <c r="C1174" s="4" t="s">
        <v>4893</v>
      </c>
      <c r="D1174" s="4" t="s">
        <v>485</v>
      </c>
      <c r="E1174" s="5" t="n">
        <v>18886</v>
      </c>
      <c r="F1174" s="4" t="n">
        <v>1</v>
      </c>
      <c r="G1174" s="4" t="s">
        <v>4894</v>
      </c>
      <c r="H1174" s="4" t="n">
        <v>38.39086</v>
      </c>
      <c r="I1174" s="4" t="n">
        <v>-84.29734</v>
      </c>
      <c r="J1174" s="4" t="s">
        <v>4895</v>
      </c>
      <c r="K1174" s="6" t="str">
        <f aca="false">HYPERLINK("https://www.google.com/search?q=Cynthiana-Harrison+County+Public+Library+Cynthiana+KY+library+website","Search")</f>
        <v>Search</v>
      </c>
      <c r="L1174" s="7"/>
      <c r="M1174" s="7"/>
    </row>
    <row r="1175" customFormat="false" ht="15" hidden="false" customHeight="true" outlineLevel="0" collapsed="false">
      <c r="A1175" s="4" t="s">
        <v>4805</v>
      </c>
      <c r="B1175" s="4" t="s">
        <v>4896</v>
      </c>
      <c r="C1175" s="4" t="s">
        <v>4897</v>
      </c>
      <c r="D1175" s="4" t="s">
        <v>4648</v>
      </c>
      <c r="E1175" s="5" t="n">
        <v>101511</v>
      </c>
      <c r="F1175" s="4" t="n">
        <v>1</v>
      </c>
      <c r="G1175" s="4" t="s">
        <v>4898</v>
      </c>
      <c r="H1175" s="4" t="n">
        <v>37.75602</v>
      </c>
      <c r="I1175" s="4" t="n">
        <v>-87.11179</v>
      </c>
      <c r="J1175" s="4" t="s">
        <v>4899</v>
      </c>
      <c r="K1175" s="6" t="str">
        <f aca="false">HYPERLINK("https://www.google.com/search?q=Daviess+County+Public+Library+District+Owensboro+KY+library+website","Search")</f>
        <v>Search</v>
      </c>
      <c r="L1175" s="7"/>
      <c r="M1175" s="7"/>
    </row>
    <row r="1176" customFormat="false" ht="15" hidden="false" customHeight="true" outlineLevel="0" collapsed="false">
      <c r="A1176" s="4" t="s">
        <v>4805</v>
      </c>
      <c r="B1176" s="4" t="s">
        <v>4900</v>
      </c>
      <c r="C1176" s="4" t="s">
        <v>4901</v>
      </c>
      <c r="D1176" s="4" t="s">
        <v>4902</v>
      </c>
      <c r="E1176" s="5" t="n">
        <v>12150</v>
      </c>
      <c r="F1176" s="4" t="n">
        <v>1</v>
      </c>
      <c r="G1176" s="4" t="s">
        <v>4903</v>
      </c>
      <c r="H1176" s="4" t="n">
        <v>37.19259</v>
      </c>
      <c r="I1176" s="4" t="n">
        <v>-86.25712</v>
      </c>
      <c r="J1176" s="4" t="s">
        <v>4904</v>
      </c>
      <c r="K1176" s="6" t="str">
        <f aca="false">HYPERLINK("https://www.google.com/search?q=Edmonson+County+Public+Library+Brownsville+KY+library+website","Search")</f>
        <v>Search</v>
      </c>
      <c r="L1176" s="7"/>
      <c r="M1176" s="7"/>
    </row>
    <row r="1177" customFormat="false" ht="15" hidden="false" customHeight="true" outlineLevel="0" collapsed="false">
      <c r="A1177" s="4" t="s">
        <v>4805</v>
      </c>
      <c r="B1177" s="4" t="s">
        <v>4905</v>
      </c>
      <c r="C1177" s="4" t="s">
        <v>4906</v>
      </c>
      <c r="D1177" s="4" t="s">
        <v>4907</v>
      </c>
      <c r="E1177" s="5" t="n">
        <v>14106</v>
      </c>
      <c r="F1177" s="4" t="n">
        <v>1</v>
      </c>
      <c r="G1177" s="4" t="s">
        <v>4908</v>
      </c>
      <c r="H1177" s="4" t="n">
        <v>37.69945</v>
      </c>
      <c r="I1177" s="4" t="n">
        <v>-83.97107</v>
      </c>
      <c r="J1177" s="4" t="s">
        <v>4909</v>
      </c>
      <c r="K1177" s="6" t="str">
        <f aca="false">HYPERLINK("https://www.google.com/search?q=Estill+County+Public+Library+Irvine+KY+library+website","Search")</f>
        <v>Search</v>
      </c>
      <c r="L1177" s="7"/>
      <c r="M1177" s="7"/>
    </row>
    <row r="1178" customFormat="false" ht="15" hidden="false" customHeight="true" outlineLevel="0" collapsed="false">
      <c r="A1178" s="4" t="s">
        <v>4805</v>
      </c>
      <c r="B1178" s="4" t="s">
        <v>4910</v>
      </c>
      <c r="C1178" s="4" t="s">
        <v>4911</v>
      </c>
      <c r="D1178" s="4" t="s">
        <v>4912</v>
      </c>
      <c r="E1178" s="5" t="n">
        <v>14581</v>
      </c>
      <c r="F1178" s="4" t="n">
        <v>1</v>
      </c>
      <c r="G1178" s="4" t="s">
        <v>4913</v>
      </c>
      <c r="H1178" s="4" t="n">
        <v>38.43745</v>
      </c>
      <c r="I1178" s="4" t="n">
        <v>-83.747</v>
      </c>
      <c r="J1178" s="4" t="s">
        <v>4914</v>
      </c>
      <c r="K1178" s="6" t="str">
        <f aca="false">HYPERLINK("https://www.google.com/search?q=Fleming+County+Public+Library+Flemingsburg+KY+library+website","Search")</f>
        <v>Search</v>
      </c>
      <c r="L1178" s="7"/>
      <c r="M1178" s="7"/>
    </row>
    <row r="1179" customFormat="false" ht="15" hidden="false" customHeight="true" outlineLevel="0" collapsed="false">
      <c r="A1179" s="4" t="s">
        <v>4805</v>
      </c>
      <c r="B1179" s="4" t="s">
        <v>4915</v>
      </c>
      <c r="C1179" s="4" t="s">
        <v>4916</v>
      </c>
      <c r="D1179" s="4" t="s">
        <v>2814</v>
      </c>
      <c r="E1179" s="5" t="n">
        <v>35589</v>
      </c>
      <c r="F1179" s="4" t="n">
        <v>2</v>
      </c>
      <c r="G1179" s="4" t="s">
        <v>4917</v>
      </c>
      <c r="H1179" s="4" t="n">
        <v>37.66836</v>
      </c>
      <c r="I1179" s="4" t="n">
        <v>-82.77489</v>
      </c>
      <c r="J1179" s="4" t="s">
        <v>4918</v>
      </c>
      <c r="K1179" s="6" t="str">
        <f aca="false">HYPERLINK("https://www.google.com/search?q=Floyd+County+Library+Prestonsburg+KY+library+website","Search")</f>
        <v>Search</v>
      </c>
      <c r="L1179" s="7"/>
      <c r="M1179" s="7"/>
    </row>
    <row r="1180" customFormat="false" ht="15" hidden="false" customHeight="true" outlineLevel="0" collapsed="false">
      <c r="A1180" s="4" t="s">
        <v>4805</v>
      </c>
      <c r="B1180" s="4" t="s">
        <v>4919</v>
      </c>
      <c r="C1180" s="4" t="s">
        <v>3596</v>
      </c>
      <c r="D1180" s="4" t="s">
        <v>384</v>
      </c>
      <c r="E1180" s="5" t="n">
        <v>50991</v>
      </c>
      <c r="F1180" s="4" t="n">
        <v>1</v>
      </c>
      <c r="G1180" s="4" t="s">
        <v>4920</v>
      </c>
      <c r="H1180" s="4" t="n">
        <v>38.19789</v>
      </c>
      <c r="I1180" s="4" t="n">
        <v>-84.87977</v>
      </c>
      <c r="J1180" s="4" t="s">
        <v>4921</v>
      </c>
      <c r="K1180" s="6" t="str">
        <f aca="false">HYPERLINK("https://www.google.com/search?q=Franklin+County+District+Public+Library+Frankfort+KY+library+website","Search")</f>
        <v>Search</v>
      </c>
      <c r="L1180" s="7"/>
      <c r="M1180" s="7"/>
    </row>
    <row r="1181" customFormat="false" ht="15" hidden="false" customHeight="true" outlineLevel="0" collapsed="false">
      <c r="A1181" s="4" t="s">
        <v>4805</v>
      </c>
      <c r="B1181" s="4" t="s">
        <v>4922</v>
      </c>
      <c r="C1181" s="4" t="s">
        <v>4923</v>
      </c>
      <c r="D1181" s="4" t="s">
        <v>4924</v>
      </c>
      <c r="E1181" s="5" t="n">
        <v>17666</v>
      </c>
      <c r="F1181" s="4" t="n">
        <v>1</v>
      </c>
      <c r="G1181" s="4" t="s">
        <v>4925</v>
      </c>
      <c r="H1181" s="4" t="n">
        <v>37.61978</v>
      </c>
      <c r="I1181" s="4" t="n">
        <v>-84.5787</v>
      </c>
      <c r="J1181" s="4" t="s">
        <v>4926</v>
      </c>
      <c r="K1181" s="6" t="str">
        <f aca="false">HYPERLINK("https://www.google.com/search?q=Garrard+County+Public+Library+Lancaster+KY+library+website","Search")</f>
        <v>Search</v>
      </c>
      <c r="L1181" s="7"/>
      <c r="M1181" s="7"/>
    </row>
    <row r="1182" customFormat="false" ht="15" hidden="false" customHeight="true" outlineLevel="0" collapsed="false">
      <c r="A1182" s="4" t="s">
        <v>4805</v>
      </c>
      <c r="B1182" s="4" t="s">
        <v>4927</v>
      </c>
      <c r="C1182" s="4" t="s">
        <v>4583</v>
      </c>
      <c r="D1182" s="4" t="s">
        <v>3188</v>
      </c>
      <c r="E1182" s="5" t="n">
        <v>12747</v>
      </c>
      <c r="F1182" s="4" t="n">
        <v>2</v>
      </c>
      <c r="G1182" s="4" t="s">
        <v>4928</v>
      </c>
      <c r="H1182" s="4" t="n">
        <v>37.10861</v>
      </c>
      <c r="I1182" s="4" t="n">
        <v>-87.88385</v>
      </c>
      <c r="J1182" s="4" t="s">
        <v>4929</v>
      </c>
      <c r="K1182" s="6" t="str">
        <f aca="false">HYPERLINK("https://www.google.com/search?q=George+Coon+Public+Library+Princeton+KY+library+website","Search")</f>
        <v>Search</v>
      </c>
      <c r="L1182" s="7"/>
      <c r="M1182" s="7"/>
    </row>
    <row r="1183" customFormat="false" ht="15" hidden="false" customHeight="true" outlineLevel="0" collapsed="false">
      <c r="A1183" s="4" t="s">
        <v>4805</v>
      </c>
      <c r="B1183" s="4" t="s">
        <v>4930</v>
      </c>
      <c r="C1183" s="4" t="s">
        <v>384</v>
      </c>
      <c r="D1183" s="4" t="s">
        <v>4931</v>
      </c>
      <c r="E1183" s="5" t="n">
        <v>18572</v>
      </c>
      <c r="F1183" s="4" t="n">
        <v>1</v>
      </c>
      <c r="G1183" s="4" t="s">
        <v>4932</v>
      </c>
      <c r="H1183" s="4" t="n">
        <v>36.72069</v>
      </c>
      <c r="I1183" s="4" t="n">
        <v>-86.57825</v>
      </c>
      <c r="J1183" s="4" t="s">
        <v>4933</v>
      </c>
      <c r="K1183" s="6" t="str">
        <f aca="false">HYPERLINK("https://www.google.com/search?q=Goodnight+Memorial+Library+Franklin+KY+library+website","Search")</f>
        <v>Search</v>
      </c>
      <c r="L1183" s="7"/>
      <c r="M1183" s="7"/>
    </row>
    <row r="1184" customFormat="false" ht="15" hidden="false" customHeight="true" outlineLevel="0" collapsed="false">
      <c r="A1184" s="4" t="s">
        <v>4805</v>
      </c>
      <c r="B1184" s="4" t="s">
        <v>4934</v>
      </c>
      <c r="C1184" s="4" t="s">
        <v>4935</v>
      </c>
      <c r="D1184" s="4" t="s">
        <v>4474</v>
      </c>
      <c r="E1184" s="5" t="n">
        <v>25069</v>
      </c>
      <c r="F1184" s="4" t="n">
        <v>1</v>
      </c>
      <c r="G1184" s="4" t="s">
        <v>4936</v>
      </c>
      <c r="H1184" s="4" t="n">
        <v>38.65074</v>
      </c>
      <c r="I1184" s="4" t="n">
        <v>-84.57446</v>
      </c>
      <c r="J1184" s="4" t="s">
        <v>4937</v>
      </c>
      <c r="K1184" s="6" t="str">
        <f aca="false">HYPERLINK("https://www.google.com/search?q=Grant+County+Public+Library+District+Williamstown+KY+library+website","Search")</f>
        <v>Search</v>
      </c>
      <c r="L1184" s="7"/>
      <c r="M1184" s="7"/>
    </row>
    <row r="1185" customFormat="false" ht="15" hidden="false" customHeight="true" outlineLevel="0" collapsed="false">
      <c r="A1185" s="4" t="s">
        <v>4805</v>
      </c>
      <c r="B1185" s="4" t="s">
        <v>4938</v>
      </c>
      <c r="C1185" s="4" t="s">
        <v>4939</v>
      </c>
      <c r="D1185" s="4" t="s">
        <v>4940</v>
      </c>
      <c r="E1185" s="5" t="n">
        <v>37266</v>
      </c>
      <c r="F1185" s="4" t="n">
        <v>1</v>
      </c>
      <c r="G1185" s="4" t="s">
        <v>4941</v>
      </c>
      <c r="H1185" s="4" t="n">
        <v>36.74737</v>
      </c>
      <c r="I1185" s="4" t="n">
        <v>-88.64947</v>
      </c>
      <c r="J1185" s="4" t="s">
        <v>4942</v>
      </c>
      <c r="K1185" s="6" t="str">
        <f aca="false">HYPERLINK("https://www.google.com/search?q=Graves+County+Public+Library+Mayfield+KY+library+website","Search")</f>
        <v>Search</v>
      </c>
      <c r="L1185" s="7"/>
      <c r="M1185" s="7"/>
    </row>
    <row r="1186" customFormat="false" ht="15" hidden="false" customHeight="true" outlineLevel="0" collapsed="false">
      <c r="A1186" s="4" t="s">
        <v>4805</v>
      </c>
      <c r="B1186" s="4" t="s">
        <v>4943</v>
      </c>
      <c r="C1186" s="4" t="s">
        <v>4944</v>
      </c>
      <c r="D1186" s="4" t="s">
        <v>4945</v>
      </c>
      <c r="E1186" s="5" t="n">
        <v>26427</v>
      </c>
      <c r="F1186" s="4" t="n">
        <v>1</v>
      </c>
      <c r="G1186" s="4" t="s">
        <v>4946</v>
      </c>
      <c r="H1186" s="4" t="n">
        <v>37.47563</v>
      </c>
      <c r="I1186" s="4" t="n">
        <v>-86.2846</v>
      </c>
      <c r="J1186" s="4" t="s">
        <v>4947</v>
      </c>
      <c r="K1186" s="6" t="str">
        <f aca="false">HYPERLINK("https://www.google.com/search?q=Grayson+County+Public+Library+Leitchfield+KY+library+website","Search")</f>
        <v>Search</v>
      </c>
      <c r="L1186" s="7"/>
      <c r="M1186" s="7"/>
    </row>
    <row r="1187" customFormat="false" ht="15" hidden="false" customHeight="true" outlineLevel="0" collapsed="false">
      <c r="A1187" s="4" t="s">
        <v>4805</v>
      </c>
      <c r="B1187" s="4" t="s">
        <v>4948</v>
      </c>
      <c r="C1187" s="4" t="s">
        <v>4362</v>
      </c>
      <c r="D1187" s="4" t="s">
        <v>4949</v>
      </c>
      <c r="E1187" s="5" t="n">
        <v>10941</v>
      </c>
      <c r="F1187" s="4" t="n">
        <v>1</v>
      </c>
      <c r="G1187" s="4" t="s">
        <v>4950</v>
      </c>
      <c r="H1187" s="4" t="n">
        <v>37.26107</v>
      </c>
      <c r="I1187" s="4" t="n">
        <v>-85.50258</v>
      </c>
      <c r="J1187" s="4" t="s">
        <v>4951</v>
      </c>
      <c r="K1187" s="6" t="str">
        <f aca="false">HYPERLINK("https://www.google.com/search?q=Green+County+Public+Library+Greensburg+KY+library+website","Search")</f>
        <v>Search</v>
      </c>
      <c r="L1187" s="7"/>
      <c r="M1187" s="7"/>
    </row>
    <row r="1188" customFormat="false" ht="15" hidden="false" customHeight="true" outlineLevel="0" collapsed="false">
      <c r="A1188" s="4" t="s">
        <v>4805</v>
      </c>
      <c r="B1188" s="4" t="s">
        <v>4952</v>
      </c>
      <c r="C1188" s="4" t="s">
        <v>4953</v>
      </c>
      <c r="D1188" s="4" t="s">
        <v>4953</v>
      </c>
      <c r="E1188" s="5" t="n">
        <v>35098</v>
      </c>
      <c r="F1188" s="4" t="n">
        <v>3</v>
      </c>
      <c r="G1188" s="4" t="s">
        <v>4954</v>
      </c>
      <c r="H1188" s="4" t="n">
        <v>38.57698</v>
      </c>
      <c r="I1188" s="4" t="n">
        <v>-82.8354</v>
      </c>
      <c r="J1188" s="4" t="s">
        <v>4955</v>
      </c>
      <c r="K1188" s="6" t="str">
        <f aca="false">HYPERLINK("https://www.google.com/search?q=Greenup+County+Public+Library+Greenup+KY+library+website","Search")</f>
        <v>Search</v>
      </c>
      <c r="L1188" s="7"/>
      <c r="M1188" s="7"/>
    </row>
    <row r="1189" customFormat="false" ht="15" hidden="false" customHeight="true" outlineLevel="0" collapsed="false">
      <c r="A1189" s="4" t="s">
        <v>4805</v>
      </c>
      <c r="B1189" s="4" t="s">
        <v>4956</v>
      </c>
      <c r="C1189" s="4" t="s">
        <v>4957</v>
      </c>
      <c r="D1189" s="4" t="s">
        <v>4958</v>
      </c>
      <c r="E1189" s="5" t="n">
        <v>110958</v>
      </c>
      <c r="F1189" s="4" t="n">
        <v>1</v>
      </c>
      <c r="G1189" s="4" t="s">
        <v>4959</v>
      </c>
      <c r="H1189" s="4" t="n">
        <v>37.69731</v>
      </c>
      <c r="I1189" s="4" t="n">
        <v>-85.88547</v>
      </c>
      <c r="J1189" s="4" t="s">
        <v>4960</v>
      </c>
      <c r="K1189" s="6" t="str">
        <f aca="false">HYPERLINK("https://www.google.com/search?q=Hardin+County+Public+Library+Elizabethtown+KY+library+website","Search")</f>
        <v>Search</v>
      </c>
      <c r="L1189" s="7"/>
      <c r="M1189" s="7"/>
    </row>
    <row r="1190" customFormat="false" ht="15" hidden="false" customHeight="true" outlineLevel="0" collapsed="false">
      <c r="A1190" s="4" t="s">
        <v>4805</v>
      </c>
      <c r="B1190" s="4" t="s">
        <v>4961</v>
      </c>
      <c r="C1190" s="4" t="s">
        <v>2999</v>
      </c>
      <c r="D1190" s="4" t="s">
        <v>2999</v>
      </c>
      <c r="E1190" s="5" t="n">
        <v>26010</v>
      </c>
      <c r="F1190" s="4" t="n">
        <v>3</v>
      </c>
      <c r="G1190" s="4" t="s">
        <v>4962</v>
      </c>
      <c r="H1190" s="4" t="n">
        <v>36.84735</v>
      </c>
      <c r="I1190" s="4" t="n">
        <v>-83.32002</v>
      </c>
      <c r="J1190" s="4" t="s">
        <v>4963</v>
      </c>
      <c r="K1190" s="6" t="str">
        <f aca="false">HYPERLINK("https://www.google.com/search?q=Harlan+County+Public+Library+Harlan+KY+library+website","Search")</f>
        <v>Search</v>
      </c>
      <c r="L1190" s="7"/>
      <c r="M1190" s="7"/>
    </row>
    <row r="1191" customFormat="false" ht="15" hidden="false" customHeight="true" outlineLevel="0" collapsed="false">
      <c r="A1191" s="4" t="s">
        <v>4805</v>
      </c>
      <c r="B1191" s="4" t="s">
        <v>4964</v>
      </c>
      <c r="C1191" s="4" t="s">
        <v>4965</v>
      </c>
      <c r="D1191" s="4" t="s">
        <v>2710</v>
      </c>
      <c r="E1191" s="5" t="n">
        <v>19035</v>
      </c>
      <c r="F1191" s="4" t="n">
        <v>1</v>
      </c>
      <c r="G1191" s="4" t="s">
        <v>4966</v>
      </c>
      <c r="H1191" s="4" t="n">
        <v>37.27488</v>
      </c>
      <c r="I1191" s="4" t="n">
        <v>-85.88806</v>
      </c>
      <c r="J1191" s="4" t="s">
        <v>4967</v>
      </c>
      <c r="K1191" s="6" t="str">
        <f aca="false">HYPERLINK("https://www.google.com/search?q=Hart+County+Public+Library+Munfordville+KY+library+website","Search")</f>
        <v>Search</v>
      </c>
      <c r="L1191" s="7"/>
      <c r="M1191" s="7"/>
    </row>
    <row r="1192" customFormat="false" ht="15" hidden="false" customHeight="true" outlineLevel="0" collapsed="false">
      <c r="A1192" s="4" t="s">
        <v>4805</v>
      </c>
      <c r="B1192" s="4" t="s">
        <v>4968</v>
      </c>
      <c r="C1192" s="4" t="s">
        <v>4969</v>
      </c>
      <c r="D1192" s="4" t="s">
        <v>4969</v>
      </c>
      <c r="E1192" s="5" t="n">
        <v>45210</v>
      </c>
      <c r="F1192" s="4" t="n">
        <v>1</v>
      </c>
      <c r="G1192" s="4" t="s">
        <v>4970</v>
      </c>
      <c r="H1192" s="4" t="n">
        <v>37.83771</v>
      </c>
      <c r="I1192" s="4" t="n">
        <v>-87.59404</v>
      </c>
      <c r="J1192" s="4" t="s">
        <v>4971</v>
      </c>
      <c r="K1192" s="6" t="str">
        <f aca="false">HYPERLINK("https://www.google.com/search?q=Henderson+County+Public+Library+Henderson+KY+library+website","Search")</f>
        <v>Search</v>
      </c>
      <c r="L1192" s="7"/>
      <c r="M1192" s="7"/>
    </row>
    <row r="1193" customFormat="false" ht="15" hidden="false" customHeight="true" outlineLevel="0" collapsed="false">
      <c r="A1193" s="4" t="s">
        <v>4805</v>
      </c>
      <c r="B1193" s="4" t="s">
        <v>4972</v>
      </c>
      <c r="C1193" s="4" t="s">
        <v>4973</v>
      </c>
      <c r="D1193" s="4" t="s">
        <v>2715</v>
      </c>
      <c r="E1193" s="5" t="n">
        <v>16126</v>
      </c>
      <c r="F1193" s="4" t="n">
        <v>1</v>
      </c>
      <c r="G1193" s="4" t="s">
        <v>4974</v>
      </c>
      <c r="H1193" s="4" t="n">
        <v>38.36818</v>
      </c>
      <c r="I1193" s="4" t="n">
        <v>-85.17871</v>
      </c>
      <c r="J1193" s="4" t="s">
        <v>4975</v>
      </c>
      <c r="K1193" s="6" t="str">
        <f aca="false">HYPERLINK("https://www.google.com/search?q=Henry+County+Public+Library+Eminence+KY+library+website","Search")</f>
        <v>Search</v>
      </c>
      <c r="L1193" s="7"/>
      <c r="M1193" s="7"/>
    </row>
    <row r="1194" customFormat="false" ht="15" hidden="false" customHeight="true" outlineLevel="0" collapsed="false">
      <c r="A1194" s="4" t="s">
        <v>4805</v>
      </c>
      <c r="B1194" s="4" t="s">
        <v>4976</v>
      </c>
      <c r="C1194" s="4" t="s">
        <v>4977</v>
      </c>
      <c r="D1194" s="4" t="s">
        <v>4978</v>
      </c>
      <c r="E1194" s="5" t="n">
        <v>44686</v>
      </c>
      <c r="F1194" s="4" t="n">
        <v>2</v>
      </c>
      <c r="G1194" s="4" t="s">
        <v>4979</v>
      </c>
      <c r="H1194" s="4" t="n">
        <v>37.32752</v>
      </c>
      <c r="I1194" s="4" t="n">
        <v>-87.49151</v>
      </c>
      <c r="J1194" s="4" t="s">
        <v>4980</v>
      </c>
      <c r="K1194" s="6" t="str">
        <f aca="false">HYPERLINK("https://www.google.com/search?q=Hopkins+County-Madisonville+Public+Library+Madisonville+KY+library+website","Search")</f>
        <v>Search</v>
      </c>
      <c r="L1194" s="7"/>
      <c r="M1194" s="7"/>
    </row>
    <row r="1195" customFormat="false" ht="15" hidden="false" customHeight="true" outlineLevel="0" collapsed="false">
      <c r="A1195" s="4" t="s">
        <v>4805</v>
      </c>
      <c r="B1195" s="4" t="s">
        <v>4981</v>
      </c>
      <c r="C1195" s="4" t="s">
        <v>4982</v>
      </c>
      <c r="D1195" s="4" t="s">
        <v>4112</v>
      </c>
      <c r="E1195" s="5" t="n">
        <v>70461</v>
      </c>
      <c r="F1195" s="4" t="n">
        <v>1</v>
      </c>
      <c r="G1195" s="4" t="s">
        <v>4983</v>
      </c>
      <c r="H1195" s="4" t="n">
        <v>36.86493</v>
      </c>
      <c r="I1195" s="4" t="n">
        <v>-87.49055</v>
      </c>
      <c r="J1195" s="4" t="s">
        <v>4984</v>
      </c>
      <c r="K1195" s="6" t="str">
        <f aca="false">HYPERLINK("https://www.google.com/search?q=Hopkinsville-Christian+County+Public+Library+Hopkinsville+KY+library+website","Search")</f>
        <v>Search</v>
      </c>
      <c r="L1195" s="7"/>
      <c r="M1195" s="7"/>
    </row>
    <row r="1196" customFormat="false" ht="15" hidden="false" customHeight="true" outlineLevel="0" collapsed="false">
      <c r="A1196" s="4" t="s">
        <v>4805</v>
      </c>
      <c r="B1196" s="4" t="s">
        <v>4399</v>
      </c>
      <c r="C1196" s="4" t="s">
        <v>4985</v>
      </c>
      <c r="D1196" s="4" t="s">
        <v>389</v>
      </c>
      <c r="E1196" s="5" t="n">
        <v>13329</v>
      </c>
      <c r="F1196" s="4" t="n">
        <v>1</v>
      </c>
      <c r="G1196" s="4" t="s">
        <v>4986</v>
      </c>
      <c r="H1196" s="4" t="n">
        <v>37.43022</v>
      </c>
      <c r="I1196" s="4" t="n">
        <v>-83.99597</v>
      </c>
      <c r="J1196" s="4" t="s">
        <v>4987</v>
      </c>
      <c r="K1196" s="6" t="str">
        <f aca="false">HYPERLINK("https://www.google.com/search?q=Jackson+County+Public+Library+Mckee+KY+library+website","Search")</f>
        <v>Search</v>
      </c>
      <c r="L1196" s="7"/>
      <c r="M1196" s="7"/>
    </row>
    <row r="1197" customFormat="false" ht="15" hidden="false" customHeight="true" outlineLevel="0" collapsed="false">
      <c r="A1197" s="4" t="s">
        <v>4805</v>
      </c>
      <c r="B1197" s="4" t="s">
        <v>4988</v>
      </c>
      <c r="C1197" s="4" t="s">
        <v>4989</v>
      </c>
      <c r="D1197" s="4" t="s">
        <v>4990</v>
      </c>
      <c r="E1197" s="5" t="n">
        <v>54115</v>
      </c>
      <c r="F1197" s="4" t="n">
        <v>2</v>
      </c>
      <c r="G1197" s="4" t="s">
        <v>4991</v>
      </c>
      <c r="H1197" s="4" t="n">
        <v>37.87356</v>
      </c>
      <c r="I1197" s="4" t="n">
        <v>-84.57557</v>
      </c>
      <c r="J1197" s="4" t="s">
        <v>4992</v>
      </c>
      <c r="K1197" s="6" t="str">
        <f aca="false">HYPERLINK("https://www.google.com/search?q=Jessamine+County+Public+Library+Nicholasville+KY+library+website","Search")</f>
        <v>Search</v>
      </c>
      <c r="L1197" s="7"/>
      <c r="M1197" s="7"/>
    </row>
    <row r="1198" customFormat="false" ht="15" hidden="false" customHeight="true" outlineLevel="0" collapsed="false">
      <c r="A1198" s="4" t="s">
        <v>4805</v>
      </c>
      <c r="B1198" s="4" t="s">
        <v>4993</v>
      </c>
      <c r="C1198" s="4" t="s">
        <v>4994</v>
      </c>
      <c r="D1198" s="4" t="s">
        <v>4995</v>
      </c>
      <c r="E1198" s="5" t="n">
        <v>14651</v>
      </c>
      <c r="F1198" s="4" t="n">
        <v>1</v>
      </c>
      <c r="G1198" s="4" t="s">
        <v>4996</v>
      </c>
      <c r="H1198" s="4" t="n">
        <v>36.86685</v>
      </c>
      <c r="I1198" s="4" t="n">
        <v>-87.82357</v>
      </c>
      <c r="J1198" s="4" t="s">
        <v>4997</v>
      </c>
      <c r="K1198" s="6" t="str">
        <f aca="false">HYPERLINK("https://www.google.com/search?q=John+L.+Street+Public+Library+Cadiz+KY+library+website","Search")</f>
        <v>Search</v>
      </c>
      <c r="L1198" s="7"/>
      <c r="M1198" s="7"/>
    </row>
    <row r="1199" customFormat="false" ht="15" hidden="false" customHeight="true" outlineLevel="0" collapsed="false">
      <c r="A1199" s="4" t="s">
        <v>4805</v>
      </c>
      <c r="B1199" s="4" t="s">
        <v>4426</v>
      </c>
      <c r="C1199" s="4" t="s">
        <v>4998</v>
      </c>
      <c r="D1199" s="4" t="s">
        <v>2942</v>
      </c>
      <c r="E1199" s="5" t="n">
        <v>22188</v>
      </c>
      <c r="F1199" s="4" t="n">
        <v>1</v>
      </c>
      <c r="G1199" s="4" t="s">
        <v>4999</v>
      </c>
      <c r="H1199" s="4" t="n">
        <v>37.81362</v>
      </c>
      <c r="I1199" s="4" t="n">
        <v>-82.80823</v>
      </c>
      <c r="J1199" s="4" t="s">
        <v>5000</v>
      </c>
      <c r="K1199" s="6" t="str">
        <f aca="false">HYPERLINK("https://www.google.com/search?q=Johnson+County+Public+Library+Paintsville+KY+library+website","Search")</f>
        <v>Search</v>
      </c>
      <c r="L1199" s="7"/>
      <c r="M1199" s="7"/>
    </row>
    <row r="1200" customFormat="false" ht="15" hidden="false" customHeight="true" outlineLevel="0" collapsed="false">
      <c r="A1200" s="4" t="s">
        <v>4805</v>
      </c>
      <c r="B1200" s="4" t="s">
        <v>5001</v>
      </c>
      <c r="C1200" s="4" t="s">
        <v>5002</v>
      </c>
      <c r="D1200" s="4" t="s">
        <v>5003</v>
      </c>
      <c r="E1200" s="5" t="n">
        <v>166998</v>
      </c>
      <c r="F1200" s="4" t="n">
        <v>3</v>
      </c>
      <c r="G1200" s="4" t="s">
        <v>5004</v>
      </c>
      <c r="H1200" s="4" t="n">
        <v>39.03029</v>
      </c>
      <c r="I1200" s="4" t="n">
        <v>-84.59434</v>
      </c>
      <c r="J1200" s="4" t="s">
        <v>5005</v>
      </c>
      <c r="K1200" s="6" t="str">
        <f aca="false">HYPERLINK("https://www.google.com/search?q=Kenton+County+Public+Library+Erlanger+KY+library+website","Search")</f>
        <v>Search</v>
      </c>
      <c r="L1200" s="7"/>
      <c r="M1200" s="8" t="str">
        <f aca="false">HYPERLINK("https://kenton.overdrive.com","https://kenton.overdrive.com")</f>
        <v>https://kenton.overdrive.com</v>
      </c>
    </row>
    <row r="1201" customFormat="false" ht="15" hidden="false" customHeight="true" outlineLevel="0" collapsed="false">
      <c r="A1201" s="4" t="s">
        <v>4805</v>
      </c>
      <c r="B1201" s="4" t="s">
        <v>5006</v>
      </c>
      <c r="C1201" s="4" t="s">
        <v>5007</v>
      </c>
      <c r="D1201" s="4" t="s">
        <v>5008</v>
      </c>
      <c r="E1201" s="5" t="n">
        <v>14806</v>
      </c>
      <c r="F1201" s="4" t="n">
        <v>1</v>
      </c>
      <c r="G1201" s="4" t="s">
        <v>5009</v>
      </c>
      <c r="H1201" s="4" t="n">
        <v>37.33553</v>
      </c>
      <c r="I1201" s="4" t="n">
        <v>-82.97875</v>
      </c>
      <c r="J1201" s="4" t="s">
        <v>5010</v>
      </c>
      <c r="K1201" s="6" t="str">
        <f aca="false">HYPERLINK("https://www.google.com/search?q=Knott+County+Public+Library+Hindman+KY+library+website","Search")</f>
        <v>Search</v>
      </c>
      <c r="L1201" s="7"/>
      <c r="M1201" s="7"/>
    </row>
    <row r="1202" customFormat="false" ht="15" hidden="false" customHeight="true" outlineLevel="0" collapsed="false">
      <c r="A1202" s="4" t="s">
        <v>4805</v>
      </c>
      <c r="B1202" s="4" t="s">
        <v>4434</v>
      </c>
      <c r="C1202" s="4" t="s">
        <v>5011</v>
      </c>
      <c r="D1202" s="4" t="s">
        <v>3618</v>
      </c>
      <c r="E1202" s="5" t="n">
        <v>31145</v>
      </c>
      <c r="F1202" s="4" t="n">
        <v>1</v>
      </c>
      <c r="G1202" s="4" t="s">
        <v>5012</v>
      </c>
      <c r="H1202" s="4" t="n">
        <v>36.86681</v>
      </c>
      <c r="I1202" s="4" t="n">
        <v>-83.8875</v>
      </c>
      <c r="J1202" s="4" t="s">
        <v>5013</v>
      </c>
      <c r="K1202" s="6" t="str">
        <f aca="false">HYPERLINK("https://www.google.com/search?q=Knox+County+Public+Library+Barbourville+KY+library+website","Search")</f>
        <v>Search</v>
      </c>
      <c r="L1202" s="7"/>
      <c r="M1202" s="7"/>
    </row>
    <row r="1203" customFormat="false" ht="15" hidden="false" customHeight="true" outlineLevel="0" collapsed="false">
      <c r="A1203" s="4" t="s">
        <v>4805</v>
      </c>
      <c r="B1203" s="4" t="s">
        <v>5014</v>
      </c>
      <c r="C1203" s="4" t="s">
        <v>5015</v>
      </c>
      <c r="D1203" s="4" t="s">
        <v>5016</v>
      </c>
      <c r="E1203" s="5" t="n">
        <v>14398</v>
      </c>
      <c r="F1203" s="4" t="n">
        <v>1</v>
      </c>
      <c r="G1203" s="4" t="s">
        <v>5017</v>
      </c>
      <c r="H1203" s="4" t="n">
        <v>37.5502</v>
      </c>
      <c r="I1203" s="4" t="n">
        <v>-85.73196</v>
      </c>
      <c r="J1203" s="4" t="s">
        <v>5018</v>
      </c>
      <c r="K1203" s="6" t="str">
        <f aca="false">HYPERLINK("https://www.google.com/search?q=Larue+County+Public+Library+Hodgenville+KY+library+website","Search")</f>
        <v>Search</v>
      </c>
      <c r="L1203" s="7"/>
      <c r="M1203" s="7"/>
    </row>
    <row r="1204" customFormat="false" ht="15" hidden="false" customHeight="true" outlineLevel="0" collapsed="false">
      <c r="A1204" s="4" t="s">
        <v>4805</v>
      </c>
      <c r="B1204" s="4" t="s">
        <v>5019</v>
      </c>
      <c r="C1204" s="4" t="s">
        <v>5020</v>
      </c>
      <c r="D1204" s="4" t="s">
        <v>2246</v>
      </c>
      <c r="E1204" s="5" t="n">
        <v>60813</v>
      </c>
      <c r="F1204" s="4" t="n">
        <v>1</v>
      </c>
      <c r="G1204" s="4" t="s">
        <v>5021</v>
      </c>
      <c r="H1204" s="4" t="n">
        <v>37.11567</v>
      </c>
      <c r="I1204" s="4" t="n">
        <v>-84.06152</v>
      </c>
      <c r="J1204" s="4" t="s">
        <v>5022</v>
      </c>
      <c r="K1204" s="6" t="str">
        <f aca="false">HYPERLINK("https://www.google.com/search?q=Laurel+County+Public+Library+London+KY+library+website","Search")</f>
        <v>Search</v>
      </c>
      <c r="L1204" s="7"/>
      <c r="M1204" s="7"/>
    </row>
    <row r="1205" customFormat="false" ht="15" hidden="false" customHeight="true" outlineLevel="0" collapsed="false">
      <c r="A1205" s="4" t="s">
        <v>4805</v>
      </c>
      <c r="B1205" s="4" t="s">
        <v>277</v>
      </c>
      <c r="C1205" s="4" t="s">
        <v>5023</v>
      </c>
      <c r="D1205" s="4" t="s">
        <v>279</v>
      </c>
      <c r="E1205" s="5" t="n">
        <v>15317</v>
      </c>
      <c r="F1205" s="4" t="n">
        <v>1</v>
      </c>
      <c r="G1205" s="4" t="s">
        <v>5024</v>
      </c>
      <c r="H1205" s="4" t="n">
        <v>38.11501</v>
      </c>
      <c r="I1205" s="4" t="n">
        <v>-82.6048</v>
      </c>
      <c r="J1205" s="4" t="s">
        <v>5025</v>
      </c>
      <c r="K1205" s="6" t="str">
        <f aca="false">HYPERLINK("https://www.google.com/search?q=Lawrence+County+Public+Library+Louisa+KY+library+website","Search")</f>
        <v>Search</v>
      </c>
      <c r="L1205" s="7"/>
      <c r="M1205" s="7"/>
    </row>
    <row r="1206" customFormat="false" ht="15" hidden="false" customHeight="true" outlineLevel="0" collapsed="false">
      <c r="A1206" s="4" t="s">
        <v>4805</v>
      </c>
      <c r="B1206" s="4" t="s">
        <v>5026</v>
      </c>
      <c r="C1206" s="4" t="s">
        <v>5027</v>
      </c>
      <c r="D1206" s="4" t="s">
        <v>5028</v>
      </c>
      <c r="E1206" s="5" t="n">
        <v>21553</v>
      </c>
      <c r="F1206" s="4" t="n">
        <v>4</v>
      </c>
      <c r="G1206" s="4" t="s">
        <v>5029</v>
      </c>
      <c r="H1206" s="4" t="n">
        <v>37.11881</v>
      </c>
      <c r="I1206" s="4" t="n">
        <v>-82.82799</v>
      </c>
      <c r="J1206" s="4" t="s">
        <v>5030</v>
      </c>
      <c r="K1206" s="6" t="str">
        <f aca="false">HYPERLINK("https://www.google.com/search?q=Letcher+County+Public+Library+District+Whitesburg+KY+library+website","Search")</f>
        <v>Search</v>
      </c>
      <c r="L1206" s="7"/>
      <c r="M1206" s="7"/>
    </row>
    <row r="1207" customFormat="false" ht="15" hidden="false" customHeight="true" outlineLevel="0" collapsed="false">
      <c r="A1207" s="4" t="s">
        <v>4805</v>
      </c>
      <c r="B1207" s="4" t="s">
        <v>5031</v>
      </c>
      <c r="C1207" s="4" t="s">
        <v>5032</v>
      </c>
      <c r="D1207" s="4" t="s">
        <v>5033</v>
      </c>
      <c r="E1207" s="5" t="n">
        <v>13275</v>
      </c>
      <c r="F1207" s="4" t="n">
        <v>1</v>
      </c>
      <c r="G1207" s="4" t="s">
        <v>5034</v>
      </c>
      <c r="H1207" s="4" t="n">
        <v>38.60038</v>
      </c>
      <c r="I1207" s="4" t="n">
        <v>-83.31725</v>
      </c>
      <c r="J1207" s="4" t="s">
        <v>5035</v>
      </c>
      <c r="K1207" s="6" t="str">
        <f aca="false">HYPERLINK("https://www.google.com/search?q=Lewis+County+Public+Library+Vanceburg+KY+library+website","Search")</f>
        <v>Search</v>
      </c>
      <c r="L1207" s="7"/>
      <c r="M1207" s="7"/>
    </row>
    <row r="1208" customFormat="false" ht="15" hidden="false" customHeight="true" outlineLevel="0" collapsed="false">
      <c r="A1208" s="4" t="s">
        <v>4805</v>
      </c>
      <c r="B1208" s="4" t="s">
        <v>5036</v>
      </c>
      <c r="C1208" s="4" t="s">
        <v>5037</v>
      </c>
      <c r="D1208" s="4" t="s">
        <v>197</v>
      </c>
      <c r="E1208" s="5" t="n">
        <v>323152</v>
      </c>
      <c r="F1208" s="4" t="n">
        <v>6</v>
      </c>
      <c r="G1208" s="4" t="s">
        <v>5038</v>
      </c>
      <c r="H1208" s="4" t="n">
        <v>38.04575</v>
      </c>
      <c r="I1208" s="4" t="n">
        <v>-84.4964</v>
      </c>
      <c r="J1208" s="4" t="s">
        <v>5039</v>
      </c>
      <c r="K1208" s="6" t="str">
        <f aca="false">HYPERLINK("https://www.google.com/search?q=Lexington+Public+Library+Lexington+KY+library+website","Search")</f>
        <v>Search</v>
      </c>
      <c r="L1208" s="7"/>
      <c r="M1208" s="7"/>
    </row>
    <row r="1209" customFormat="false" ht="15" hidden="false" customHeight="true" outlineLevel="0" collapsed="false">
      <c r="A1209" s="4" t="s">
        <v>4805</v>
      </c>
      <c r="B1209" s="4" t="s">
        <v>5040</v>
      </c>
      <c r="C1209" s="4" t="s">
        <v>5041</v>
      </c>
      <c r="D1209" s="4" t="s">
        <v>1131</v>
      </c>
      <c r="E1209" s="5" t="n">
        <v>24549</v>
      </c>
      <c r="F1209" s="4" t="n">
        <v>1</v>
      </c>
      <c r="G1209" s="4" t="s">
        <v>5042</v>
      </c>
      <c r="H1209" s="4" t="n">
        <v>37.53011</v>
      </c>
      <c r="I1209" s="4" t="n">
        <v>-84.66195</v>
      </c>
      <c r="J1209" s="4" t="s">
        <v>5043</v>
      </c>
      <c r="K1209" s="6" t="str">
        <f aca="false">HYPERLINK("https://www.google.com/search?q=Lincoln+County+Public+Library+Stanford+KY+library+website","Search")</f>
        <v>Search</v>
      </c>
      <c r="L1209" s="7"/>
      <c r="M1209" s="7"/>
    </row>
    <row r="1210" customFormat="false" ht="15" hidden="false" customHeight="true" outlineLevel="0" collapsed="false">
      <c r="A1210" s="4" t="s">
        <v>4805</v>
      </c>
      <c r="B1210" s="4" t="s">
        <v>5044</v>
      </c>
      <c r="C1210" s="4" t="s">
        <v>383</v>
      </c>
      <c r="D1210" s="4" t="s">
        <v>1763</v>
      </c>
      <c r="E1210" s="5" t="n">
        <v>27102</v>
      </c>
      <c r="F1210" s="4" t="n">
        <v>3</v>
      </c>
      <c r="G1210" s="4" t="s">
        <v>5045</v>
      </c>
      <c r="H1210" s="4" t="n">
        <v>36.8529</v>
      </c>
      <c r="I1210" s="4" t="n">
        <v>-86.89084</v>
      </c>
      <c r="J1210" s="4" t="s">
        <v>5046</v>
      </c>
      <c r="K1210" s="6" t="str">
        <f aca="false">HYPERLINK("https://www.google.com/search?q=Logan+County+Public+Library+Russellville+KY+library+website","Search")</f>
        <v>Search</v>
      </c>
      <c r="L1210" s="7"/>
      <c r="M1210" s="7"/>
    </row>
    <row r="1211" customFormat="false" ht="15" hidden="false" customHeight="true" outlineLevel="0" collapsed="false">
      <c r="A1211" s="4" t="s">
        <v>4805</v>
      </c>
      <c r="B1211" s="4" t="s">
        <v>5047</v>
      </c>
      <c r="C1211" s="4" t="s">
        <v>1699</v>
      </c>
      <c r="D1211" s="4" t="s">
        <v>98</v>
      </c>
      <c r="E1211" s="5" t="n">
        <v>766757</v>
      </c>
      <c r="F1211" s="4" t="n">
        <v>17</v>
      </c>
      <c r="G1211" s="4" t="s">
        <v>5048</v>
      </c>
      <c r="H1211" s="4" t="n">
        <v>38.24417</v>
      </c>
      <c r="I1211" s="4" t="n">
        <v>-85.75787</v>
      </c>
      <c r="J1211" s="4" t="s">
        <v>5049</v>
      </c>
      <c r="K1211" s="6" t="str">
        <f aca="false">HYPERLINK("https://www.google.com/search?q=Louisville+Free+Public+Library+Louisville+KY+library+website","Search")</f>
        <v>Search</v>
      </c>
      <c r="L1211" s="7"/>
      <c r="M1211" s="7"/>
    </row>
    <row r="1212" customFormat="false" ht="15" hidden="false" customHeight="true" outlineLevel="0" collapsed="false">
      <c r="A1212" s="4" t="s">
        <v>4805</v>
      </c>
      <c r="B1212" s="4" t="s">
        <v>5050</v>
      </c>
      <c r="C1212" s="4" t="s">
        <v>1348</v>
      </c>
      <c r="D1212" s="4" t="s">
        <v>261</v>
      </c>
      <c r="E1212" s="5" t="n">
        <v>92987</v>
      </c>
      <c r="F1212" s="4" t="n">
        <v>2</v>
      </c>
      <c r="G1212" s="4" t="s">
        <v>5051</v>
      </c>
      <c r="H1212" s="4" t="n">
        <v>37.74951</v>
      </c>
      <c r="I1212" s="4" t="n">
        <v>-84.2992</v>
      </c>
      <c r="J1212" s="4" t="s">
        <v>5052</v>
      </c>
      <c r="K1212" s="6" t="str">
        <f aca="false">HYPERLINK("https://www.google.com/search?q=Madison+County+Public+Library+Richmond+KY+library+website","Search")</f>
        <v>Search</v>
      </c>
      <c r="L1212" s="7"/>
      <c r="M1212" s="7"/>
    </row>
    <row r="1213" customFormat="false" ht="15" hidden="false" customHeight="true" outlineLevel="0" collapsed="false">
      <c r="A1213" s="4" t="s">
        <v>4805</v>
      </c>
      <c r="B1213" s="4" t="s">
        <v>5053</v>
      </c>
      <c r="C1213" s="4" t="s">
        <v>5054</v>
      </c>
      <c r="D1213" s="4" t="s">
        <v>5055</v>
      </c>
      <c r="E1213" s="5" t="n">
        <v>12161</v>
      </c>
      <c r="F1213" s="4" t="n">
        <v>1</v>
      </c>
      <c r="G1213" s="4" t="s">
        <v>5056</v>
      </c>
      <c r="H1213" s="4" t="n">
        <v>37.74994</v>
      </c>
      <c r="I1213" s="4" t="n">
        <v>-83.06826</v>
      </c>
      <c r="J1213" s="4" t="s">
        <v>5057</v>
      </c>
      <c r="K1213" s="6" t="str">
        <f aca="false">HYPERLINK("https://www.google.com/search?q=Magoffin+County+Public+Library+Salyersville+KY+library+website","Search")</f>
        <v>Search</v>
      </c>
      <c r="L1213" s="7"/>
      <c r="M1213" s="7"/>
    </row>
    <row r="1214" customFormat="false" ht="15" hidden="false" customHeight="true" outlineLevel="0" collapsed="false">
      <c r="A1214" s="4" t="s">
        <v>4805</v>
      </c>
      <c r="B1214" s="4" t="s">
        <v>5058</v>
      </c>
      <c r="C1214" s="4" t="s">
        <v>4459</v>
      </c>
      <c r="D1214" s="4" t="s">
        <v>572</v>
      </c>
      <c r="E1214" s="5" t="n">
        <v>19273</v>
      </c>
      <c r="F1214" s="4" t="n">
        <v>1</v>
      </c>
      <c r="G1214" s="4" t="s">
        <v>5059</v>
      </c>
      <c r="H1214" s="4" t="n">
        <v>37.57075</v>
      </c>
      <c r="I1214" s="4" t="n">
        <v>-85.25014</v>
      </c>
      <c r="J1214" s="4" t="s">
        <v>5060</v>
      </c>
      <c r="K1214" s="6" t="str">
        <f aca="false">HYPERLINK("https://www.google.com/search?q=Marion+County+Public+Library+Lebanon+KY+library+website","Search")</f>
        <v>Search</v>
      </c>
      <c r="L1214" s="7"/>
      <c r="M1214" s="7"/>
    </row>
    <row r="1215" customFormat="false" ht="15" hidden="false" customHeight="true" outlineLevel="0" collapsed="false">
      <c r="A1215" s="4" t="s">
        <v>4805</v>
      </c>
      <c r="B1215" s="4" t="s">
        <v>5061</v>
      </c>
      <c r="C1215" s="4" t="s">
        <v>477</v>
      </c>
      <c r="D1215" s="4" t="s">
        <v>58</v>
      </c>
      <c r="E1215" s="5" t="n">
        <v>31100</v>
      </c>
      <c r="F1215" s="4" t="n">
        <v>3</v>
      </c>
      <c r="G1215" s="4" t="s">
        <v>5062</v>
      </c>
      <c r="H1215" s="4" t="n">
        <v>36.85753</v>
      </c>
      <c r="I1215" s="4" t="n">
        <v>-88.34738</v>
      </c>
      <c r="J1215" s="4" t="s">
        <v>5063</v>
      </c>
      <c r="K1215" s="6" t="str">
        <f aca="false">HYPERLINK("https://www.google.com/search?q=Marshall+County+Public+Library+Benton+KY+library+website","Search")</f>
        <v>Search</v>
      </c>
      <c r="L1215" s="7"/>
      <c r="M1215" s="7"/>
    </row>
    <row r="1216" customFormat="false" ht="15" hidden="false" customHeight="true" outlineLevel="0" collapsed="false">
      <c r="A1216" s="4" t="s">
        <v>4805</v>
      </c>
      <c r="B1216" s="4" t="s">
        <v>5064</v>
      </c>
      <c r="C1216" s="4" t="s">
        <v>5065</v>
      </c>
      <c r="D1216" s="4" t="s">
        <v>2438</v>
      </c>
      <c r="E1216" s="5" t="n">
        <v>11195</v>
      </c>
      <c r="F1216" s="4" t="n">
        <v>2</v>
      </c>
      <c r="G1216" s="4" t="s">
        <v>5066</v>
      </c>
      <c r="H1216" s="4" t="n">
        <v>37.86685</v>
      </c>
      <c r="I1216" s="4" t="n">
        <v>-82.53583</v>
      </c>
      <c r="J1216" s="4" t="s">
        <v>5067</v>
      </c>
      <c r="K1216" s="6" t="str">
        <f aca="false">HYPERLINK("https://www.google.com/search?q=Martin+County+Public+Library+System+Inez+KY+library+website","Search")</f>
        <v>Search</v>
      </c>
      <c r="L1216" s="7"/>
      <c r="M1216" s="7"/>
    </row>
    <row r="1217" customFormat="false" ht="15" hidden="false" customHeight="true" outlineLevel="0" collapsed="false">
      <c r="A1217" s="4" t="s">
        <v>4805</v>
      </c>
      <c r="B1217" s="4" t="s">
        <v>5068</v>
      </c>
      <c r="C1217" s="4" t="s">
        <v>5069</v>
      </c>
      <c r="D1217" s="4" t="s">
        <v>5070</v>
      </c>
      <c r="E1217" s="5" t="n">
        <v>44249</v>
      </c>
      <c r="F1217" s="4" t="n">
        <v>1</v>
      </c>
      <c r="G1217" s="4" t="s">
        <v>5071</v>
      </c>
      <c r="H1217" s="4" t="n">
        <v>36.98337</v>
      </c>
      <c r="I1217" s="4" t="n">
        <v>-85.92892</v>
      </c>
      <c r="J1217" s="4" t="s">
        <v>5072</v>
      </c>
      <c r="K1217" s="6" t="str">
        <f aca="false">HYPERLINK("https://www.google.com/search?q=Mary+Wood+Weldon+Memorial+Public+Library+Glasgow+KY+library+website","Search")</f>
        <v>Search</v>
      </c>
      <c r="L1217" s="7"/>
      <c r="M1217" s="7"/>
    </row>
    <row r="1218" customFormat="false" ht="15" hidden="false" customHeight="true" outlineLevel="0" collapsed="false">
      <c r="A1218" s="4" t="s">
        <v>4805</v>
      </c>
      <c r="B1218" s="4" t="s">
        <v>5073</v>
      </c>
      <c r="C1218" s="4" t="s">
        <v>5074</v>
      </c>
      <c r="D1218" s="4" t="s">
        <v>5075</v>
      </c>
      <c r="E1218" s="5" t="n">
        <v>17070</v>
      </c>
      <c r="F1218" s="4" t="n">
        <v>1</v>
      </c>
      <c r="G1218" s="4" t="s">
        <v>5076</v>
      </c>
      <c r="H1218" s="4" t="n">
        <v>38.64438</v>
      </c>
      <c r="I1218" s="4" t="n">
        <v>-83.76015</v>
      </c>
      <c r="J1218" s="4" t="s">
        <v>5077</v>
      </c>
      <c r="K1218" s="6" t="str">
        <f aca="false">HYPERLINK("https://www.google.com/search?q=Mason+County+Public+Library+Maysville+KY+library+website","Search")</f>
        <v>Search</v>
      </c>
      <c r="L1218" s="7"/>
      <c r="M1218" s="7"/>
    </row>
    <row r="1219" customFormat="false" ht="15" hidden="false" customHeight="true" outlineLevel="0" collapsed="false">
      <c r="A1219" s="4" t="s">
        <v>4805</v>
      </c>
      <c r="B1219" s="4" t="s">
        <v>5078</v>
      </c>
      <c r="C1219" s="4" t="s">
        <v>5079</v>
      </c>
      <c r="D1219" s="4" t="s">
        <v>5080</v>
      </c>
      <c r="E1219" s="5" t="n">
        <v>65418</v>
      </c>
      <c r="F1219" s="4" t="n">
        <v>1</v>
      </c>
      <c r="G1219" s="4" t="s">
        <v>5081</v>
      </c>
      <c r="H1219" s="4" t="n">
        <v>37.08388</v>
      </c>
      <c r="I1219" s="4" t="n">
        <v>-88.59881</v>
      </c>
      <c r="J1219" s="4" t="s">
        <v>5082</v>
      </c>
      <c r="K1219" s="6" t="str">
        <f aca="false">HYPERLINK("https://www.google.com/search?q=Mccracken+County+Public+Library+Paducah+KY+library+website","Search")</f>
        <v>Search</v>
      </c>
      <c r="L1219" s="7"/>
      <c r="M1219" s="7"/>
    </row>
    <row r="1220" customFormat="false" ht="15" hidden="false" customHeight="true" outlineLevel="0" collapsed="false">
      <c r="A1220" s="4" t="s">
        <v>4805</v>
      </c>
      <c r="B1220" s="4" t="s">
        <v>5083</v>
      </c>
      <c r="C1220" s="4" t="s">
        <v>5084</v>
      </c>
      <c r="D1220" s="4" t="s">
        <v>5085</v>
      </c>
      <c r="E1220" s="5" t="n">
        <v>17231</v>
      </c>
      <c r="F1220" s="4" t="n">
        <v>1</v>
      </c>
      <c r="G1220" s="4" t="s">
        <v>5086</v>
      </c>
      <c r="H1220" s="4" t="n">
        <v>36.72275</v>
      </c>
      <c r="I1220" s="4" t="n">
        <v>-84.47054</v>
      </c>
      <c r="J1220" s="4" t="s">
        <v>5087</v>
      </c>
      <c r="K1220" s="6" t="str">
        <f aca="false">HYPERLINK("https://www.google.com/search?q=Mccreary+County+Public+Library+Whitley+City+KY+library+website","Search")</f>
        <v>Search</v>
      </c>
      <c r="L1220" s="7"/>
      <c r="M1220" s="7"/>
    </row>
    <row r="1221" customFormat="false" ht="15" hidden="false" customHeight="true" outlineLevel="0" collapsed="false">
      <c r="A1221" s="4" t="s">
        <v>4805</v>
      </c>
      <c r="B1221" s="4" t="s">
        <v>5088</v>
      </c>
      <c r="C1221" s="4" t="s">
        <v>5089</v>
      </c>
      <c r="D1221" s="4" t="s">
        <v>5090</v>
      </c>
      <c r="E1221" s="5" t="n">
        <v>28572</v>
      </c>
      <c r="F1221" s="4" t="n">
        <v>1</v>
      </c>
      <c r="G1221" s="4" t="s">
        <v>5091</v>
      </c>
      <c r="H1221" s="4" t="n">
        <v>37.98956</v>
      </c>
      <c r="I1221" s="4" t="n">
        <v>-86.16661</v>
      </c>
      <c r="J1221" s="4" t="s">
        <v>5092</v>
      </c>
      <c r="K1221" s="6" t="str">
        <f aca="false">HYPERLINK("https://www.google.com/search?q=Meade+County+Public+Library+Brandenburg+KY+library+website","Search")</f>
        <v>Search</v>
      </c>
      <c r="L1221" s="7"/>
      <c r="M1221" s="7"/>
    </row>
    <row r="1222" customFormat="false" ht="15" hidden="false" customHeight="true" outlineLevel="0" collapsed="false">
      <c r="A1222" s="4" t="s">
        <v>4805</v>
      </c>
      <c r="B1222" s="4" t="s">
        <v>5093</v>
      </c>
      <c r="C1222" s="4" t="s">
        <v>5094</v>
      </c>
      <c r="D1222" s="4" t="s">
        <v>5095</v>
      </c>
      <c r="E1222" s="5" t="n">
        <v>21933</v>
      </c>
      <c r="F1222" s="4" t="n">
        <v>1</v>
      </c>
      <c r="G1222" s="4" t="s">
        <v>5096</v>
      </c>
      <c r="H1222" s="4" t="n">
        <v>37.76239</v>
      </c>
      <c r="I1222" s="4" t="n">
        <v>-84.84378</v>
      </c>
      <c r="J1222" s="4" t="s">
        <v>5097</v>
      </c>
      <c r="K1222" s="6" t="str">
        <f aca="false">HYPERLINK("https://www.google.com/search?q=Mercer+County+Public+Library+Harrodsburg+KY+library+website","Search")</f>
        <v>Search</v>
      </c>
      <c r="L1222" s="7"/>
      <c r="M1222" s="7"/>
    </row>
    <row r="1223" customFormat="false" ht="15" hidden="false" customHeight="true" outlineLevel="0" collapsed="false">
      <c r="A1223" s="4" t="s">
        <v>4805</v>
      </c>
      <c r="B1223" s="4" t="s">
        <v>5098</v>
      </c>
      <c r="C1223" s="4" t="s">
        <v>5099</v>
      </c>
      <c r="D1223" s="4" t="s">
        <v>5100</v>
      </c>
      <c r="E1223" s="5" t="n">
        <v>10071</v>
      </c>
      <c r="F1223" s="4" t="n">
        <v>1</v>
      </c>
      <c r="G1223" s="4" t="s">
        <v>5101</v>
      </c>
      <c r="H1223" s="4" t="n">
        <v>36.97779</v>
      </c>
      <c r="I1223" s="4" t="n">
        <v>-85.61183</v>
      </c>
      <c r="J1223" s="4" t="s">
        <v>5102</v>
      </c>
      <c r="K1223" s="6" t="str">
        <f aca="false">HYPERLINK("https://www.google.com/search?q=Metcalfe+County+Public+Library+Edmonton+KY+library+website","Search")</f>
        <v>Search</v>
      </c>
      <c r="L1223" s="7"/>
      <c r="M1223" s="7"/>
    </row>
    <row r="1224" customFormat="false" ht="15" hidden="false" customHeight="true" outlineLevel="0" collapsed="false">
      <c r="A1224" s="4" t="s">
        <v>4805</v>
      </c>
      <c r="B1224" s="4" t="s">
        <v>4503</v>
      </c>
      <c r="C1224" s="4" t="s">
        <v>5103</v>
      </c>
      <c r="D1224" s="4" t="s">
        <v>156</v>
      </c>
      <c r="E1224" s="5" t="n">
        <v>13309</v>
      </c>
      <c r="F1224" s="4" t="n">
        <v>1</v>
      </c>
      <c r="G1224" s="4" t="s">
        <v>5104</v>
      </c>
      <c r="H1224" s="4" t="n">
        <v>37.89901</v>
      </c>
      <c r="I1224" s="4" t="n">
        <v>-83.28879</v>
      </c>
      <c r="J1224" s="4" t="s">
        <v>5105</v>
      </c>
      <c r="K1224" s="6" t="str">
        <f aca="false">HYPERLINK("https://www.google.com/search?q=Morgan+County+Public+Library+West+Liberty+KY+library+website","Search")</f>
        <v>Search</v>
      </c>
      <c r="L1224" s="7"/>
      <c r="M1224" s="7"/>
    </row>
    <row r="1225" customFormat="false" ht="15" hidden="false" customHeight="true" outlineLevel="0" collapsed="false">
      <c r="A1225" s="4" t="s">
        <v>4805</v>
      </c>
      <c r="B1225" s="4" t="s">
        <v>5106</v>
      </c>
      <c r="C1225" s="4" t="s">
        <v>5107</v>
      </c>
      <c r="D1225" s="4" t="s">
        <v>315</v>
      </c>
      <c r="E1225" s="5" t="n">
        <v>28157</v>
      </c>
      <c r="F1225" s="4" t="n">
        <v>2</v>
      </c>
      <c r="G1225" s="4" t="s">
        <v>5108</v>
      </c>
      <c r="H1225" s="4" t="n">
        <v>38.06225</v>
      </c>
      <c r="I1225" s="4" t="n">
        <v>-83.94416</v>
      </c>
      <c r="J1225" s="4" t="s">
        <v>5109</v>
      </c>
      <c r="K1225" s="6" t="str">
        <f aca="false">HYPERLINK("https://www.google.com/search?q=Mt.+Sterling-Montgomery+County+Library+Mount+Sterling+KY+library+website","Search")</f>
        <v>Search</v>
      </c>
      <c r="L1225" s="7"/>
      <c r="M1225" s="7"/>
    </row>
    <row r="1226" customFormat="false" ht="15" hidden="false" customHeight="true" outlineLevel="0" collapsed="false">
      <c r="A1226" s="4" t="s">
        <v>4805</v>
      </c>
      <c r="B1226" s="4" t="s">
        <v>5110</v>
      </c>
      <c r="C1226" s="4" t="s">
        <v>224</v>
      </c>
      <c r="D1226" s="4" t="s">
        <v>5111</v>
      </c>
      <c r="E1226" s="5" t="n">
        <v>30622</v>
      </c>
      <c r="F1226" s="4" t="n">
        <v>2</v>
      </c>
      <c r="G1226" s="4" t="s">
        <v>5112</v>
      </c>
      <c r="H1226" s="4" t="n">
        <v>37.20069</v>
      </c>
      <c r="I1226" s="4" t="n">
        <v>-87.17849</v>
      </c>
      <c r="J1226" s="4" t="s">
        <v>5113</v>
      </c>
      <c r="K1226" s="6" t="str">
        <f aca="false">HYPERLINK("https://www.google.com/search?q=Muhlenberg+County+Public+Libraries+Greenville+KY+library+website","Search")</f>
        <v>Search</v>
      </c>
      <c r="L1226" s="7"/>
      <c r="M1226" s="7"/>
    </row>
    <row r="1227" customFormat="false" ht="15" hidden="false" customHeight="true" outlineLevel="0" collapsed="false">
      <c r="A1227" s="4" t="s">
        <v>4805</v>
      </c>
      <c r="B1227" s="4" t="s">
        <v>5114</v>
      </c>
      <c r="C1227" s="4" t="s">
        <v>5115</v>
      </c>
      <c r="D1227" s="4" t="s">
        <v>5116</v>
      </c>
      <c r="E1227" s="5" t="n">
        <v>46233</v>
      </c>
      <c r="F1227" s="4" t="n">
        <v>3</v>
      </c>
      <c r="G1227" s="4" t="s">
        <v>5117</v>
      </c>
      <c r="H1227" s="4" t="n">
        <v>37.80841</v>
      </c>
      <c r="I1227" s="4" t="n">
        <v>-85.47299</v>
      </c>
      <c r="J1227" s="4" t="s">
        <v>5118</v>
      </c>
      <c r="K1227" s="6" t="str">
        <f aca="false">HYPERLINK("https://www.google.com/search?q=Nelson+County+Public+Library+Bardstown+KY+library+website","Search")</f>
        <v>Search</v>
      </c>
      <c r="L1227" s="7"/>
      <c r="M1227" s="7"/>
    </row>
    <row r="1228" customFormat="false" ht="15" hidden="false" customHeight="true" outlineLevel="0" collapsed="false">
      <c r="A1228" s="4" t="s">
        <v>4805</v>
      </c>
      <c r="B1228" s="4" t="s">
        <v>5119</v>
      </c>
      <c r="C1228" s="4" t="s">
        <v>1807</v>
      </c>
      <c r="D1228" s="4" t="s">
        <v>5120</v>
      </c>
      <c r="E1228" s="5" t="n">
        <v>23994</v>
      </c>
      <c r="F1228" s="4" t="n">
        <v>2</v>
      </c>
      <c r="G1228" s="4" t="s">
        <v>5121</v>
      </c>
      <c r="H1228" s="4" t="n">
        <v>37.44969</v>
      </c>
      <c r="I1228" s="4" t="n">
        <v>-86.90756</v>
      </c>
      <c r="J1228" s="4" t="s">
        <v>5122</v>
      </c>
      <c r="K1228" s="6" t="str">
        <f aca="false">HYPERLINK("https://www.google.com/search?q=Ohio+County+Public+Library+Hartford+KY+library+website","Search")</f>
        <v>Search</v>
      </c>
      <c r="L1228" s="7"/>
      <c r="M1228" s="7"/>
    </row>
    <row r="1229" customFormat="false" ht="15" hidden="false" customHeight="true" outlineLevel="0" collapsed="false">
      <c r="A1229" s="4" t="s">
        <v>4805</v>
      </c>
      <c r="B1229" s="4" t="s">
        <v>5123</v>
      </c>
      <c r="C1229" s="4" t="s">
        <v>2853</v>
      </c>
      <c r="D1229" s="4" t="s">
        <v>5124</v>
      </c>
      <c r="E1229" s="5" t="n">
        <v>66799</v>
      </c>
      <c r="F1229" s="4" t="n">
        <v>3</v>
      </c>
      <c r="G1229" s="4" t="s">
        <v>5125</v>
      </c>
      <c r="H1229" s="4" t="n">
        <v>38.4034</v>
      </c>
      <c r="I1229" s="4" t="n">
        <v>-85.38083</v>
      </c>
      <c r="J1229" s="4" t="s">
        <v>5126</v>
      </c>
      <c r="K1229" s="6" t="str">
        <f aca="false">HYPERLINK("https://www.google.com/search?q=Oldham+County+Public+Library+Lagrange+KY+library+website","Search")</f>
        <v>Search</v>
      </c>
      <c r="L1229" s="7"/>
      <c r="M1229" s="7"/>
    </row>
    <row r="1230" customFormat="false" ht="15" hidden="false" customHeight="true" outlineLevel="0" collapsed="false">
      <c r="A1230" s="4" t="s">
        <v>4805</v>
      </c>
      <c r="B1230" s="4" t="s">
        <v>4541</v>
      </c>
      <c r="C1230" s="4" t="s">
        <v>5127</v>
      </c>
      <c r="D1230" s="4" t="s">
        <v>4542</v>
      </c>
      <c r="E1230" s="5" t="n">
        <v>10901</v>
      </c>
      <c r="F1230" s="4" t="n">
        <v>1</v>
      </c>
      <c r="G1230" s="4" t="s">
        <v>5128</v>
      </c>
      <c r="H1230" s="4" t="n">
        <v>38.52529</v>
      </c>
      <c r="I1230" s="4" t="n">
        <v>-84.81971</v>
      </c>
      <c r="J1230" s="4" t="s">
        <v>5129</v>
      </c>
      <c r="K1230" s="6" t="str">
        <f aca="false">HYPERLINK("https://www.google.com/search?q=Owen+County+Public+Library+Owenton+KY+library+website","Search")</f>
        <v>Search</v>
      </c>
      <c r="L1230" s="7"/>
      <c r="M1230" s="7"/>
    </row>
    <row r="1231" customFormat="false" ht="15" hidden="false" customHeight="true" outlineLevel="0" collapsed="false">
      <c r="A1231" s="4" t="s">
        <v>4805</v>
      </c>
      <c r="B1231" s="4" t="s">
        <v>5130</v>
      </c>
      <c r="C1231" s="4" t="s">
        <v>5131</v>
      </c>
      <c r="D1231" s="4" t="s">
        <v>5132</v>
      </c>
      <c r="E1231" s="5" t="n">
        <v>19788</v>
      </c>
      <c r="F1231" s="4" t="n">
        <v>2</v>
      </c>
      <c r="G1231" s="4" t="s">
        <v>5133</v>
      </c>
      <c r="H1231" s="4" t="n">
        <v>38.21049</v>
      </c>
      <c r="I1231" s="4" t="n">
        <v>-84.25263</v>
      </c>
      <c r="J1231" s="4" t="s">
        <v>5134</v>
      </c>
      <c r="K1231" s="6" t="str">
        <f aca="false">HYPERLINK("https://www.google.com/search?q=Paris-Bourbon+County+Library+Paris+KY+library+website","Search")</f>
        <v>Search</v>
      </c>
      <c r="L1231" s="7"/>
      <c r="M1231" s="7"/>
    </row>
    <row r="1232" customFormat="false" ht="15" hidden="false" customHeight="true" outlineLevel="0" collapsed="false">
      <c r="A1232" s="4" t="s">
        <v>4805</v>
      </c>
      <c r="B1232" s="4" t="s">
        <v>5135</v>
      </c>
      <c r="C1232" s="4" t="s">
        <v>5136</v>
      </c>
      <c r="D1232" s="4" t="s">
        <v>4556</v>
      </c>
      <c r="E1232" s="5" t="n">
        <v>14590</v>
      </c>
      <c r="F1232" s="4" t="n">
        <v>1</v>
      </c>
      <c r="G1232" s="4" t="s">
        <v>5137</v>
      </c>
      <c r="H1232" s="4" t="n">
        <v>38.66852</v>
      </c>
      <c r="I1232" s="4" t="n">
        <v>-84.33527</v>
      </c>
      <c r="J1232" s="4" t="s">
        <v>5138</v>
      </c>
      <c r="K1232" s="6" t="str">
        <f aca="false">HYPERLINK("https://www.google.com/search?q=Pendleton+County+Public+Library+Falmouth+KY+library+website","Search")</f>
        <v>Search</v>
      </c>
      <c r="L1232" s="7"/>
      <c r="M1232" s="7"/>
    </row>
    <row r="1233" customFormat="false" ht="15" hidden="false" customHeight="true" outlineLevel="0" collapsed="false">
      <c r="A1233" s="4" t="s">
        <v>4805</v>
      </c>
      <c r="B1233" s="4" t="s">
        <v>4559</v>
      </c>
      <c r="C1233" s="4" t="s">
        <v>5139</v>
      </c>
      <c r="D1233" s="4" t="s">
        <v>2719</v>
      </c>
      <c r="E1233" s="5" t="n">
        <v>25758</v>
      </c>
      <c r="F1233" s="4" t="n">
        <v>1</v>
      </c>
      <c r="G1233" s="4" t="s">
        <v>5140</v>
      </c>
      <c r="H1233" s="4" t="n">
        <v>37.25429</v>
      </c>
      <c r="I1233" s="4" t="n">
        <v>-83.20064</v>
      </c>
      <c r="J1233" s="4" t="s">
        <v>5141</v>
      </c>
      <c r="K1233" s="6" t="str">
        <f aca="false">HYPERLINK("https://www.google.com/search?q=Perry+County+Public+Library+Hazard+KY+library+website","Search")</f>
        <v>Search</v>
      </c>
      <c r="L1233" s="7"/>
      <c r="M1233" s="7"/>
    </row>
    <row r="1234" customFormat="false" ht="15" hidden="false" customHeight="true" outlineLevel="0" collapsed="false">
      <c r="A1234" s="4" t="s">
        <v>4805</v>
      </c>
      <c r="B1234" s="4" t="s">
        <v>5142</v>
      </c>
      <c r="C1234" s="4" t="s">
        <v>5143</v>
      </c>
      <c r="D1234" s="4" t="s">
        <v>415</v>
      </c>
      <c r="E1234" s="5" t="n">
        <v>57876</v>
      </c>
      <c r="F1234" s="4" t="n">
        <v>6</v>
      </c>
      <c r="G1234" s="4" t="s">
        <v>5144</v>
      </c>
      <c r="H1234" s="4" t="n">
        <v>37.47631</v>
      </c>
      <c r="I1234" s="4" t="n">
        <v>-82.52182</v>
      </c>
      <c r="J1234" s="4" t="s">
        <v>5145</v>
      </c>
      <c r="K1234" s="6" t="str">
        <f aca="false">HYPERLINK("https://www.google.com/search?q=Pike+County+Public+Library+District+Pikeville+KY+library+website","Search")</f>
        <v>Search</v>
      </c>
      <c r="L1234" s="7"/>
      <c r="M1234" s="7"/>
    </row>
    <row r="1235" customFormat="false" ht="15" hidden="false" customHeight="true" outlineLevel="0" collapsed="false">
      <c r="A1235" s="4" t="s">
        <v>4805</v>
      </c>
      <c r="B1235" s="4" t="s">
        <v>5146</v>
      </c>
      <c r="C1235" s="4" t="s">
        <v>5147</v>
      </c>
      <c r="D1235" s="4" t="s">
        <v>5148</v>
      </c>
      <c r="E1235" s="5" t="n">
        <v>12359</v>
      </c>
      <c r="F1235" s="4" t="n">
        <v>1</v>
      </c>
      <c r="G1235" s="4" t="s">
        <v>5149</v>
      </c>
      <c r="H1235" s="4" t="n">
        <v>37.85495</v>
      </c>
      <c r="I1235" s="4" t="n">
        <v>-83.85986</v>
      </c>
      <c r="J1235" s="4" t="s">
        <v>5150</v>
      </c>
      <c r="K1235" s="6" t="str">
        <f aca="false">HYPERLINK("https://www.google.com/search?q=Powell+County+Public+Library+Stanton+KY+library+website","Search")</f>
        <v>Search</v>
      </c>
      <c r="L1235" s="7"/>
      <c r="M1235" s="7"/>
    </row>
    <row r="1236" customFormat="false" ht="15" hidden="false" customHeight="true" outlineLevel="0" collapsed="false">
      <c r="A1236" s="4" t="s">
        <v>4805</v>
      </c>
      <c r="B1236" s="4" t="s">
        <v>5151</v>
      </c>
      <c r="C1236" s="4" t="s">
        <v>5152</v>
      </c>
      <c r="D1236" s="4" t="s">
        <v>496</v>
      </c>
      <c r="E1236" s="5" t="n">
        <v>64979</v>
      </c>
      <c r="F1236" s="4" t="n">
        <v>5</v>
      </c>
      <c r="G1236" s="4" t="s">
        <v>5153</v>
      </c>
      <c r="H1236" s="4" t="n">
        <v>37.08996</v>
      </c>
      <c r="I1236" s="4" t="n">
        <v>-84.60385</v>
      </c>
      <c r="J1236" s="4" t="s">
        <v>5154</v>
      </c>
      <c r="K1236" s="6" t="str">
        <f aca="false">HYPERLINK("https://www.google.com/search?q=Pulaski+County+Public+Library+Somerset+KY+library+website","Search")</f>
        <v>Search</v>
      </c>
      <c r="L1236" s="7"/>
      <c r="M1236" s="7"/>
    </row>
    <row r="1237" customFormat="false" ht="15" hidden="false" customHeight="true" outlineLevel="0" collapsed="false">
      <c r="A1237" s="4" t="s">
        <v>4805</v>
      </c>
      <c r="B1237" s="4" t="s">
        <v>5155</v>
      </c>
      <c r="C1237" s="4" t="s">
        <v>3392</v>
      </c>
      <c r="D1237" s="4" t="s">
        <v>5156</v>
      </c>
      <c r="E1237" s="5" t="n">
        <v>16695</v>
      </c>
      <c r="F1237" s="4" t="n">
        <v>1</v>
      </c>
      <c r="G1237" s="4" t="s">
        <v>5157</v>
      </c>
      <c r="H1237" s="4" t="n">
        <v>37.35034</v>
      </c>
      <c r="I1237" s="4" t="n">
        <v>-84.33653</v>
      </c>
      <c r="J1237" s="4" t="s">
        <v>5158</v>
      </c>
      <c r="K1237" s="6" t="str">
        <f aca="false">HYPERLINK("https://www.google.com/search?q=Rockcastle+County+Public+Library+Mount+Vernon+KY+library+website","Search")</f>
        <v>Search</v>
      </c>
      <c r="L1237" s="7"/>
      <c r="M1237" s="7"/>
    </row>
    <row r="1238" customFormat="false" ht="15" hidden="false" customHeight="true" outlineLevel="0" collapsed="false">
      <c r="A1238" s="4" t="s">
        <v>4805</v>
      </c>
      <c r="B1238" s="4" t="s">
        <v>5159</v>
      </c>
      <c r="C1238" s="4" t="s">
        <v>5160</v>
      </c>
      <c r="D1238" s="4" t="s">
        <v>5161</v>
      </c>
      <c r="E1238" s="5" t="n">
        <v>24460</v>
      </c>
      <c r="F1238" s="4" t="n">
        <v>1</v>
      </c>
      <c r="G1238" s="4" t="s">
        <v>5162</v>
      </c>
      <c r="H1238" s="4" t="n">
        <v>38.18706</v>
      </c>
      <c r="I1238" s="4" t="n">
        <v>-83.47927</v>
      </c>
      <c r="J1238" s="4" t="s">
        <v>5163</v>
      </c>
      <c r="K1238" s="6" t="str">
        <f aca="false">HYPERLINK("https://www.google.com/search?q=Rowan+County+Public+Library+Morehead+KY+library+website","Search")</f>
        <v>Search</v>
      </c>
      <c r="L1238" s="7"/>
      <c r="M1238" s="7"/>
    </row>
    <row r="1239" customFormat="false" ht="15" hidden="false" customHeight="true" outlineLevel="0" collapsed="false">
      <c r="A1239" s="4" t="s">
        <v>4805</v>
      </c>
      <c r="B1239" s="4" t="s">
        <v>5164</v>
      </c>
      <c r="C1239" s="4" t="s">
        <v>5165</v>
      </c>
      <c r="D1239" s="4" t="s">
        <v>370</v>
      </c>
      <c r="E1239" s="5" t="n">
        <v>17923</v>
      </c>
      <c r="F1239" s="4" t="n">
        <v>1</v>
      </c>
      <c r="G1239" s="4" t="s">
        <v>5166</v>
      </c>
      <c r="H1239" s="4" t="n">
        <v>36.99103</v>
      </c>
      <c r="I1239" s="4" t="n">
        <v>-85.0684</v>
      </c>
      <c r="J1239" s="4" t="s">
        <v>5167</v>
      </c>
      <c r="K1239" s="6" t="str">
        <f aca="false">HYPERLINK("https://www.google.com/search?q=Russell+County+Public+Library+Jamestown+KY+library+website","Search")</f>
        <v>Search</v>
      </c>
      <c r="L1239" s="7"/>
      <c r="M1239" s="7"/>
    </row>
    <row r="1240" customFormat="false" ht="15" hidden="false" customHeight="true" outlineLevel="0" collapsed="false">
      <c r="A1240" s="4" t="s">
        <v>4805</v>
      </c>
      <c r="B1240" s="4" t="s">
        <v>4601</v>
      </c>
      <c r="C1240" s="4" t="s">
        <v>2234</v>
      </c>
      <c r="D1240" s="4" t="s">
        <v>2895</v>
      </c>
      <c r="E1240" s="5" t="n">
        <v>57004</v>
      </c>
      <c r="F1240" s="4" t="n">
        <v>1</v>
      </c>
      <c r="G1240" s="4" t="s">
        <v>5168</v>
      </c>
      <c r="H1240" s="4" t="n">
        <v>38.1916</v>
      </c>
      <c r="I1240" s="4" t="n">
        <v>-84.56337</v>
      </c>
      <c r="J1240" s="4" t="s">
        <v>5169</v>
      </c>
      <c r="K1240" s="6" t="str">
        <f aca="false">HYPERLINK("https://www.google.com/search?q=Scott+County+Public+Library+Georgetown+KY+library+website","Search")</f>
        <v>Search</v>
      </c>
      <c r="L1240" s="7"/>
      <c r="M1240" s="7"/>
    </row>
    <row r="1241" customFormat="false" ht="15" hidden="false" customHeight="true" outlineLevel="0" collapsed="false">
      <c r="A1241" s="4" t="s">
        <v>4805</v>
      </c>
      <c r="B1241" s="4" t="s">
        <v>5170</v>
      </c>
      <c r="C1241" s="4" t="s">
        <v>4606</v>
      </c>
      <c r="D1241" s="4" t="s">
        <v>53</v>
      </c>
      <c r="E1241" s="5" t="n">
        <v>49024</v>
      </c>
      <c r="F1241" s="4" t="n">
        <v>1</v>
      </c>
      <c r="G1241" s="4" t="s">
        <v>5171</v>
      </c>
      <c r="H1241" s="4" t="n">
        <v>38.21237</v>
      </c>
      <c r="I1241" s="4" t="n">
        <v>-85.2203</v>
      </c>
      <c r="J1241" s="4" t="s">
        <v>5172</v>
      </c>
      <c r="K1241" s="6" t="str">
        <f aca="false">HYPERLINK("https://www.google.com/search?q=Shelby+County+Library+District+Shelbyville+KY+library+website","Search")</f>
        <v>Search</v>
      </c>
      <c r="L1241" s="7"/>
      <c r="M1241" s="7"/>
    </row>
    <row r="1242" customFormat="false" ht="15" hidden="false" customHeight="true" outlineLevel="0" collapsed="false">
      <c r="A1242" s="4" t="s">
        <v>4805</v>
      </c>
      <c r="B1242" s="4" t="s">
        <v>5173</v>
      </c>
      <c r="C1242" s="4" t="s">
        <v>5174</v>
      </c>
      <c r="D1242" s="4" t="s">
        <v>3118</v>
      </c>
      <c r="E1242" s="5" t="n">
        <v>19351</v>
      </c>
      <c r="F1242" s="4" t="n">
        <v>1</v>
      </c>
      <c r="G1242" s="4" t="s">
        <v>5175</v>
      </c>
      <c r="H1242" s="4" t="n">
        <v>38.03376</v>
      </c>
      <c r="I1242" s="4" t="n">
        <v>-85.34109</v>
      </c>
      <c r="J1242" s="4" t="s">
        <v>5176</v>
      </c>
      <c r="K1242" s="6" t="str">
        <f aca="false">HYPERLINK("https://www.google.com/search?q=Spencer+County+Public+Library+Taylorsville+KY+library+website","Search")</f>
        <v>Search</v>
      </c>
      <c r="L1242" s="7"/>
      <c r="M1242" s="7"/>
    </row>
    <row r="1243" customFormat="false" ht="15" hidden="false" customHeight="true" outlineLevel="0" collapsed="false">
      <c r="A1243" s="4" t="s">
        <v>4805</v>
      </c>
      <c r="B1243" s="4" t="s">
        <v>5177</v>
      </c>
      <c r="C1243" s="4" t="s">
        <v>5178</v>
      </c>
      <c r="D1243" s="4" t="s">
        <v>5179</v>
      </c>
      <c r="E1243" s="5" t="n">
        <v>25769</v>
      </c>
      <c r="F1243" s="4" t="n">
        <v>1</v>
      </c>
      <c r="G1243" s="4" t="s">
        <v>5180</v>
      </c>
      <c r="H1243" s="4" t="n">
        <v>37.35231</v>
      </c>
      <c r="I1243" s="4" t="n">
        <v>-85.33073</v>
      </c>
      <c r="J1243" s="4" t="s">
        <v>5181</v>
      </c>
      <c r="K1243" s="6" t="str">
        <f aca="false">HYPERLINK("https://www.google.com/search?q=Taylor+County+Public+Library+Campbellsville+KY+library+website","Search")</f>
        <v>Search</v>
      </c>
      <c r="L1243" s="7"/>
      <c r="M1243" s="7"/>
    </row>
    <row r="1244" customFormat="false" ht="15" hidden="false" customHeight="true" outlineLevel="0" collapsed="false">
      <c r="A1244" s="4" t="s">
        <v>4805</v>
      </c>
      <c r="B1244" s="4" t="s">
        <v>5182</v>
      </c>
      <c r="C1244" s="4" t="s">
        <v>5183</v>
      </c>
      <c r="D1244" s="4" t="s">
        <v>5184</v>
      </c>
      <c r="E1244" s="5" t="n">
        <v>12294</v>
      </c>
      <c r="F1244" s="4" t="n">
        <v>1</v>
      </c>
      <c r="G1244" s="4" t="s">
        <v>5185</v>
      </c>
      <c r="H1244" s="4" t="n">
        <v>36.80912</v>
      </c>
      <c r="I1244" s="4" t="n">
        <v>-87.15183</v>
      </c>
      <c r="J1244" s="4" t="s">
        <v>5186</v>
      </c>
      <c r="K1244" s="6" t="str">
        <f aca="false">HYPERLINK("https://www.google.com/search?q=Todd+County+Public+Library+Elkton+KY+library+website","Search")</f>
        <v>Search</v>
      </c>
      <c r="L1244" s="7"/>
      <c r="M1244" s="7"/>
    </row>
    <row r="1245" customFormat="false" ht="15" hidden="false" customHeight="true" outlineLevel="0" collapsed="false">
      <c r="A1245" s="4" t="s">
        <v>4805</v>
      </c>
      <c r="B1245" s="4" t="s">
        <v>5187</v>
      </c>
      <c r="C1245" s="4" t="s">
        <v>5188</v>
      </c>
      <c r="D1245" s="4" t="s">
        <v>467</v>
      </c>
      <c r="E1245" s="5" t="n">
        <v>14381</v>
      </c>
      <c r="F1245" s="4" t="n">
        <v>3</v>
      </c>
      <c r="G1245" s="4" t="s">
        <v>5189</v>
      </c>
      <c r="H1245" s="4" t="n">
        <v>37.68334</v>
      </c>
      <c r="I1245" s="4" t="n">
        <v>-87.91738</v>
      </c>
      <c r="J1245" s="4" t="s">
        <v>5190</v>
      </c>
      <c r="K1245" s="6" t="str">
        <f aca="false">HYPERLINK("https://www.google.com/search?q=Union+County+Public+Library+District+Morganfield+KY+library+website","Search")</f>
        <v>Search</v>
      </c>
      <c r="L1245" s="7"/>
      <c r="M1245" s="7"/>
    </row>
    <row r="1246" customFormat="false" ht="15" hidden="false" customHeight="true" outlineLevel="0" collapsed="false">
      <c r="A1246" s="4" t="s">
        <v>4805</v>
      </c>
      <c r="B1246" s="4" t="s">
        <v>5191</v>
      </c>
      <c r="C1246" s="4" t="s">
        <v>5192</v>
      </c>
      <c r="D1246" s="4" t="s">
        <v>3012</v>
      </c>
      <c r="E1246" s="5" t="n">
        <v>132896</v>
      </c>
      <c r="F1246" s="4" t="n">
        <v>3</v>
      </c>
      <c r="G1246" s="4" t="s">
        <v>5193</v>
      </c>
      <c r="H1246" s="4" t="n">
        <v>36.98952</v>
      </c>
      <c r="I1246" s="4" t="n">
        <v>-86.44565</v>
      </c>
      <c r="J1246" s="4" t="s">
        <v>5194</v>
      </c>
      <c r="K1246" s="6" t="str">
        <f aca="false">HYPERLINK("https://www.google.com/search?q=Warren+County+Public+Library+Bowling+Green+KY+library+website","Search")</f>
        <v>Search</v>
      </c>
      <c r="L1246" s="7"/>
      <c r="M1246" s="7"/>
    </row>
    <row r="1247" customFormat="false" ht="15" hidden="false" customHeight="true" outlineLevel="0" collapsed="false">
      <c r="A1247" s="4" t="s">
        <v>4805</v>
      </c>
      <c r="B1247" s="4" t="s">
        <v>439</v>
      </c>
      <c r="C1247" s="4" t="s">
        <v>3770</v>
      </c>
      <c r="D1247" s="4" t="s">
        <v>441</v>
      </c>
      <c r="E1247" s="5" t="n">
        <v>12095</v>
      </c>
      <c r="F1247" s="4" t="n">
        <v>1</v>
      </c>
      <c r="G1247" s="4" t="s">
        <v>5195</v>
      </c>
      <c r="H1247" s="4" t="n">
        <v>37.6876</v>
      </c>
      <c r="I1247" s="4" t="n">
        <v>-85.22735</v>
      </c>
      <c r="J1247" s="4" t="s">
        <v>5196</v>
      </c>
      <c r="K1247" s="6" t="str">
        <f aca="false">HYPERLINK("https://www.google.com/search?q=Washington+County+Public+Library+Springfield+KY+library+website","Search")</f>
        <v>Search</v>
      </c>
      <c r="L1247" s="7"/>
      <c r="M1247" s="7"/>
    </row>
    <row r="1248" customFormat="false" ht="15" hidden="false" customHeight="true" outlineLevel="0" collapsed="false">
      <c r="A1248" s="4" t="s">
        <v>4805</v>
      </c>
      <c r="B1248" s="4" t="s">
        <v>5197</v>
      </c>
      <c r="C1248" s="4" t="s">
        <v>627</v>
      </c>
      <c r="D1248" s="4" t="s">
        <v>2849</v>
      </c>
      <c r="E1248" s="5" t="n">
        <v>20333</v>
      </c>
      <c r="F1248" s="4" t="n">
        <v>1</v>
      </c>
      <c r="G1248" s="4" t="s">
        <v>5198</v>
      </c>
      <c r="H1248" s="4" t="n">
        <v>36.85527</v>
      </c>
      <c r="I1248" s="4" t="n">
        <v>-84.84419</v>
      </c>
      <c r="J1248" s="4" t="s">
        <v>5199</v>
      </c>
      <c r="K1248" s="6" t="str">
        <f aca="false">HYPERLINK("https://www.google.com/search?q=Wayne+County+Public+Library+Monticello+KY+library+website","Search")</f>
        <v>Search</v>
      </c>
      <c r="L1248" s="7"/>
      <c r="M1248" s="7"/>
    </row>
    <row r="1249" customFormat="false" ht="15" hidden="false" customHeight="true" outlineLevel="0" collapsed="false">
      <c r="A1249" s="4" t="s">
        <v>4805</v>
      </c>
      <c r="B1249" s="4" t="s">
        <v>5200</v>
      </c>
      <c r="C1249" s="4" t="s">
        <v>3497</v>
      </c>
      <c r="D1249" s="4" t="s">
        <v>2982</v>
      </c>
      <c r="E1249" s="5" t="n">
        <v>12942</v>
      </c>
      <c r="F1249" s="4" t="n">
        <v>2</v>
      </c>
      <c r="G1249" s="4" t="s">
        <v>5201</v>
      </c>
      <c r="H1249" s="4" t="n">
        <v>37.51721</v>
      </c>
      <c r="I1249" s="4" t="n">
        <v>-87.68909</v>
      </c>
      <c r="J1249" s="4" t="s">
        <v>5202</v>
      </c>
      <c r="K1249" s="6" t="str">
        <f aca="false">HYPERLINK("https://www.google.com/search?q=Webster+County+Public+Library+Dixon+KY+library+website","Search")</f>
        <v>Search</v>
      </c>
      <c r="L1249" s="7"/>
      <c r="M1249" s="7"/>
    </row>
    <row r="1250" customFormat="false" ht="15" hidden="false" customHeight="true" outlineLevel="0" collapsed="false">
      <c r="A1250" s="4" t="s">
        <v>4805</v>
      </c>
      <c r="B1250" s="4" t="s">
        <v>5203</v>
      </c>
      <c r="C1250" s="4" t="s">
        <v>5204</v>
      </c>
      <c r="D1250" s="4" t="s">
        <v>4552</v>
      </c>
      <c r="E1250" s="5" t="n">
        <v>36264</v>
      </c>
      <c r="F1250" s="4" t="n">
        <v>1</v>
      </c>
      <c r="G1250" s="4" t="s">
        <v>5205</v>
      </c>
      <c r="H1250" s="4" t="n">
        <v>36.74101</v>
      </c>
      <c r="I1250" s="4" t="n">
        <v>-84.15801</v>
      </c>
      <c r="J1250" s="4" t="s">
        <v>5206</v>
      </c>
      <c r="K1250" s="6" t="str">
        <f aca="false">HYPERLINK("https://www.google.com/search?q=Whitley+County+Public+Library+Williamsburg+KY+library+website","Search")</f>
        <v>Search</v>
      </c>
      <c r="L1250" s="7"/>
      <c r="M1250" s="7"/>
    </row>
    <row r="1251" customFormat="false" ht="15" hidden="false" customHeight="true" outlineLevel="0" collapsed="false">
      <c r="A1251" s="4" t="s">
        <v>4805</v>
      </c>
      <c r="B1251" s="4" t="s">
        <v>5207</v>
      </c>
      <c r="C1251" s="4" t="s">
        <v>5208</v>
      </c>
      <c r="D1251" s="4" t="s">
        <v>311</v>
      </c>
      <c r="E1251" s="5" t="n">
        <v>10650</v>
      </c>
      <c r="F1251" s="4" t="n">
        <v>1</v>
      </c>
      <c r="G1251" s="4" t="s">
        <v>5209</v>
      </c>
      <c r="H1251" s="4" t="n">
        <v>36.70497</v>
      </c>
      <c r="I1251" s="4" t="n">
        <v>-85.69708</v>
      </c>
      <c r="J1251" s="4" t="s">
        <v>5210</v>
      </c>
      <c r="K1251" s="6" t="str">
        <f aca="false">HYPERLINK("https://www.google.com/search?q=William+B.+Harlan+Memorial+Library+Tompkinsville+KY+library+website","Search")</f>
        <v>Search</v>
      </c>
      <c r="L1251" s="7"/>
      <c r="M1251" s="7"/>
    </row>
    <row r="1252" customFormat="false" ht="15" hidden="false" customHeight="true" outlineLevel="0" collapsed="false">
      <c r="A1252" s="4" t="s">
        <v>4805</v>
      </c>
      <c r="B1252" s="4" t="s">
        <v>5211</v>
      </c>
      <c r="C1252" s="4" t="s">
        <v>5212</v>
      </c>
      <c r="D1252" s="4" t="s">
        <v>3711</v>
      </c>
      <c r="E1252" s="5" t="n">
        <v>26734</v>
      </c>
      <c r="F1252" s="4" t="n">
        <v>2</v>
      </c>
      <c r="G1252" s="4" t="s">
        <v>5213</v>
      </c>
      <c r="H1252" s="4" t="n">
        <v>38.0534</v>
      </c>
      <c r="I1252" s="4" t="n">
        <v>-84.7303</v>
      </c>
      <c r="J1252" s="4" t="s">
        <v>5214</v>
      </c>
      <c r="K1252" s="6" t="str">
        <f aca="false">HYPERLINK("https://www.google.com/search?q=Woodford+County+Library+District+Versailles+KY+library+website","Search")</f>
        <v>Search</v>
      </c>
      <c r="L1252" s="7"/>
      <c r="M1252" s="7"/>
    </row>
    <row r="1253" customFormat="false" ht="15" hidden="false" customHeight="true" outlineLevel="0" collapsed="false">
      <c r="A1253" s="4" t="s">
        <v>5215</v>
      </c>
      <c r="B1253" s="4" t="s">
        <v>5216</v>
      </c>
      <c r="C1253" s="4" t="s">
        <v>5217</v>
      </c>
      <c r="D1253" s="4" t="s">
        <v>5218</v>
      </c>
      <c r="E1253" s="5" t="n">
        <v>56744</v>
      </c>
      <c r="F1253" s="4" t="n">
        <v>7</v>
      </c>
      <c r="G1253" s="4" t="s">
        <v>5219</v>
      </c>
      <c r="H1253" s="4" t="n">
        <v>30.22017</v>
      </c>
      <c r="I1253" s="4" t="n">
        <v>-92.37689</v>
      </c>
      <c r="J1253" s="4" t="s">
        <v>5220</v>
      </c>
      <c r="K1253" s="6" t="str">
        <f aca="false">HYPERLINK("https://www.google.com/search?q=Acadia+Parish+Library+Crowley+LA+library+website","Search")</f>
        <v>Search</v>
      </c>
      <c r="L1253" s="7"/>
      <c r="M1253" s="7"/>
    </row>
    <row r="1254" customFormat="false" ht="15" hidden="false" customHeight="true" outlineLevel="0" collapsed="false">
      <c r="A1254" s="4" t="s">
        <v>5215</v>
      </c>
      <c r="B1254" s="4" t="s">
        <v>5221</v>
      </c>
      <c r="C1254" s="4" t="s">
        <v>5222</v>
      </c>
      <c r="D1254" s="4" t="s">
        <v>4246</v>
      </c>
      <c r="E1254" s="5" t="n">
        <v>22320</v>
      </c>
      <c r="F1254" s="4" t="n">
        <v>3</v>
      </c>
      <c r="G1254" s="4" t="s">
        <v>5223</v>
      </c>
      <c r="H1254" s="4" t="n">
        <v>30.62045</v>
      </c>
      <c r="I1254" s="4" t="n">
        <v>-92.75977</v>
      </c>
      <c r="J1254" s="4" t="s">
        <v>5224</v>
      </c>
      <c r="K1254" s="6" t="str">
        <f aca="false">HYPERLINK("https://www.google.com/search?q=Allen+Parish+Libraries+Oberlin+LA+library+website","Search")</f>
        <v>Search</v>
      </c>
      <c r="L1254" s="7"/>
      <c r="M1254" s="7"/>
    </row>
    <row r="1255" customFormat="false" ht="15" hidden="false" customHeight="true" outlineLevel="0" collapsed="false">
      <c r="A1255" s="4" t="s">
        <v>5215</v>
      </c>
      <c r="B1255" s="4" t="s">
        <v>5225</v>
      </c>
      <c r="C1255" s="4" t="s">
        <v>5226</v>
      </c>
      <c r="D1255" s="4" t="s">
        <v>5227</v>
      </c>
      <c r="E1255" s="5" t="n">
        <v>130458</v>
      </c>
      <c r="F1255" s="4" t="n">
        <v>4</v>
      </c>
      <c r="G1255" s="4" t="s">
        <v>5228</v>
      </c>
      <c r="H1255" s="4" t="n">
        <v>30.10569</v>
      </c>
      <c r="I1255" s="4" t="n">
        <v>-90.98574</v>
      </c>
      <c r="J1255" s="4" t="s">
        <v>5229</v>
      </c>
      <c r="K1255" s="6" t="str">
        <f aca="false">HYPERLINK("https://www.google.com/search?q=Ascension+Parish+Library+Donaldsonville+LA+library+website","Search")</f>
        <v>Search</v>
      </c>
      <c r="L1255" s="7"/>
      <c r="M1255" s="8" t="str">
        <f aca="false">HYPERLINK("https://myapl.overdrive.com","https://myapl.overdrive.com")</f>
        <v>https://myapl.overdrive.com</v>
      </c>
    </row>
    <row r="1256" customFormat="false" ht="15" hidden="false" customHeight="true" outlineLevel="0" collapsed="false">
      <c r="A1256" s="4" t="s">
        <v>5215</v>
      </c>
      <c r="B1256" s="4" t="s">
        <v>5230</v>
      </c>
      <c r="C1256" s="4" t="s">
        <v>5231</v>
      </c>
      <c r="D1256" s="4" t="s">
        <v>5232</v>
      </c>
      <c r="E1256" s="5" t="n">
        <v>20604</v>
      </c>
      <c r="F1256" s="4" t="n">
        <v>5</v>
      </c>
      <c r="G1256" s="4" t="s">
        <v>5233</v>
      </c>
      <c r="H1256" s="4" t="n">
        <v>29.9432</v>
      </c>
      <c r="I1256" s="4" t="n">
        <v>-91.0222</v>
      </c>
      <c r="J1256" s="4" t="s">
        <v>5234</v>
      </c>
      <c r="K1256" s="6" t="str">
        <f aca="false">HYPERLINK("https://www.google.com/search?q=Assumption+Parish+Library+Napoleonville+LA+library+website","Search")</f>
        <v>Search</v>
      </c>
      <c r="L1256" s="7"/>
      <c r="M1256" s="7"/>
    </row>
    <row r="1257" customFormat="false" ht="15" hidden="false" customHeight="true" outlineLevel="0" collapsed="false">
      <c r="A1257" s="4" t="s">
        <v>5215</v>
      </c>
      <c r="B1257" s="4" t="s">
        <v>5235</v>
      </c>
      <c r="C1257" s="4" t="s">
        <v>1964</v>
      </c>
      <c r="D1257" s="4" t="s">
        <v>5236</v>
      </c>
      <c r="E1257" s="5" t="n">
        <v>29957</v>
      </c>
      <c r="F1257" s="4" t="n">
        <v>3</v>
      </c>
      <c r="G1257" s="4" t="s">
        <v>5237</v>
      </c>
      <c r="H1257" s="4" t="n">
        <v>30.8668</v>
      </c>
      <c r="I1257" s="4" t="n">
        <v>-91.01869</v>
      </c>
      <c r="J1257" s="4" t="s">
        <v>5238</v>
      </c>
      <c r="K1257" s="6" t="str">
        <f aca="false">HYPERLINK("https://www.google.com/search?q=Audubon+Regional+Library+Clinton+LA+library+website","Search")</f>
        <v>Search</v>
      </c>
      <c r="L1257" s="7"/>
      <c r="M1257" s="7"/>
    </row>
    <row r="1258" customFormat="false" ht="15" hidden="false" customHeight="true" outlineLevel="0" collapsed="false">
      <c r="A1258" s="4" t="s">
        <v>5215</v>
      </c>
      <c r="B1258" s="4" t="s">
        <v>5239</v>
      </c>
      <c r="C1258" s="4" t="s">
        <v>5240</v>
      </c>
      <c r="D1258" s="4" t="s">
        <v>5241</v>
      </c>
      <c r="E1258" s="5" t="n">
        <v>38751</v>
      </c>
      <c r="F1258" s="4" t="n">
        <v>8</v>
      </c>
      <c r="G1258" s="4" t="s">
        <v>5242</v>
      </c>
      <c r="H1258" s="4" t="n">
        <v>31.13114</v>
      </c>
      <c r="I1258" s="4" t="n">
        <v>-92.06315</v>
      </c>
      <c r="J1258" s="4" t="s">
        <v>5243</v>
      </c>
      <c r="K1258" s="6" t="str">
        <f aca="false">HYPERLINK("https://www.google.com/search?q=Avoyelles+Parish+Library+Marksville+LA+library+website","Search")</f>
        <v>Search</v>
      </c>
      <c r="L1258" s="7"/>
      <c r="M1258" s="7"/>
    </row>
    <row r="1259" customFormat="false" ht="15" hidden="false" customHeight="true" outlineLevel="0" collapsed="false">
      <c r="A1259" s="4" t="s">
        <v>5215</v>
      </c>
      <c r="B1259" s="4" t="s">
        <v>5244</v>
      </c>
      <c r="C1259" s="4" t="s">
        <v>5245</v>
      </c>
      <c r="D1259" s="4" t="s">
        <v>5246</v>
      </c>
      <c r="E1259" s="5" t="n">
        <v>36570</v>
      </c>
      <c r="F1259" s="4" t="n">
        <v>5</v>
      </c>
      <c r="G1259" s="4" t="s">
        <v>5247</v>
      </c>
      <c r="H1259" s="4" t="n">
        <v>30.84557</v>
      </c>
      <c r="I1259" s="4" t="n">
        <v>-93.28639</v>
      </c>
      <c r="J1259" s="4" t="s">
        <v>5248</v>
      </c>
      <c r="K1259" s="6" t="str">
        <f aca="false">HYPERLINK("https://www.google.com/search?q=Beauregard+Parish+Library+Deridder+LA+library+website","Search")</f>
        <v>Search</v>
      </c>
      <c r="L1259" s="7"/>
      <c r="M1259" s="7"/>
    </row>
    <row r="1260" customFormat="false" ht="15" hidden="false" customHeight="true" outlineLevel="0" collapsed="false">
      <c r="A1260" s="4" t="s">
        <v>5215</v>
      </c>
      <c r="B1260" s="4" t="s">
        <v>5249</v>
      </c>
      <c r="C1260" s="4" t="s">
        <v>889</v>
      </c>
      <c r="D1260" s="4" t="s">
        <v>5250</v>
      </c>
      <c r="E1260" s="5" t="n">
        <v>12641</v>
      </c>
      <c r="F1260" s="4" t="n">
        <v>5</v>
      </c>
      <c r="G1260" s="4" t="s">
        <v>5251</v>
      </c>
      <c r="H1260" s="4" t="n">
        <v>32.54679</v>
      </c>
      <c r="I1260" s="4" t="n">
        <v>-92.92454</v>
      </c>
      <c r="J1260" s="4" t="s">
        <v>5252</v>
      </c>
      <c r="K1260" s="6" t="str">
        <f aca="false">HYPERLINK("https://www.google.com/search?q=Bienville+Parish+Library+Arcadia+LA+library+website","Search")</f>
        <v>Search</v>
      </c>
      <c r="L1260" s="7"/>
      <c r="M1260" s="7"/>
    </row>
    <row r="1261" customFormat="false" ht="15" hidden="false" customHeight="true" outlineLevel="0" collapsed="false">
      <c r="A1261" s="4" t="s">
        <v>5215</v>
      </c>
      <c r="B1261" s="4" t="s">
        <v>5253</v>
      </c>
      <c r="C1261" s="4" t="s">
        <v>5254</v>
      </c>
      <c r="D1261" s="4" t="s">
        <v>5255</v>
      </c>
      <c r="E1261" s="5" t="n">
        <v>129276</v>
      </c>
      <c r="F1261" s="4" t="n">
        <v>7</v>
      </c>
      <c r="G1261" s="4" t="s">
        <v>5256</v>
      </c>
      <c r="H1261" s="4" t="n">
        <v>32.52635</v>
      </c>
      <c r="I1261" s="4" t="n">
        <v>-93.71624</v>
      </c>
      <c r="J1261" s="4" t="s">
        <v>5257</v>
      </c>
      <c r="K1261" s="6" t="str">
        <f aca="false">HYPERLINK("https://www.google.com/search?q=Bossier+Parish+Library+Bossier+City+LA+library+website","Search")</f>
        <v>Search</v>
      </c>
      <c r="L1261" s="7"/>
      <c r="M1261" s="7"/>
    </row>
    <row r="1262" customFormat="false" ht="15" hidden="false" customHeight="true" outlineLevel="0" collapsed="false">
      <c r="A1262" s="4" t="s">
        <v>5215</v>
      </c>
      <c r="B1262" s="4" t="s">
        <v>5258</v>
      </c>
      <c r="C1262" s="4" t="s">
        <v>5259</v>
      </c>
      <c r="D1262" s="4" t="s">
        <v>5260</v>
      </c>
      <c r="E1262" s="5" t="n">
        <v>202418</v>
      </c>
      <c r="F1262" s="4" t="n">
        <v>12</v>
      </c>
      <c r="G1262" s="4" t="s">
        <v>5261</v>
      </c>
      <c r="H1262" s="4" t="n">
        <v>30.18718</v>
      </c>
      <c r="I1262" s="4" t="n">
        <v>-93.22369</v>
      </c>
      <c r="J1262" s="4" t="s">
        <v>5262</v>
      </c>
      <c r="K1262" s="6" t="str">
        <f aca="false">HYPERLINK("https://www.google.com/search?q=Calcasieu+Parish+Public+Library+Lake+Charles+LA+library+website","Search")</f>
        <v>Search</v>
      </c>
      <c r="L1262" s="7"/>
      <c r="M1262" s="7"/>
    </row>
    <row r="1263" customFormat="false" ht="15" hidden="false" customHeight="true" outlineLevel="0" collapsed="false">
      <c r="A1263" s="4" t="s">
        <v>5215</v>
      </c>
      <c r="B1263" s="4" t="s">
        <v>5263</v>
      </c>
      <c r="C1263" s="4" t="s">
        <v>5264</v>
      </c>
      <c r="D1263" s="4" t="s">
        <v>5265</v>
      </c>
      <c r="E1263" s="5" t="n">
        <v>13744</v>
      </c>
      <c r="F1263" s="4" t="n">
        <v>2</v>
      </c>
      <c r="G1263" s="4" t="s">
        <v>5266</v>
      </c>
      <c r="H1263" s="4" t="n">
        <v>32.79665</v>
      </c>
      <c r="I1263" s="4" t="n">
        <v>-93.06462</v>
      </c>
      <c r="J1263" s="4" t="s">
        <v>5267</v>
      </c>
      <c r="K1263" s="6" t="str">
        <f aca="false">HYPERLINK("https://www.google.com/search?q=Claiborne+Parish+Library+Homer+LA+library+website","Search")</f>
        <v>Search</v>
      </c>
      <c r="L1263" s="7"/>
      <c r="M1263" s="7"/>
    </row>
    <row r="1264" customFormat="false" ht="15" hidden="false" customHeight="true" outlineLevel="0" collapsed="false">
      <c r="A1264" s="4" t="s">
        <v>5215</v>
      </c>
      <c r="B1264" s="4" t="s">
        <v>5268</v>
      </c>
      <c r="C1264" s="4" t="s">
        <v>5269</v>
      </c>
      <c r="D1264" s="4" t="s">
        <v>5270</v>
      </c>
      <c r="E1264" s="5" t="n">
        <v>18116</v>
      </c>
      <c r="F1264" s="4" t="n">
        <v>3</v>
      </c>
      <c r="G1264" s="4" t="s">
        <v>5271</v>
      </c>
      <c r="H1264" s="4" t="n">
        <v>31.63674</v>
      </c>
      <c r="I1264" s="4" t="n">
        <v>-91.55355</v>
      </c>
      <c r="J1264" s="4" t="s">
        <v>5272</v>
      </c>
      <c r="K1264" s="6" t="str">
        <f aca="false">HYPERLINK("https://www.google.com/search?q=Concordia+Parish+Library+Ferriday+LA+library+website","Search")</f>
        <v>Search</v>
      </c>
      <c r="L1264" s="7"/>
      <c r="M1264" s="7"/>
    </row>
    <row r="1265" customFormat="false" ht="15" hidden="false" customHeight="true" outlineLevel="0" collapsed="false">
      <c r="A1265" s="4" t="s">
        <v>5215</v>
      </c>
      <c r="B1265" s="4" t="s">
        <v>5273</v>
      </c>
      <c r="C1265" s="4" t="s">
        <v>2000</v>
      </c>
      <c r="D1265" s="4" t="s">
        <v>5274</v>
      </c>
      <c r="E1265" s="5" t="n">
        <v>26853</v>
      </c>
      <c r="F1265" s="4" t="n">
        <v>4</v>
      </c>
      <c r="G1265" s="4" t="s">
        <v>5275</v>
      </c>
      <c r="H1265" s="4" t="n">
        <v>32.03667</v>
      </c>
      <c r="I1265" s="4" t="n">
        <v>-93.70455</v>
      </c>
      <c r="J1265" s="4" t="s">
        <v>5276</v>
      </c>
      <c r="K1265" s="6" t="str">
        <f aca="false">HYPERLINK("https://www.google.com/search?q=Desoto+Parish+Library+Mansfield+LA+library+website","Search")</f>
        <v>Search</v>
      </c>
      <c r="L1265" s="7"/>
      <c r="M1265" s="7"/>
    </row>
    <row r="1266" customFormat="false" ht="15" hidden="false" customHeight="true" outlineLevel="0" collapsed="false">
      <c r="A1266" s="4" t="s">
        <v>5215</v>
      </c>
      <c r="B1266" s="4" t="s">
        <v>5277</v>
      </c>
      <c r="C1266" s="4" t="s">
        <v>5278</v>
      </c>
      <c r="D1266" s="4" t="s">
        <v>5279</v>
      </c>
      <c r="E1266" s="5" t="n">
        <v>450544</v>
      </c>
      <c r="F1266" s="4" t="n">
        <v>14</v>
      </c>
      <c r="G1266" s="4" t="s">
        <v>5280</v>
      </c>
      <c r="H1266" s="4" t="n">
        <v>30.44383</v>
      </c>
      <c r="I1266" s="4" t="n">
        <v>-91.10672</v>
      </c>
      <c r="J1266" s="4" t="s">
        <v>5281</v>
      </c>
      <c r="K1266" s="6" t="str">
        <f aca="false">HYPERLINK("https://www.google.com/search?q=East+Baton+Rouge+Parish+Library+Baton+Rouge+LA+library+website","Search")</f>
        <v>Search</v>
      </c>
      <c r="L1266" s="7"/>
      <c r="M1266" s="8" t="str">
        <f aca="false">HYPERLINK("https://ebr.overdrive.com","https://ebr.overdrive.com")</f>
        <v>https://ebr.overdrive.com</v>
      </c>
    </row>
    <row r="1267" customFormat="false" ht="15" hidden="false" customHeight="true" outlineLevel="0" collapsed="false">
      <c r="A1267" s="4" t="s">
        <v>5215</v>
      </c>
      <c r="B1267" s="4" t="s">
        <v>5282</v>
      </c>
      <c r="C1267" s="4" t="s">
        <v>5283</v>
      </c>
      <c r="D1267" s="4" t="s">
        <v>5284</v>
      </c>
      <c r="E1267" s="5" t="n">
        <v>31986</v>
      </c>
      <c r="F1267" s="4" t="n">
        <v>6</v>
      </c>
      <c r="G1267" s="4" t="s">
        <v>5285</v>
      </c>
      <c r="H1267" s="4" t="n">
        <v>30.69213</v>
      </c>
      <c r="I1267" s="4" t="n">
        <v>-92.28374</v>
      </c>
      <c r="J1267" s="4" t="s">
        <v>5286</v>
      </c>
      <c r="K1267" s="6" t="str">
        <f aca="false">HYPERLINK("https://www.google.com/search?q=Evangeline+Parish+Library+Ville+Platte+LA+library+website","Search")</f>
        <v>Search</v>
      </c>
      <c r="L1267" s="7"/>
      <c r="M1267" s="7"/>
    </row>
    <row r="1268" customFormat="false" ht="15" hidden="false" customHeight="true" outlineLevel="0" collapsed="false">
      <c r="A1268" s="4" t="s">
        <v>5215</v>
      </c>
      <c r="B1268" s="4" t="s">
        <v>5287</v>
      </c>
      <c r="C1268" s="4" t="s">
        <v>5288</v>
      </c>
      <c r="D1268" s="4" t="s">
        <v>384</v>
      </c>
      <c r="E1268" s="5" t="n">
        <v>19308</v>
      </c>
      <c r="F1268" s="4" t="n">
        <v>2</v>
      </c>
      <c r="G1268" s="4" t="s">
        <v>5289</v>
      </c>
      <c r="H1268" s="4" t="n">
        <v>32.16432</v>
      </c>
      <c r="I1268" s="4" t="n">
        <v>-91.71891</v>
      </c>
      <c r="J1268" s="4" t="s">
        <v>5290</v>
      </c>
      <c r="K1268" s="6" t="str">
        <f aca="false">HYPERLINK("https://www.google.com/search?q=Franklin+Parish+Library+Winnsboro+LA+library+website","Search")</f>
        <v>Search</v>
      </c>
      <c r="L1268" s="7"/>
      <c r="M1268" s="7"/>
    </row>
    <row r="1269" customFormat="false" ht="15" hidden="false" customHeight="true" outlineLevel="0" collapsed="false">
      <c r="A1269" s="4" t="s">
        <v>5215</v>
      </c>
      <c r="B1269" s="4" t="s">
        <v>5291</v>
      </c>
      <c r="C1269" s="4" t="s">
        <v>5292</v>
      </c>
      <c r="D1269" s="4" t="s">
        <v>4474</v>
      </c>
      <c r="E1269" s="5" t="n">
        <v>22000</v>
      </c>
      <c r="F1269" s="4" t="n">
        <v>5</v>
      </c>
      <c r="G1269" s="4" t="s">
        <v>5293</v>
      </c>
      <c r="H1269" s="4" t="n">
        <v>31.51723</v>
      </c>
      <c r="I1269" s="4" t="n">
        <v>-92.71149</v>
      </c>
      <c r="J1269" s="4" t="s">
        <v>5294</v>
      </c>
      <c r="K1269" s="6" t="str">
        <f aca="false">HYPERLINK("https://www.google.com/search?q=Grant+Parish+Library+Colfax+LA+library+website","Search")</f>
        <v>Search</v>
      </c>
      <c r="L1269" s="7"/>
      <c r="M1269" s="7"/>
    </row>
    <row r="1270" customFormat="false" ht="15" hidden="false" customHeight="true" outlineLevel="0" collapsed="false">
      <c r="A1270" s="4" t="s">
        <v>5215</v>
      </c>
      <c r="B1270" s="4" t="s">
        <v>5295</v>
      </c>
      <c r="C1270" s="4" t="s">
        <v>5296</v>
      </c>
      <c r="D1270" s="4" t="s">
        <v>5297</v>
      </c>
      <c r="E1270" s="5" t="n">
        <v>68327</v>
      </c>
      <c r="F1270" s="4" t="n">
        <v>8</v>
      </c>
      <c r="G1270" s="4" t="s">
        <v>5298</v>
      </c>
      <c r="H1270" s="4" t="n">
        <v>30.00275</v>
      </c>
      <c r="I1270" s="4" t="n">
        <v>-91.81362</v>
      </c>
      <c r="J1270" s="4" t="s">
        <v>5299</v>
      </c>
      <c r="K1270" s="6" t="str">
        <f aca="false">HYPERLINK("https://www.google.com/search?q=Iberia+Parish+Library+New+Iberia+LA+library+website","Search")</f>
        <v>Search</v>
      </c>
      <c r="L1270" s="7"/>
      <c r="M1270" s="7"/>
    </row>
    <row r="1271" customFormat="false" ht="15" hidden="false" customHeight="true" outlineLevel="0" collapsed="false">
      <c r="A1271" s="4" t="s">
        <v>5215</v>
      </c>
      <c r="B1271" s="4" t="s">
        <v>5300</v>
      </c>
      <c r="C1271" s="4" t="s">
        <v>5301</v>
      </c>
      <c r="D1271" s="4" t="s">
        <v>5302</v>
      </c>
      <c r="E1271" s="5" t="n">
        <v>29506</v>
      </c>
      <c r="F1271" s="4" t="n">
        <v>8</v>
      </c>
      <c r="G1271" s="4" t="s">
        <v>5303</v>
      </c>
      <c r="H1271" s="4" t="n">
        <v>30.26543</v>
      </c>
      <c r="I1271" s="4" t="n">
        <v>-91.24822</v>
      </c>
      <c r="J1271" s="4" t="s">
        <v>5304</v>
      </c>
      <c r="K1271" s="6" t="str">
        <f aca="false">HYPERLINK("https://www.google.com/search?q=Iberville+Parish+Library+Plaquemine+LA+library+website","Search")</f>
        <v>Search</v>
      </c>
      <c r="L1271" s="7"/>
      <c r="M1271" s="7"/>
    </row>
    <row r="1272" customFormat="false" ht="15" hidden="false" customHeight="true" outlineLevel="0" collapsed="false">
      <c r="A1272" s="4" t="s">
        <v>5215</v>
      </c>
      <c r="B1272" s="4" t="s">
        <v>5305</v>
      </c>
      <c r="C1272" s="4" t="s">
        <v>520</v>
      </c>
      <c r="D1272" s="4" t="s">
        <v>389</v>
      </c>
      <c r="E1272" s="5" t="n">
        <v>14839</v>
      </c>
      <c r="F1272" s="4" t="n">
        <v>2</v>
      </c>
      <c r="G1272" s="4" t="s">
        <v>5306</v>
      </c>
      <c r="H1272" s="4" t="n">
        <v>32.23958</v>
      </c>
      <c r="I1272" s="4" t="n">
        <v>-92.71478</v>
      </c>
      <c r="J1272" s="4" t="s">
        <v>5307</v>
      </c>
      <c r="K1272" s="6" t="str">
        <f aca="false">HYPERLINK("https://www.google.com/search?q=Jackson+Parish+Library+Jonesboro+LA+library+website","Search")</f>
        <v>Search</v>
      </c>
      <c r="L1272" s="7"/>
      <c r="M1272" s="7"/>
    </row>
    <row r="1273" customFormat="false" ht="15" hidden="false" customHeight="true" outlineLevel="0" collapsed="false">
      <c r="A1273" s="4" t="s">
        <v>5215</v>
      </c>
      <c r="B1273" s="4" t="s">
        <v>5308</v>
      </c>
      <c r="C1273" s="4" t="s">
        <v>4423</v>
      </c>
      <c r="D1273" s="4" t="s">
        <v>5309</v>
      </c>
      <c r="E1273" s="5" t="n">
        <v>22329</v>
      </c>
      <c r="F1273" s="4" t="n">
        <v>4</v>
      </c>
      <c r="G1273" s="4" t="s">
        <v>5310</v>
      </c>
      <c r="H1273" s="4" t="n">
        <v>30.22265</v>
      </c>
      <c r="I1273" s="4" t="n">
        <v>-92.65828</v>
      </c>
      <c r="J1273" s="4" t="s">
        <v>5311</v>
      </c>
      <c r="K1273" s="6" t="str">
        <f aca="false">HYPERLINK("https://www.google.com/search?q=Jefferson+Davis+Parish+Library+Jennings+LA+library+website","Search")</f>
        <v>Search</v>
      </c>
      <c r="L1273" s="7"/>
      <c r="M1273" s="7"/>
    </row>
    <row r="1274" customFormat="false" ht="15" hidden="false" customHeight="true" outlineLevel="0" collapsed="false">
      <c r="A1274" s="4" t="s">
        <v>5215</v>
      </c>
      <c r="B1274" s="4" t="s">
        <v>5312</v>
      </c>
      <c r="C1274" s="4" t="s">
        <v>5313</v>
      </c>
      <c r="D1274" s="4" t="s">
        <v>98</v>
      </c>
      <c r="E1274" s="5" t="n">
        <v>425884</v>
      </c>
      <c r="F1274" s="4" t="n">
        <v>16</v>
      </c>
      <c r="G1274" s="4" t="s">
        <v>5314</v>
      </c>
      <c r="H1274" s="4" t="n">
        <v>29.99436</v>
      </c>
      <c r="I1274" s="4" t="n">
        <v>-90.18637</v>
      </c>
      <c r="J1274" s="4" t="s">
        <v>5315</v>
      </c>
      <c r="K1274" s="6" t="str">
        <f aca="false">HYPERLINK("https://www.google.com/search?q=Jefferson+Parish+Library+Metairie+LA+library+website","Search")</f>
        <v>Search</v>
      </c>
      <c r="L1274" s="7"/>
      <c r="M1274" s="8" t="str">
        <f aca="false">HYPERLINK("https://jeff.overdrive.com","https://jeff.overdrive.com")</f>
        <v>https://jeff.overdrive.com</v>
      </c>
    </row>
    <row r="1275" customFormat="false" ht="15" hidden="false" customHeight="true" outlineLevel="0" collapsed="false">
      <c r="A1275" s="4" t="s">
        <v>5215</v>
      </c>
      <c r="B1275" s="4" t="s">
        <v>1681</v>
      </c>
      <c r="C1275" s="4" t="s">
        <v>1682</v>
      </c>
      <c r="D1275" s="4" t="s">
        <v>1682</v>
      </c>
      <c r="E1275" s="5" t="n">
        <v>247866</v>
      </c>
      <c r="F1275" s="4" t="n">
        <v>9</v>
      </c>
      <c r="G1275" s="4" t="s">
        <v>5316</v>
      </c>
      <c r="H1275" s="4" t="n">
        <v>30.22664</v>
      </c>
      <c r="I1275" s="4" t="n">
        <v>-92.01967</v>
      </c>
      <c r="J1275" s="4" t="s">
        <v>5317</v>
      </c>
      <c r="K1275" s="6" t="str">
        <f aca="false">HYPERLINK("https://www.google.com/search?q=Lafayette+Public+Library+Lafayette+LA+library+website","Search")</f>
        <v>Search</v>
      </c>
      <c r="L1275" s="7"/>
      <c r="M1275" s="7"/>
    </row>
    <row r="1276" customFormat="false" ht="15" hidden="false" customHeight="true" outlineLevel="0" collapsed="false">
      <c r="A1276" s="4" t="s">
        <v>5215</v>
      </c>
      <c r="B1276" s="4" t="s">
        <v>5318</v>
      </c>
      <c r="C1276" s="4" t="s">
        <v>5319</v>
      </c>
      <c r="D1276" s="4" t="s">
        <v>5320</v>
      </c>
      <c r="E1276" s="5" t="n">
        <v>95870</v>
      </c>
      <c r="F1276" s="4" t="n">
        <v>9</v>
      </c>
      <c r="G1276" s="4" t="s">
        <v>5321</v>
      </c>
      <c r="H1276" s="4" t="n">
        <v>29.79636</v>
      </c>
      <c r="I1276" s="4" t="n">
        <v>-90.82223</v>
      </c>
      <c r="J1276" s="4" t="s">
        <v>5322</v>
      </c>
      <c r="K1276" s="6" t="str">
        <f aca="false">HYPERLINK("https://www.google.com/search?q=Lafourche+Parish+Public+Library+Thibodaux+LA+library+website","Search")</f>
        <v>Search</v>
      </c>
      <c r="L1276" s="7"/>
      <c r="M1276" s="8" t="str">
        <f aca="false">HYPERLINK("https://lafourche.overdrive.com","https://lafourche.overdrive.com")</f>
        <v>https://lafourche.overdrive.com</v>
      </c>
    </row>
    <row r="1277" customFormat="false" ht="15" hidden="false" customHeight="true" outlineLevel="0" collapsed="false">
      <c r="A1277" s="4" t="s">
        <v>5215</v>
      </c>
      <c r="B1277" s="4" t="s">
        <v>5323</v>
      </c>
      <c r="C1277" s="4" t="s">
        <v>5324</v>
      </c>
      <c r="D1277" s="4" t="s">
        <v>5325</v>
      </c>
      <c r="E1277" s="5" t="n">
        <v>14729</v>
      </c>
      <c r="F1277" s="4" t="n">
        <v>2</v>
      </c>
      <c r="G1277" s="4" t="s">
        <v>5326</v>
      </c>
      <c r="H1277" s="4" t="n">
        <v>31.68449</v>
      </c>
      <c r="I1277" s="4" t="n">
        <v>-92.13307</v>
      </c>
      <c r="J1277" s="4" t="s">
        <v>5327</v>
      </c>
      <c r="K1277" s="6" t="str">
        <f aca="false">HYPERLINK("https://www.google.com/search?q=Lasalle+Parish+Library+Jena+LA+library+website","Search")</f>
        <v>Search</v>
      </c>
      <c r="L1277" s="7"/>
      <c r="M1277" s="8" t="str">
        <f aca="false">HYPERLINK("https://lasalle.overdrive.com","https://lasalle.overdrive.com")</f>
        <v>https://lasalle.overdrive.com</v>
      </c>
    </row>
    <row r="1278" customFormat="false" ht="15" hidden="false" customHeight="true" outlineLevel="0" collapsed="false">
      <c r="A1278" s="4" t="s">
        <v>5215</v>
      </c>
      <c r="B1278" s="4" t="s">
        <v>5328</v>
      </c>
      <c r="C1278" s="4" t="s">
        <v>5329</v>
      </c>
      <c r="D1278" s="4" t="s">
        <v>1131</v>
      </c>
      <c r="E1278" s="5" t="n">
        <v>48129</v>
      </c>
      <c r="F1278" s="4" t="n">
        <v>1</v>
      </c>
      <c r="G1278" s="4" t="s">
        <v>5330</v>
      </c>
      <c r="H1278" s="4" t="n">
        <v>32.53718</v>
      </c>
      <c r="I1278" s="4" t="n">
        <v>-92.63884</v>
      </c>
      <c r="J1278" s="4" t="s">
        <v>5331</v>
      </c>
      <c r="K1278" s="6" t="str">
        <f aca="false">HYPERLINK("https://www.google.com/search?q=Lincoln+Parish+Library+Ruston+LA+library+website","Search")</f>
        <v>Search</v>
      </c>
      <c r="L1278" s="7"/>
      <c r="M1278" s="7"/>
    </row>
    <row r="1279" customFormat="false" ht="15" hidden="false" customHeight="true" outlineLevel="0" collapsed="false">
      <c r="A1279" s="4" t="s">
        <v>5215</v>
      </c>
      <c r="B1279" s="4" t="s">
        <v>5332</v>
      </c>
      <c r="C1279" s="4" t="s">
        <v>3979</v>
      </c>
      <c r="D1279" s="4" t="s">
        <v>3979</v>
      </c>
      <c r="E1279" s="5" t="n">
        <v>148425</v>
      </c>
      <c r="F1279" s="4" t="n">
        <v>5</v>
      </c>
      <c r="G1279" s="4" t="s">
        <v>5333</v>
      </c>
      <c r="H1279" s="4" t="n">
        <v>30.49985</v>
      </c>
      <c r="I1279" s="4" t="n">
        <v>-90.74652</v>
      </c>
      <c r="J1279" s="4" t="s">
        <v>5334</v>
      </c>
      <c r="K1279" s="6" t="str">
        <f aca="false">HYPERLINK("https://www.google.com/search?q=Livingston+Parish+Library+Livingston+LA+library+website","Search")</f>
        <v>Search</v>
      </c>
      <c r="L1279" s="7"/>
      <c r="M1279" s="8" t="str">
        <f aca="false">HYPERLINK("https://livingstla.overdrive.com","https://livingstla.overdrive.com")</f>
        <v>https://livingstla.overdrive.com</v>
      </c>
    </row>
    <row r="1280" customFormat="false" ht="15" hidden="false" customHeight="true" outlineLevel="0" collapsed="false">
      <c r="A1280" s="4" t="s">
        <v>5215</v>
      </c>
      <c r="B1280" s="4" t="s">
        <v>5335</v>
      </c>
      <c r="C1280" s="4" t="s">
        <v>5336</v>
      </c>
      <c r="D1280" s="4" t="s">
        <v>5337</v>
      </c>
      <c r="E1280" s="5" t="n">
        <v>24446</v>
      </c>
      <c r="F1280" s="4" t="n">
        <v>4</v>
      </c>
      <c r="G1280" s="4" t="s">
        <v>5338</v>
      </c>
      <c r="H1280" s="4" t="n">
        <v>32.77825</v>
      </c>
      <c r="I1280" s="4" t="n">
        <v>-91.90938</v>
      </c>
      <c r="J1280" s="4" t="s">
        <v>5339</v>
      </c>
      <c r="K1280" s="6" t="str">
        <f aca="false">HYPERLINK("https://www.google.com/search?q=Morehouse+Parish+Library+Bastrop+LA+library+website","Search")</f>
        <v>Search</v>
      </c>
      <c r="L1280" s="7"/>
      <c r="M1280" s="7"/>
    </row>
    <row r="1281" customFormat="false" ht="15" hidden="false" customHeight="true" outlineLevel="0" collapsed="false">
      <c r="A1281" s="4" t="s">
        <v>5215</v>
      </c>
      <c r="B1281" s="4" t="s">
        <v>5340</v>
      </c>
      <c r="C1281" s="4" t="s">
        <v>5341</v>
      </c>
      <c r="D1281" s="4" t="s">
        <v>5342</v>
      </c>
      <c r="E1281" s="5" t="n">
        <v>11156</v>
      </c>
      <c r="F1281" s="4" t="n">
        <v>1</v>
      </c>
      <c r="G1281" s="4" t="s">
        <v>5343</v>
      </c>
      <c r="H1281" s="4" t="n">
        <v>29.69506</v>
      </c>
      <c r="I1281" s="4" t="n">
        <v>-91.20833</v>
      </c>
      <c r="J1281" s="4" t="s">
        <v>5344</v>
      </c>
      <c r="K1281" s="6" t="str">
        <f aca="false">HYPERLINK("https://www.google.com/search?q=Morgan+City+Public+Library+Morgan+City+LA+library+website","Search")</f>
        <v>Search</v>
      </c>
      <c r="L1281" s="7"/>
      <c r="M1281" s="8" t="str">
        <f aca="false">HYPERLINK("https://morgancitylibrary.overdrive.com","https://morgancitylibrary.overdrive.com")</f>
        <v>https://morgancitylibrary.overdrive.com</v>
      </c>
    </row>
    <row r="1282" customFormat="false" ht="15" hidden="false" customHeight="true" outlineLevel="0" collapsed="false">
      <c r="A1282" s="4" t="s">
        <v>5215</v>
      </c>
      <c r="B1282" s="4" t="s">
        <v>5345</v>
      </c>
      <c r="C1282" s="4" t="s">
        <v>5346</v>
      </c>
      <c r="D1282" s="4" t="s">
        <v>5346</v>
      </c>
      <c r="E1282" s="5" t="n">
        <v>36663</v>
      </c>
      <c r="F1282" s="4" t="n">
        <v>2</v>
      </c>
      <c r="G1282" s="4" t="s">
        <v>5347</v>
      </c>
      <c r="H1282" s="4" t="n">
        <v>31.75916</v>
      </c>
      <c r="I1282" s="4" t="n">
        <v>-93.0884</v>
      </c>
      <c r="J1282" s="4" t="s">
        <v>5348</v>
      </c>
      <c r="K1282" s="6" t="str">
        <f aca="false">HYPERLINK("https://www.google.com/search?q=Natchitoches+Parish+Library+Natchitoches+LA+library+website","Search")</f>
        <v>Search</v>
      </c>
      <c r="L1282" s="7"/>
      <c r="M1282" s="7"/>
    </row>
    <row r="1283" customFormat="false" ht="15" hidden="false" customHeight="true" outlineLevel="0" collapsed="false">
      <c r="A1283" s="4" t="s">
        <v>5215</v>
      </c>
      <c r="B1283" s="4" t="s">
        <v>5349</v>
      </c>
      <c r="C1283" s="4" t="s">
        <v>5350</v>
      </c>
      <c r="D1283" s="4" t="s">
        <v>5351</v>
      </c>
      <c r="E1283" s="5" t="n">
        <v>369749</v>
      </c>
      <c r="F1283" s="4" t="n">
        <v>15</v>
      </c>
      <c r="G1283" s="4" t="s">
        <v>5352</v>
      </c>
      <c r="H1283" s="4" t="n">
        <v>29.95421</v>
      </c>
      <c r="I1283" s="4" t="n">
        <v>-90.07521</v>
      </c>
      <c r="J1283" s="4" t="s">
        <v>5353</v>
      </c>
      <c r="K1283" s="6" t="str">
        <f aca="false">HYPERLINK("https://www.google.com/search?q=New+Orleans+Public+Library+New+Orleans+LA+library+website","Search")</f>
        <v>Search</v>
      </c>
      <c r="L1283" s="7"/>
      <c r="M1283" s="8" t="str">
        <f aca="false">HYPERLINK("https://neworleans.overdrive.com","https://neworleans.overdrive.com")</f>
        <v>https://neworleans.overdrive.com</v>
      </c>
    </row>
    <row r="1284" customFormat="false" ht="15" hidden="false" customHeight="true" outlineLevel="0" collapsed="false">
      <c r="A1284" s="4" t="s">
        <v>5215</v>
      </c>
      <c r="B1284" s="4" t="s">
        <v>5354</v>
      </c>
      <c r="C1284" s="4" t="s">
        <v>5355</v>
      </c>
      <c r="D1284" s="4" t="s">
        <v>5356</v>
      </c>
      <c r="E1284" s="5" t="n">
        <v>15558</v>
      </c>
      <c r="F1284" s="4" t="n">
        <v>1</v>
      </c>
      <c r="G1284" s="4" t="s">
        <v>5357</v>
      </c>
      <c r="H1284" s="4" t="n">
        <v>30.53601</v>
      </c>
      <c r="I1284" s="4" t="n">
        <v>-92.08087</v>
      </c>
      <c r="J1284" s="4" t="s">
        <v>5358</v>
      </c>
      <c r="K1284" s="6" t="str">
        <f aca="false">HYPERLINK("https://www.google.com/search?q=Opelousas+Public+Library+Opelousas+LA+library+website","Search")</f>
        <v>Search</v>
      </c>
      <c r="L1284" s="7"/>
      <c r="M1284" s="7"/>
    </row>
    <row r="1285" customFormat="false" ht="15" hidden="false" customHeight="true" outlineLevel="0" collapsed="false">
      <c r="A1285" s="4" t="s">
        <v>5215</v>
      </c>
      <c r="B1285" s="4" t="s">
        <v>5359</v>
      </c>
      <c r="C1285" s="4" t="s">
        <v>311</v>
      </c>
      <c r="D1285" s="4" t="s">
        <v>611</v>
      </c>
      <c r="E1285" s="5" t="n">
        <v>157702</v>
      </c>
      <c r="F1285" s="4" t="n">
        <v>10</v>
      </c>
      <c r="G1285" s="4" t="s">
        <v>5360</v>
      </c>
      <c r="H1285" s="4" t="n">
        <v>32.52023</v>
      </c>
      <c r="I1285" s="4" t="n">
        <v>-92.10836</v>
      </c>
      <c r="J1285" s="4" t="s">
        <v>5361</v>
      </c>
      <c r="K1285" s="6" t="str">
        <f aca="false">HYPERLINK("https://www.google.com/search?q=Ouachita+Parish+Public+Library+Monroe+LA+library+website","Search")</f>
        <v>Search</v>
      </c>
      <c r="L1285" s="7"/>
      <c r="M1285" s="7"/>
    </row>
    <row r="1286" customFormat="false" ht="15" hidden="false" customHeight="true" outlineLevel="0" collapsed="false">
      <c r="A1286" s="4" t="s">
        <v>5215</v>
      </c>
      <c r="B1286" s="4" t="s">
        <v>5362</v>
      </c>
      <c r="C1286" s="4" t="s">
        <v>5363</v>
      </c>
      <c r="D1286" s="4" t="s">
        <v>5364</v>
      </c>
      <c r="E1286" s="5" t="n">
        <v>22516</v>
      </c>
      <c r="F1286" s="4" t="n">
        <v>3</v>
      </c>
      <c r="G1286" s="4" t="s">
        <v>5365</v>
      </c>
      <c r="H1286" s="4" t="n">
        <v>29.85244</v>
      </c>
      <c r="I1286" s="4" t="n">
        <v>-89.98681</v>
      </c>
      <c r="J1286" s="4" t="s">
        <v>5366</v>
      </c>
      <c r="K1286" s="6" t="str">
        <f aca="false">HYPERLINK("https://www.google.com/search?q=Plaquemines+Parish+Library+Belle+Chasse+LA+library+website","Search")</f>
        <v>Search</v>
      </c>
      <c r="L1286" s="7"/>
      <c r="M1286" s="7"/>
    </row>
    <row r="1287" customFormat="false" ht="15" hidden="false" customHeight="true" outlineLevel="0" collapsed="false">
      <c r="A1287" s="4" t="s">
        <v>5215</v>
      </c>
      <c r="B1287" s="4" t="s">
        <v>5367</v>
      </c>
      <c r="C1287" s="4" t="s">
        <v>5368</v>
      </c>
      <c r="D1287" s="4" t="s">
        <v>5369</v>
      </c>
      <c r="E1287" s="5" t="n">
        <v>20151</v>
      </c>
      <c r="F1287" s="4" t="n">
        <v>5</v>
      </c>
      <c r="G1287" s="4" t="s">
        <v>5370</v>
      </c>
      <c r="H1287" s="4" t="n">
        <v>30.69438</v>
      </c>
      <c r="I1287" s="4" t="n">
        <v>-91.43927</v>
      </c>
      <c r="J1287" s="4" t="s">
        <v>5371</v>
      </c>
      <c r="K1287" s="6" t="str">
        <f aca="false">HYPERLINK("https://www.google.com/search?q=Pointe+Coupee+Parish+Library+New+Roads+LA+library+website","Search")</f>
        <v>Search</v>
      </c>
      <c r="L1287" s="7"/>
      <c r="M1287" s="7"/>
    </row>
    <row r="1288" customFormat="false" ht="15" hidden="false" customHeight="true" outlineLevel="0" collapsed="false">
      <c r="A1288" s="4" t="s">
        <v>5215</v>
      </c>
      <c r="B1288" s="4" t="s">
        <v>5372</v>
      </c>
      <c r="C1288" s="4" t="s">
        <v>5373</v>
      </c>
      <c r="D1288" s="4" t="s">
        <v>5374</v>
      </c>
      <c r="E1288" s="5" t="n">
        <v>127189</v>
      </c>
      <c r="F1288" s="4" t="n">
        <v>10</v>
      </c>
      <c r="G1288" s="4" t="s">
        <v>5375</v>
      </c>
      <c r="H1288" s="4" t="n">
        <v>31.30956</v>
      </c>
      <c r="I1288" s="4" t="n">
        <v>-92.44434</v>
      </c>
      <c r="J1288" s="4" t="s">
        <v>5376</v>
      </c>
      <c r="K1288" s="6" t="str">
        <f aca="false">HYPERLINK("https://www.google.com/search?q=Rapides+Parish+Library+Alexandria+LA+library+website","Search")</f>
        <v>Search</v>
      </c>
      <c r="L1288" s="7"/>
      <c r="M1288" s="8" t="str">
        <f aca="false">HYPERLINK("https://rpl.overdrive.com","https://rpl.overdrive.com")</f>
        <v>https://rpl.overdrive.com</v>
      </c>
    </row>
    <row r="1289" customFormat="false" ht="15" hidden="false" customHeight="true" outlineLevel="0" collapsed="false">
      <c r="A1289" s="4" t="s">
        <v>5215</v>
      </c>
      <c r="B1289" s="4" t="s">
        <v>5377</v>
      </c>
      <c r="C1289" s="4" t="s">
        <v>5378</v>
      </c>
      <c r="D1289" s="4" t="s">
        <v>5379</v>
      </c>
      <c r="E1289" s="5" t="n">
        <v>19826</v>
      </c>
      <c r="F1289" s="4" t="n">
        <v>3</v>
      </c>
      <c r="G1289" s="4" t="s">
        <v>5380</v>
      </c>
      <c r="H1289" s="4" t="n">
        <v>32.4692</v>
      </c>
      <c r="I1289" s="4" t="n">
        <v>-91.75846</v>
      </c>
      <c r="J1289" s="4" t="s">
        <v>5381</v>
      </c>
      <c r="K1289" s="6" t="str">
        <f aca="false">HYPERLINK("https://www.google.com/search?q=Richland+Parish+Library+Rayville+LA+library+website","Search")</f>
        <v>Search</v>
      </c>
      <c r="L1289" s="7"/>
      <c r="M1289" s="7"/>
    </row>
    <row r="1290" customFormat="false" ht="15" hidden="false" customHeight="true" outlineLevel="0" collapsed="false">
      <c r="A1290" s="4" t="s">
        <v>5215</v>
      </c>
      <c r="B1290" s="4" t="s">
        <v>5382</v>
      </c>
      <c r="C1290" s="4" t="s">
        <v>5383</v>
      </c>
      <c r="D1290" s="4" t="s">
        <v>5384</v>
      </c>
      <c r="E1290" s="5" t="n">
        <v>21985</v>
      </c>
      <c r="F1290" s="4" t="n">
        <v>5</v>
      </c>
      <c r="G1290" s="4" t="s">
        <v>5385</v>
      </c>
      <c r="H1290" s="4" t="n">
        <v>31.56777</v>
      </c>
      <c r="I1290" s="4" t="n">
        <v>-93.4839</v>
      </c>
      <c r="J1290" s="4" t="s">
        <v>5386</v>
      </c>
      <c r="K1290" s="6" t="str">
        <f aca="false">HYPERLINK("https://www.google.com/search?q=Sabine+Parish+Library+Many+LA+library+website","Search")</f>
        <v>Search</v>
      </c>
      <c r="L1290" s="7"/>
      <c r="M1290" s="7"/>
    </row>
    <row r="1291" customFormat="false" ht="15" hidden="false" customHeight="true" outlineLevel="0" collapsed="false">
      <c r="A1291" s="4" t="s">
        <v>5215</v>
      </c>
      <c r="B1291" s="4" t="s">
        <v>5387</v>
      </c>
      <c r="C1291" s="4" t="s">
        <v>5388</v>
      </c>
      <c r="D1291" s="4" t="s">
        <v>5389</v>
      </c>
      <c r="E1291" s="5" t="n">
        <v>229025</v>
      </c>
      <c r="F1291" s="4" t="n">
        <v>21</v>
      </c>
      <c r="G1291" s="4" t="s">
        <v>5390</v>
      </c>
      <c r="H1291" s="4" t="n">
        <v>32.51309</v>
      </c>
      <c r="I1291" s="4" t="n">
        <v>-93.74956</v>
      </c>
      <c r="J1291" s="4" t="s">
        <v>5391</v>
      </c>
      <c r="K1291" s="6" t="str">
        <f aca="false">HYPERLINK("https://www.google.com/search?q=Shreve+Memorial+Library+Shreveport+LA+library+website","Search")</f>
        <v>Search</v>
      </c>
      <c r="L1291" s="7"/>
      <c r="M1291" s="7"/>
    </row>
    <row r="1292" customFormat="false" ht="15" hidden="false" customHeight="true" outlineLevel="0" collapsed="false">
      <c r="A1292" s="4" t="s">
        <v>5215</v>
      </c>
      <c r="B1292" s="4" t="s">
        <v>5392</v>
      </c>
      <c r="C1292" s="4" t="s">
        <v>5393</v>
      </c>
      <c r="D1292" s="4" t="s">
        <v>5394</v>
      </c>
      <c r="E1292" s="5" t="n">
        <v>44479</v>
      </c>
      <c r="F1292" s="4" t="n">
        <v>2</v>
      </c>
      <c r="G1292" s="4" t="s">
        <v>5395</v>
      </c>
      <c r="H1292" s="4" t="n">
        <v>29.93922</v>
      </c>
      <c r="I1292" s="4" t="n">
        <v>-89.95189</v>
      </c>
      <c r="J1292" s="4" t="s">
        <v>5396</v>
      </c>
      <c r="K1292" s="6" t="str">
        <f aca="false">HYPERLINK("https://www.google.com/search?q=St.+Bernard+Parish+Library+Chalmette+LA+library+website","Search")</f>
        <v>Search</v>
      </c>
      <c r="L1292" s="7"/>
      <c r="M1292" s="7"/>
    </row>
    <row r="1293" customFormat="false" ht="15" hidden="false" customHeight="true" outlineLevel="0" collapsed="false">
      <c r="A1293" s="4" t="s">
        <v>5215</v>
      </c>
      <c r="B1293" s="4" t="s">
        <v>5397</v>
      </c>
      <c r="C1293" s="4" t="s">
        <v>5398</v>
      </c>
      <c r="D1293" s="4" t="s">
        <v>5399</v>
      </c>
      <c r="E1293" s="5" t="n">
        <v>50998</v>
      </c>
      <c r="F1293" s="4" t="n">
        <v>6</v>
      </c>
      <c r="G1293" s="4" t="s">
        <v>5400</v>
      </c>
      <c r="H1293" s="4" t="n">
        <v>29.94686</v>
      </c>
      <c r="I1293" s="4" t="n">
        <v>-90.36674</v>
      </c>
      <c r="J1293" s="4" t="s">
        <v>5401</v>
      </c>
      <c r="K1293" s="6" t="str">
        <f aca="false">HYPERLINK("https://www.google.com/search?q=St.+Charles+Parish+Library+Destrehan+LA+library+website","Search")</f>
        <v>Search</v>
      </c>
      <c r="L1293" s="7"/>
      <c r="M1293" s="7"/>
    </row>
    <row r="1294" customFormat="false" ht="15" hidden="false" customHeight="true" outlineLevel="0" collapsed="false">
      <c r="A1294" s="4" t="s">
        <v>5215</v>
      </c>
      <c r="B1294" s="4" t="s">
        <v>5402</v>
      </c>
      <c r="C1294" s="4" t="s">
        <v>5403</v>
      </c>
      <c r="D1294" s="4" t="s">
        <v>5404</v>
      </c>
      <c r="E1294" s="5" t="n">
        <v>19423</v>
      </c>
      <c r="F1294" s="4" t="n">
        <v>2</v>
      </c>
      <c r="G1294" s="4" t="s">
        <v>5405</v>
      </c>
      <c r="H1294" s="4" t="n">
        <v>30.04546</v>
      </c>
      <c r="I1294" s="4" t="n">
        <v>-90.69323</v>
      </c>
      <c r="J1294" s="4" t="s">
        <v>5406</v>
      </c>
      <c r="K1294" s="6" t="str">
        <f aca="false">HYPERLINK("https://www.google.com/search?q=St.+James+Parish+Library+Lutcher+LA+library+website","Search")</f>
        <v>Search</v>
      </c>
      <c r="L1294" s="7"/>
      <c r="M1294" s="7"/>
    </row>
    <row r="1295" customFormat="false" ht="15" hidden="false" customHeight="true" outlineLevel="0" collapsed="false">
      <c r="A1295" s="4" t="s">
        <v>5215</v>
      </c>
      <c r="B1295" s="4" t="s">
        <v>5407</v>
      </c>
      <c r="C1295" s="4" t="s">
        <v>5408</v>
      </c>
      <c r="D1295" s="4" t="s">
        <v>5409</v>
      </c>
      <c r="E1295" s="5" t="n">
        <v>39864</v>
      </c>
      <c r="F1295" s="4" t="n">
        <v>4</v>
      </c>
      <c r="G1295" s="4" t="s">
        <v>5410</v>
      </c>
      <c r="H1295" s="4" t="n">
        <v>30.07407</v>
      </c>
      <c r="I1295" s="4" t="n">
        <v>-90.47392</v>
      </c>
      <c r="J1295" s="4" t="s">
        <v>5411</v>
      </c>
      <c r="K1295" s="6" t="str">
        <f aca="false">HYPERLINK("https://www.google.com/search?q=St.+John+The+Baptist+Parish+Library+Laplace+LA+library+website","Search")</f>
        <v>Search</v>
      </c>
      <c r="L1295" s="7"/>
      <c r="M1295" s="7"/>
    </row>
    <row r="1296" customFormat="false" ht="15" hidden="false" customHeight="true" outlineLevel="0" collapsed="false">
      <c r="A1296" s="4" t="s">
        <v>5215</v>
      </c>
      <c r="B1296" s="4" t="s">
        <v>5412</v>
      </c>
      <c r="C1296" s="4" t="s">
        <v>5413</v>
      </c>
      <c r="D1296" s="4" t="s">
        <v>5414</v>
      </c>
      <c r="E1296" s="5" t="n">
        <v>51236</v>
      </c>
      <c r="F1296" s="4" t="n">
        <v>4</v>
      </c>
      <c r="G1296" s="4" t="s">
        <v>5415</v>
      </c>
      <c r="H1296" s="4" t="n">
        <v>30.12946</v>
      </c>
      <c r="I1296" s="4" t="n">
        <v>-91.82847</v>
      </c>
      <c r="J1296" s="4" t="s">
        <v>5416</v>
      </c>
      <c r="K1296" s="6" t="str">
        <f aca="false">HYPERLINK("https://www.google.com/search?q=St.+Martin+Parish+Library+St.+Martinville+LA+library+website","Search")</f>
        <v>Search</v>
      </c>
      <c r="L1296" s="7"/>
      <c r="M1296" s="7"/>
    </row>
    <row r="1297" customFormat="false" ht="15" hidden="false" customHeight="true" outlineLevel="0" collapsed="false">
      <c r="A1297" s="4" t="s">
        <v>5215</v>
      </c>
      <c r="B1297" s="4" t="s">
        <v>5417</v>
      </c>
      <c r="C1297" s="4" t="s">
        <v>384</v>
      </c>
      <c r="D1297" s="4" t="s">
        <v>5342</v>
      </c>
      <c r="E1297" s="5" t="n">
        <v>36633</v>
      </c>
      <c r="F1297" s="4" t="n">
        <v>7</v>
      </c>
      <c r="G1297" s="4" t="s">
        <v>5418</v>
      </c>
      <c r="H1297" s="4" t="n">
        <v>29.79605</v>
      </c>
      <c r="I1297" s="4" t="n">
        <v>-91.50249</v>
      </c>
      <c r="J1297" s="4" t="s">
        <v>5419</v>
      </c>
      <c r="K1297" s="6" t="str">
        <f aca="false">HYPERLINK("https://www.google.com/search?q=St.+Mary+Parish+Library+Franklin+LA+library+website","Search")</f>
        <v>Search</v>
      </c>
      <c r="L1297" s="7"/>
      <c r="M1297" s="7"/>
    </row>
    <row r="1298" customFormat="false" ht="15" hidden="false" customHeight="true" outlineLevel="0" collapsed="false">
      <c r="A1298" s="4" t="s">
        <v>5215</v>
      </c>
      <c r="B1298" s="4" t="s">
        <v>5420</v>
      </c>
      <c r="C1298" s="4" t="s">
        <v>68</v>
      </c>
      <c r="D1298" s="4" t="s">
        <v>5421</v>
      </c>
      <c r="E1298" s="5" t="n">
        <v>273263</v>
      </c>
      <c r="F1298" s="4" t="n">
        <v>12</v>
      </c>
      <c r="G1298" s="4" t="s">
        <v>5422</v>
      </c>
      <c r="H1298" s="4" t="n">
        <v>30.47663</v>
      </c>
      <c r="I1298" s="4" t="n">
        <v>-90.10303</v>
      </c>
      <c r="J1298" s="4" t="s">
        <v>5423</v>
      </c>
      <c r="K1298" s="6" t="str">
        <f aca="false">HYPERLINK("https://www.google.com/search?q=St.+Tammany+Parish+Library+Covington+LA+library+website","Search")</f>
        <v>Search</v>
      </c>
      <c r="L1298" s="7"/>
      <c r="M1298" s="8" t="str">
        <f aca="false">HYPERLINK("https://sttammany.overdrive.com","https://sttammany.overdrive.com")</f>
        <v>https://sttammany.overdrive.com</v>
      </c>
    </row>
    <row r="1299" customFormat="false" ht="15" hidden="false" customHeight="true" outlineLevel="0" collapsed="false">
      <c r="A1299" s="4" t="s">
        <v>5215</v>
      </c>
      <c r="B1299" s="4" t="s">
        <v>5424</v>
      </c>
      <c r="C1299" s="4" t="s">
        <v>5425</v>
      </c>
      <c r="D1299" s="4" t="s">
        <v>5426</v>
      </c>
      <c r="E1299" s="5" t="n">
        <v>137048</v>
      </c>
      <c r="F1299" s="4" t="n">
        <v>6</v>
      </c>
      <c r="G1299" s="4" t="s">
        <v>5427</v>
      </c>
      <c r="H1299" s="4" t="n">
        <v>30.7286</v>
      </c>
      <c r="I1299" s="4" t="n">
        <v>-90.50832</v>
      </c>
      <c r="J1299" s="4" t="s">
        <v>5428</v>
      </c>
      <c r="K1299" s="6" t="str">
        <f aca="false">HYPERLINK("https://www.google.com/search?q=Tangipahoa+Parish+Library+Amite+LA+library+website","Search")</f>
        <v>Search</v>
      </c>
      <c r="L1299" s="7"/>
      <c r="M1299" s="7"/>
    </row>
    <row r="1300" customFormat="false" ht="15" hidden="false" customHeight="true" outlineLevel="0" collapsed="false">
      <c r="A1300" s="4" t="s">
        <v>5215</v>
      </c>
      <c r="B1300" s="4" t="s">
        <v>5429</v>
      </c>
      <c r="C1300" s="4" t="s">
        <v>5430</v>
      </c>
      <c r="D1300" s="4" t="s">
        <v>5431</v>
      </c>
      <c r="E1300" s="5" t="n">
        <v>104786</v>
      </c>
      <c r="F1300" s="4" t="n">
        <v>9</v>
      </c>
      <c r="G1300" s="4" t="s">
        <v>5432</v>
      </c>
      <c r="H1300" s="4" t="n">
        <v>29.58164</v>
      </c>
      <c r="I1300" s="4" t="n">
        <v>-90.72616</v>
      </c>
      <c r="J1300" s="4" t="s">
        <v>5433</v>
      </c>
      <c r="K1300" s="6" t="str">
        <f aca="false">HYPERLINK("https://www.google.com/search?q=Terrebonne+Parish+Library+Houma+LA+library+website","Search")</f>
        <v>Search</v>
      </c>
      <c r="L1300" s="7"/>
      <c r="M1300" s="7"/>
    </row>
    <row r="1301" customFormat="false" ht="15" hidden="false" customHeight="true" outlineLevel="0" collapsed="false">
      <c r="A1301" s="4" t="s">
        <v>5215</v>
      </c>
      <c r="B1301" s="4" t="s">
        <v>5434</v>
      </c>
      <c r="C1301" s="4" t="s">
        <v>5435</v>
      </c>
      <c r="D1301" s="4" t="s">
        <v>467</v>
      </c>
      <c r="E1301" s="5" t="n">
        <v>20721</v>
      </c>
      <c r="F1301" s="4" t="n">
        <v>1</v>
      </c>
      <c r="G1301" s="4" t="s">
        <v>5436</v>
      </c>
      <c r="H1301" s="4" t="n">
        <v>32.77469</v>
      </c>
      <c r="I1301" s="4" t="n">
        <v>-92.4061</v>
      </c>
      <c r="J1301" s="4" t="s">
        <v>5437</v>
      </c>
      <c r="K1301" s="6" t="str">
        <f aca="false">HYPERLINK("https://www.google.com/search?q=Union+Parish+Library+Farmerville+LA+library+website","Search")</f>
        <v>Search</v>
      </c>
      <c r="L1301" s="7"/>
      <c r="M1301" s="7"/>
    </row>
    <row r="1302" customFormat="false" ht="15" hidden="false" customHeight="true" outlineLevel="0" collapsed="false">
      <c r="A1302" s="4" t="s">
        <v>5215</v>
      </c>
      <c r="B1302" s="4" t="s">
        <v>5438</v>
      </c>
      <c r="C1302" s="4" t="s">
        <v>5439</v>
      </c>
      <c r="D1302" s="4" t="s">
        <v>3480</v>
      </c>
      <c r="E1302" s="5" t="n">
        <v>56952</v>
      </c>
      <c r="F1302" s="4" t="n">
        <v>6</v>
      </c>
      <c r="G1302" s="4" t="s">
        <v>5440</v>
      </c>
      <c r="H1302" s="4" t="n">
        <v>29.97462</v>
      </c>
      <c r="I1302" s="4" t="n">
        <v>-92.13203</v>
      </c>
      <c r="J1302" s="4" t="s">
        <v>5441</v>
      </c>
      <c r="K1302" s="6" t="str">
        <f aca="false">HYPERLINK("https://www.google.com/search?q=Vermilion+Parish+Library+Abbeville+LA+library+website","Search")</f>
        <v>Search</v>
      </c>
      <c r="L1302" s="7"/>
      <c r="M1302" s="7"/>
    </row>
    <row r="1303" customFormat="false" ht="15" hidden="false" customHeight="true" outlineLevel="0" collapsed="false">
      <c r="A1303" s="4" t="s">
        <v>5215</v>
      </c>
      <c r="B1303" s="4" t="s">
        <v>5442</v>
      </c>
      <c r="C1303" s="4" t="s">
        <v>5443</v>
      </c>
      <c r="D1303" s="4" t="s">
        <v>2080</v>
      </c>
      <c r="E1303" s="5" t="n">
        <v>47247</v>
      </c>
      <c r="F1303" s="4" t="n">
        <v>3</v>
      </c>
      <c r="G1303" s="4" t="s">
        <v>5444</v>
      </c>
      <c r="H1303" s="4" t="n">
        <v>31.14272</v>
      </c>
      <c r="I1303" s="4" t="n">
        <v>-93.28191</v>
      </c>
      <c r="J1303" s="4" t="s">
        <v>5445</v>
      </c>
      <c r="K1303" s="6" t="str">
        <f aca="false">HYPERLINK("https://www.google.com/search?q=Vernon+Parish+Library+Leesville+LA+library+website","Search")</f>
        <v>Search</v>
      </c>
      <c r="L1303" s="7"/>
      <c r="M1303" s="7"/>
    </row>
    <row r="1304" customFormat="false" ht="15" hidden="false" customHeight="true" outlineLevel="0" collapsed="false">
      <c r="A1304" s="4" t="s">
        <v>5215</v>
      </c>
      <c r="B1304" s="4" t="s">
        <v>5446</v>
      </c>
      <c r="C1304" s="4" t="s">
        <v>5447</v>
      </c>
      <c r="D1304" s="4" t="s">
        <v>441</v>
      </c>
      <c r="E1304" s="5" t="n">
        <v>45025</v>
      </c>
      <c r="F1304" s="4" t="n">
        <v>4</v>
      </c>
      <c r="G1304" s="4" t="s">
        <v>5448</v>
      </c>
      <c r="H1304" s="4" t="n">
        <v>30.84874</v>
      </c>
      <c r="I1304" s="4" t="n">
        <v>-90.15926</v>
      </c>
      <c r="J1304" s="4" t="s">
        <v>5449</v>
      </c>
      <c r="K1304" s="6" t="str">
        <f aca="false">HYPERLINK("https://www.google.com/search?q=Washington+Parish+Library+Franklinton+LA+library+website","Search")</f>
        <v>Search</v>
      </c>
      <c r="L1304" s="7"/>
      <c r="M1304" s="7"/>
    </row>
    <row r="1305" customFormat="false" ht="15" hidden="false" customHeight="true" outlineLevel="0" collapsed="false">
      <c r="A1305" s="4" t="s">
        <v>5215</v>
      </c>
      <c r="B1305" s="4" t="s">
        <v>5450</v>
      </c>
      <c r="C1305" s="4" t="s">
        <v>5451</v>
      </c>
      <c r="D1305" s="4" t="s">
        <v>2982</v>
      </c>
      <c r="E1305" s="5" t="n">
        <v>35643</v>
      </c>
      <c r="F1305" s="4" t="n">
        <v>7</v>
      </c>
      <c r="G1305" s="4" t="s">
        <v>5452</v>
      </c>
      <c r="H1305" s="4" t="n">
        <v>32.62114</v>
      </c>
      <c r="I1305" s="4" t="n">
        <v>-93.28124</v>
      </c>
      <c r="J1305" s="4" t="s">
        <v>5453</v>
      </c>
      <c r="K1305" s="6" t="str">
        <f aca="false">HYPERLINK("https://www.google.com/search?q=Webster+Parish+Library+Minden+LA+library+website","Search")</f>
        <v>Search</v>
      </c>
      <c r="L1305" s="7"/>
      <c r="M1305" s="7"/>
    </row>
    <row r="1306" customFormat="false" ht="15" hidden="false" customHeight="true" outlineLevel="0" collapsed="false">
      <c r="A1306" s="4" t="s">
        <v>5215</v>
      </c>
      <c r="B1306" s="4" t="s">
        <v>5454</v>
      </c>
      <c r="C1306" s="4" t="s">
        <v>5455</v>
      </c>
      <c r="D1306" s="4" t="s">
        <v>5456</v>
      </c>
      <c r="E1306" s="5" t="n">
        <v>28034</v>
      </c>
      <c r="F1306" s="4" t="n">
        <v>1</v>
      </c>
      <c r="G1306" s="4" t="s">
        <v>5457</v>
      </c>
      <c r="H1306" s="4" t="n">
        <v>30.45963</v>
      </c>
      <c r="I1306" s="4" t="n">
        <v>-91.21045</v>
      </c>
      <c r="J1306" s="4" t="s">
        <v>5458</v>
      </c>
      <c r="K1306" s="6" t="str">
        <f aca="false">HYPERLINK("https://www.google.com/search?q=West+Baton+Rouge+Parish+Library+Port+Allen+LA+library+website","Search")</f>
        <v>Search</v>
      </c>
      <c r="L1306" s="7"/>
      <c r="M1306" s="7"/>
    </row>
    <row r="1307" customFormat="false" ht="15" hidden="false" customHeight="true" outlineLevel="0" collapsed="false">
      <c r="A1307" s="4" t="s">
        <v>5215</v>
      </c>
      <c r="B1307" s="4" t="s">
        <v>5459</v>
      </c>
      <c r="C1307" s="4" t="s">
        <v>5460</v>
      </c>
      <c r="D1307" s="4" t="s">
        <v>5461</v>
      </c>
      <c r="E1307" s="5" t="n">
        <v>15381</v>
      </c>
      <c r="F1307" s="4" t="n">
        <v>1</v>
      </c>
      <c r="G1307" s="4" t="s">
        <v>5462</v>
      </c>
      <c r="H1307" s="4" t="n">
        <v>30.78291</v>
      </c>
      <c r="I1307" s="4" t="n">
        <v>-91.37427</v>
      </c>
      <c r="J1307" s="4" t="s">
        <v>5463</v>
      </c>
      <c r="K1307" s="6" t="str">
        <f aca="false">HYPERLINK("https://www.google.com/search?q=West+Feliciana+Parish+Library+St.+Francisville+LA+library+website","Search")</f>
        <v>Search</v>
      </c>
      <c r="L1307" s="7"/>
      <c r="M1307" s="7"/>
    </row>
    <row r="1308" customFormat="false" ht="15" hidden="false" customHeight="true" outlineLevel="0" collapsed="false">
      <c r="A1308" s="4" t="s">
        <v>5215</v>
      </c>
      <c r="B1308" s="4" t="s">
        <v>5464</v>
      </c>
      <c r="C1308" s="4" t="s">
        <v>5465</v>
      </c>
      <c r="D1308" s="4" t="s">
        <v>5466</v>
      </c>
      <c r="E1308" s="5" t="n">
        <v>13205</v>
      </c>
      <c r="F1308" s="4" t="n">
        <v>5</v>
      </c>
      <c r="G1308" s="4" t="s">
        <v>5467</v>
      </c>
      <c r="H1308" s="4" t="n">
        <v>31.92767</v>
      </c>
      <c r="I1308" s="4" t="n">
        <v>-92.64162</v>
      </c>
      <c r="J1308" s="4" t="s">
        <v>5468</v>
      </c>
      <c r="K1308" s="6" t="str">
        <f aca="false">HYPERLINK("https://www.google.com/search?q=Winn+Parish+Library+Winnfield+LA+library+website","Search")</f>
        <v>Search</v>
      </c>
      <c r="L1308" s="7"/>
      <c r="M1308" s="7"/>
    </row>
    <row r="1309" customFormat="false" ht="15" hidden="false" customHeight="true" outlineLevel="0" collapsed="false">
      <c r="A1309" s="4" t="s">
        <v>5469</v>
      </c>
      <c r="B1309" s="4" t="s">
        <v>5470</v>
      </c>
      <c r="C1309" s="4" t="s">
        <v>5471</v>
      </c>
      <c r="D1309" s="4" t="s">
        <v>5472</v>
      </c>
      <c r="E1309" s="5" t="n">
        <v>20441</v>
      </c>
      <c r="F1309" s="4" t="n">
        <v>1</v>
      </c>
      <c r="G1309" s="4" t="s">
        <v>5473</v>
      </c>
      <c r="H1309" s="4" t="n">
        <v>42.49644</v>
      </c>
      <c r="I1309" s="4" t="n">
        <v>-70.86324</v>
      </c>
      <c r="J1309" s="4" t="s">
        <v>5474</v>
      </c>
      <c r="K1309" s="6" t="str">
        <f aca="false">HYPERLINK("https://www.google.com/search?q=Abbot+Public+Library+Marblehead+MA+library+website","Search")</f>
        <v>Search</v>
      </c>
      <c r="L1309" s="7"/>
      <c r="M1309" s="7"/>
    </row>
    <row r="1310" customFormat="false" ht="15" hidden="false" customHeight="true" outlineLevel="0" collapsed="false">
      <c r="A1310" s="4" t="s">
        <v>5469</v>
      </c>
      <c r="B1310" s="4" t="s">
        <v>5475</v>
      </c>
      <c r="C1310" s="4" t="s">
        <v>5476</v>
      </c>
      <c r="D1310" s="4" t="s">
        <v>3038</v>
      </c>
      <c r="E1310" s="5" t="n">
        <v>17062</v>
      </c>
      <c r="F1310" s="4" t="n">
        <v>1</v>
      </c>
      <c r="G1310" s="4" t="s">
        <v>5477</v>
      </c>
      <c r="H1310" s="4" t="n">
        <v>42.11776</v>
      </c>
      <c r="I1310" s="4" t="n">
        <v>-70.95727</v>
      </c>
      <c r="J1310" s="4" t="s">
        <v>5478</v>
      </c>
      <c r="K1310" s="6" t="str">
        <f aca="false">HYPERLINK("https://www.google.com/search?q=Abington+Public+Library+Abington+MA+library+website","Search")</f>
        <v>Search</v>
      </c>
      <c r="L1310" s="7"/>
      <c r="M1310" s="7"/>
    </row>
    <row r="1311" customFormat="false" ht="15" hidden="false" customHeight="true" outlineLevel="0" collapsed="false">
      <c r="A1311" s="4" t="s">
        <v>5469</v>
      </c>
      <c r="B1311" s="4" t="s">
        <v>5479</v>
      </c>
      <c r="C1311" s="4" t="s">
        <v>5480</v>
      </c>
      <c r="D1311" s="4" t="s">
        <v>1792</v>
      </c>
      <c r="E1311" s="5" t="n">
        <v>23000</v>
      </c>
      <c r="F1311" s="4" t="n">
        <v>2</v>
      </c>
      <c r="G1311" s="4" t="s">
        <v>5481</v>
      </c>
      <c r="H1311" s="4" t="n">
        <v>42.48649</v>
      </c>
      <c r="I1311" s="4" t="n">
        <v>-71.43328</v>
      </c>
      <c r="J1311" s="4" t="s">
        <v>5482</v>
      </c>
      <c r="K1311" s="6" t="str">
        <f aca="false">HYPERLINK("https://www.google.com/search?q=Acton+Memorial+Library+Acton+MA+library+website","Search")</f>
        <v>Search</v>
      </c>
      <c r="L1311" s="7"/>
      <c r="M1311" s="7"/>
    </row>
    <row r="1312" customFormat="false" ht="15" hidden="false" customHeight="true" outlineLevel="0" collapsed="false">
      <c r="A1312" s="4" t="s">
        <v>5469</v>
      </c>
      <c r="B1312" s="4" t="s">
        <v>5483</v>
      </c>
      <c r="C1312" s="4" t="s">
        <v>5484</v>
      </c>
      <c r="D1312" s="4" t="s">
        <v>1845</v>
      </c>
      <c r="E1312" s="5" t="n">
        <v>10559</v>
      </c>
      <c r="F1312" s="4" t="n">
        <v>1</v>
      </c>
      <c r="G1312" s="4" t="s">
        <v>5485</v>
      </c>
      <c r="H1312" s="4" t="n">
        <v>41.70061</v>
      </c>
      <c r="I1312" s="4" t="n">
        <v>-70.92099</v>
      </c>
      <c r="J1312" s="4" t="s">
        <v>5486</v>
      </c>
      <c r="K1312" s="6" t="str">
        <f aca="false">HYPERLINK("https://www.google.com/search?q=Acushnet+Public+Library+Acushnet+MA+library+website","Search")</f>
        <v>Search</v>
      </c>
      <c r="L1312" s="7"/>
      <c r="M1312" s="7"/>
    </row>
    <row r="1313" customFormat="false" ht="15" hidden="false" customHeight="true" outlineLevel="0" collapsed="false">
      <c r="A1313" s="4" t="s">
        <v>5469</v>
      </c>
      <c r="B1313" s="4" t="s">
        <v>5487</v>
      </c>
      <c r="C1313" s="4" t="s">
        <v>5488</v>
      </c>
      <c r="D1313" s="4" t="s">
        <v>5489</v>
      </c>
      <c r="E1313" s="5" t="n">
        <v>28692</v>
      </c>
      <c r="F1313" s="4" t="n">
        <v>1</v>
      </c>
      <c r="G1313" s="4" t="s">
        <v>5490</v>
      </c>
      <c r="H1313" s="4" t="n">
        <v>42.0732</v>
      </c>
      <c r="I1313" s="4" t="n">
        <v>-72.6433</v>
      </c>
      <c r="J1313" s="4" t="s">
        <v>5491</v>
      </c>
      <c r="K1313" s="6" t="str">
        <f aca="false">HYPERLINK("https://www.google.com/search?q=Agawam+Public+Library+Agawam+MA+library+website","Search")</f>
        <v>Search</v>
      </c>
      <c r="L1313" s="7"/>
      <c r="M1313" s="7"/>
    </row>
    <row r="1314" customFormat="false" ht="15" hidden="false" customHeight="true" outlineLevel="0" collapsed="false">
      <c r="A1314" s="4" t="s">
        <v>5469</v>
      </c>
      <c r="B1314" s="4" t="s">
        <v>5492</v>
      </c>
      <c r="C1314" s="4" t="s">
        <v>5493</v>
      </c>
      <c r="D1314" s="4" t="s">
        <v>1845</v>
      </c>
      <c r="E1314" s="5" t="n">
        <v>25058</v>
      </c>
      <c r="F1314" s="4" t="n">
        <v>1</v>
      </c>
      <c r="G1314" s="4" t="s">
        <v>5494</v>
      </c>
      <c r="H1314" s="4" t="n">
        <v>42.06727</v>
      </c>
      <c r="I1314" s="4" t="n">
        <v>-71.10528</v>
      </c>
      <c r="J1314" s="4" t="s">
        <v>5495</v>
      </c>
      <c r="K1314" s="6" t="str">
        <f aca="false">HYPERLINK("https://www.google.com/search?q=Ames+Free+Library+Of+Easton%2C+Inc.+North+Easton+MA+library+website","Search")</f>
        <v>Search</v>
      </c>
      <c r="L1314" s="7"/>
      <c r="M1314" s="7"/>
    </row>
    <row r="1315" customFormat="false" ht="15" hidden="false" customHeight="true" outlineLevel="0" collapsed="false">
      <c r="A1315" s="4" t="s">
        <v>5469</v>
      </c>
      <c r="B1315" s="4" t="s">
        <v>5496</v>
      </c>
      <c r="C1315" s="4" t="s">
        <v>5497</v>
      </c>
      <c r="D1315" s="4" t="s">
        <v>5472</v>
      </c>
      <c r="E1315" s="5" t="n">
        <v>17366</v>
      </c>
      <c r="F1315" s="4" t="n">
        <v>1</v>
      </c>
      <c r="G1315" s="4" t="s">
        <v>5498</v>
      </c>
      <c r="H1315" s="4" t="n">
        <v>42.85535</v>
      </c>
      <c r="I1315" s="4" t="n">
        <v>-70.93288</v>
      </c>
      <c r="J1315" s="4" t="s">
        <v>5499</v>
      </c>
      <c r="K1315" s="6" t="str">
        <f aca="false">HYPERLINK("https://www.google.com/search?q=Amesbury+Public+Library+Amesbury+MA+library+website","Search")</f>
        <v>Search</v>
      </c>
      <c r="L1315" s="7"/>
      <c r="M1315" s="7"/>
    </row>
    <row r="1316" customFormat="false" ht="15" hidden="false" customHeight="true" outlineLevel="0" collapsed="false">
      <c r="A1316" s="4" t="s">
        <v>5469</v>
      </c>
      <c r="B1316" s="4" t="s">
        <v>5500</v>
      </c>
      <c r="C1316" s="4" t="s">
        <v>4835</v>
      </c>
      <c r="D1316" s="4" t="s">
        <v>1792</v>
      </c>
      <c r="E1316" s="5" t="n">
        <v>18832</v>
      </c>
      <c r="F1316" s="4" t="n">
        <v>1</v>
      </c>
      <c r="G1316" s="4" t="s">
        <v>5501</v>
      </c>
      <c r="H1316" s="4" t="n">
        <v>42.26084</v>
      </c>
      <c r="I1316" s="4" t="n">
        <v>-71.46321</v>
      </c>
      <c r="J1316" s="4" t="s">
        <v>5502</v>
      </c>
      <c r="K1316" s="6" t="str">
        <f aca="false">HYPERLINK("https://www.google.com/search?q=Ashland+Public+Library+Ashland+MA+library+website","Search")</f>
        <v>Search</v>
      </c>
      <c r="L1316" s="7"/>
      <c r="M1316" s="7"/>
    </row>
    <row r="1317" customFormat="false" ht="15" hidden="false" customHeight="true" outlineLevel="0" collapsed="false">
      <c r="A1317" s="4" t="s">
        <v>5469</v>
      </c>
      <c r="B1317" s="4" t="s">
        <v>5503</v>
      </c>
      <c r="C1317" s="4" t="s">
        <v>5504</v>
      </c>
      <c r="D1317" s="4" t="s">
        <v>5505</v>
      </c>
      <c r="E1317" s="5" t="n">
        <v>11945</v>
      </c>
      <c r="F1317" s="4" t="n">
        <v>1</v>
      </c>
      <c r="G1317" s="4" t="s">
        <v>5506</v>
      </c>
      <c r="H1317" s="4" t="n">
        <v>42.59414</v>
      </c>
      <c r="I1317" s="4" t="n">
        <v>-72.22851</v>
      </c>
      <c r="J1317" s="4" t="s">
        <v>5507</v>
      </c>
      <c r="K1317" s="6" t="str">
        <f aca="false">HYPERLINK("https://www.google.com/search?q=Athol+Public+Library+Athol+MA+library+website","Search")</f>
        <v>Search</v>
      </c>
      <c r="L1317" s="7"/>
      <c r="M1317" s="7"/>
    </row>
    <row r="1318" customFormat="false" ht="15" hidden="false" customHeight="true" outlineLevel="0" collapsed="false">
      <c r="A1318" s="4" t="s">
        <v>5469</v>
      </c>
      <c r="B1318" s="4" t="s">
        <v>5508</v>
      </c>
      <c r="C1318" s="4" t="s">
        <v>5509</v>
      </c>
      <c r="D1318" s="4" t="s">
        <v>1845</v>
      </c>
      <c r="E1318" s="5" t="n">
        <v>46461</v>
      </c>
      <c r="F1318" s="4" t="n">
        <v>1</v>
      </c>
      <c r="G1318" s="4" t="s">
        <v>5510</v>
      </c>
      <c r="H1318" s="4" t="n">
        <v>41.9457</v>
      </c>
      <c r="I1318" s="4" t="n">
        <v>-71.28678</v>
      </c>
      <c r="J1318" s="4" t="s">
        <v>5511</v>
      </c>
      <c r="K1318" s="6" t="str">
        <f aca="false">HYPERLINK("https://www.google.com/search?q=Attleboro+Public+Library+Attleboro+MA+library+website","Search")</f>
        <v>Search</v>
      </c>
      <c r="L1318" s="7"/>
      <c r="M1318" s="7"/>
    </row>
    <row r="1319" customFormat="false" ht="15" hidden="false" customHeight="true" outlineLevel="0" collapsed="false">
      <c r="A1319" s="4" t="s">
        <v>5469</v>
      </c>
      <c r="B1319" s="4" t="s">
        <v>5512</v>
      </c>
      <c r="C1319" s="4" t="s">
        <v>82</v>
      </c>
      <c r="D1319" s="4" t="s">
        <v>5505</v>
      </c>
      <c r="E1319" s="5" t="n">
        <v>16889</v>
      </c>
      <c r="F1319" s="4" t="n">
        <v>1</v>
      </c>
      <c r="G1319" s="4" t="s">
        <v>5513</v>
      </c>
      <c r="H1319" s="4" t="n">
        <v>42.20465</v>
      </c>
      <c r="I1319" s="4" t="n">
        <v>-71.83507</v>
      </c>
      <c r="J1319" s="4" t="s">
        <v>5514</v>
      </c>
      <c r="K1319" s="6" t="str">
        <f aca="false">HYPERLINK("https://www.google.com/search?q=Auburn+Free+Public+Library+Auburn+MA+library+website","Search")</f>
        <v>Search</v>
      </c>
      <c r="L1319" s="7"/>
      <c r="M1319" s="7"/>
    </row>
    <row r="1320" customFormat="false" ht="15" hidden="false" customHeight="true" outlineLevel="0" collapsed="false">
      <c r="A1320" s="4" t="s">
        <v>5469</v>
      </c>
      <c r="B1320" s="4" t="s">
        <v>5515</v>
      </c>
      <c r="C1320" s="4" t="s">
        <v>5516</v>
      </c>
      <c r="D1320" s="4" t="s">
        <v>5505</v>
      </c>
      <c r="E1320" s="5" t="n">
        <v>10364</v>
      </c>
      <c r="F1320" s="4" t="n">
        <v>1</v>
      </c>
      <c r="G1320" s="4" t="s">
        <v>5517</v>
      </c>
      <c r="H1320" s="4" t="n">
        <v>42.68256</v>
      </c>
      <c r="I1320" s="4" t="n">
        <v>-72.04922</v>
      </c>
      <c r="J1320" s="4" t="s">
        <v>5518</v>
      </c>
      <c r="K1320" s="6" t="str">
        <f aca="false">HYPERLINK("https://www.google.com/search?q=Beals+Memorial+Library+Winchendon+MA+library+website","Search")</f>
        <v>Search</v>
      </c>
      <c r="L1320" s="7"/>
      <c r="M1320" s="7"/>
    </row>
    <row r="1321" customFormat="false" ht="15" hidden="false" customHeight="true" outlineLevel="0" collapsed="false">
      <c r="A1321" s="4" t="s">
        <v>5469</v>
      </c>
      <c r="B1321" s="4" t="s">
        <v>5519</v>
      </c>
      <c r="C1321" s="4" t="s">
        <v>4269</v>
      </c>
      <c r="D1321" s="4" t="s">
        <v>1792</v>
      </c>
      <c r="E1321" s="5" t="n">
        <v>14383</v>
      </c>
      <c r="F1321" s="4" t="n">
        <v>1</v>
      </c>
      <c r="G1321" s="4" t="s">
        <v>5520</v>
      </c>
      <c r="H1321" s="4" t="n">
        <v>42.49235</v>
      </c>
      <c r="I1321" s="4" t="n">
        <v>-71.28421</v>
      </c>
      <c r="J1321" s="4" t="s">
        <v>5521</v>
      </c>
      <c r="K1321" s="6" t="str">
        <f aca="false">HYPERLINK("https://www.google.com/search?q=Bedford+Free+Public+Library+Bedford+MA+library+website","Search")</f>
        <v>Search</v>
      </c>
      <c r="L1321" s="7"/>
      <c r="M1321" s="7"/>
    </row>
    <row r="1322" customFormat="false" ht="15" hidden="false" customHeight="true" outlineLevel="0" collapsed="false">
      <c r="A1322" s="4" t="s">
        <v>5469</v>
      </c>
      <c r="B1322" s="4" t="s">
        <v>5522</v>
      </c>
      <c r="C1322" s="4" t="s">
        <v>5523</v>
      </c>
      <c r="D1322" s="4" t="s">
        <v>5524</v>
      </c>
      <c r="E1322" s="5" t="n">
        <v>16945</v>
      </c>
      <c r="F1322" s="4" t="n">
        <v>1</v>
      </c>
      <c r="G1322" s="4" t="s">
        <v>5525</v>
      </c>
      <c r="H1322" s="4" t="n">
        <v>42.07567</v>
      </c>
      <c r="I1322" s="4" t="n">
        <v>-71.47025</v>
      </c>
      <c r="J1322" s="4" t="s">
        <v>5526</v>
      </c>
      <c r="K1322" s="6" t="str">
        <f aca="false">HYPERLINK("https://www.google.com/search?q=Bellingham+Public+Library+Bellingham+MA+library+website","Search")</f>
        <v>Search</v>
      </c>
      <c r="L1322" s="7"/>
      <c r="M1322" s="7"/>
    </row>
    <row r="1323" customFormat="false" ht="15" hidden="false" customHeight="true" outlineLevel="0" collapsed="false">
      <c r="A1323" s="4" t="s">
        <v>5469</v>
      </c>
      <c r="B1323" s="4" t="s">
        <v>5527</v>
      </c>
      <c r="C1323" s="4" t="s">
        <v>5528</v>
      </c>
      <c r="D1323" s="4" t="s">
        <v>1792</v>
      </c>
      <c r="E1323" s="5" t="n">
        <v>27295</v>
      </c>
      <c r="F1323" s="4" t="n">
        <v>1</v>
      </c>
      <c r="G1323" s="4" t="s">
        <v>5529</v>
      </c>
      <c r="H1323" s="4" t="n">
        <v>42.39459</v>
      </c>
      <c r="I1323" s="4" t="n">
        <v>-71.17237</v>
      </c>
      <c r="J1323" s="4" t="s">
        <v>5530</v>
      </c>
      <c r="K1323" s="6" t="str">
        <f aca="false">HYPERLINK("https://www.google.com/search?q=Belmont+Public+Library+Belmont+MA+library+website","Search")</f>
        <v>Search</v>
      </c>
      <c r="L1323" s="7"/>
      <c r="M1323" s="7"/>
    </row>
    <row r="1324" customFormat="false" ht="15" hidden="false" customHeight="true" outlineLevel="0" collapsed="false">
      <c r="A1324" s="4" t="s">
        <v>5469</v>
      </c>
      <c r="B1324" s="4" t="s">
        <v>5531</v>
      </c>
      <c r="C1324" s="4" t="s">
        <v>5532</v>
      </c>
      <c r="D1324" s="4" t="s">
        <v>5533</v>
      </c>
      <c r="E1324" s="5" t="n">
        <v>43927</v>
      </c>
      <c r="F1324" s="4" t="n">
        <v>1</v>
      </c>
      <c r="G1324" s="4" t="s">
        <v>5534</v>
      </c>
      <c r="H1324" s="4" t="n">
        <v>42.44773</v>
      </c>
      <c r="I1324" s="4" t="n">
        <v>-73.25152</v>
      </c>
      <c r="J1324" s="4" t="s">
        <v>5535</v>
      </c>
      <c r="K1324" s="6" t="str">
        <f aca="false">HYPERLINK("https://www.google.com/search?q=Berkshire+Athenaeum+Pittsfield+MA+library+website","Search")</f>
        <v>Search</v>
      </c>
      <c r="L1324" s="7"/>
      <c r="M1324" s="7"/>
    </row>
    <row r="1325" customFormat="false" ht="15" hidden="false" customHeight="true" outlineLevel="0" collapsed="false">
      <c r="A1325" s="4" t="s">
        <v>5469</v>
      </c>
      <c r="B1325" s="4" t="s">
        <v>5536</v>
      </c>
      <c r="C1325" s="4" t="s">
        <v>5537</v>
      </c>
      <c r="D1325" s="4" t="s">
        <v>5472</v>
      </c>
      <c r="E1325" s="5" t="n">
        <v>42670</v>
      </c>
      <c r="F1325" s="4" t="n">
        <v>2</v>
      </c>
      <c r="G1325" s="4" t="s">
        <v>5538</v>
      </c>
      <c r="H1325" s="4" t="n">
        <v>42.55089</v>
      </c>
      <c r="I1325" s="4" t="n">
        <v>-70.87671</v>
      </c>
      <c r="J1325" s="4" t="s">
        <v>5539</v>
      </c>
      <c r="K1325" s="6" t="str">
        <f aca="false">HYPERLINK("https://www.google.com/search?q=Beverly+Public+Library+Beverly+MA+library+website","Search")</f>
        <v>Search</v>
      </c>
      <c r="L1325" s="7"/>
      <c r="M1325" s="7"/>
    </row>
    <row r="1326" customFormat="false" ht="15" hidden="false" customHeight="true" outlineLevel="0" collapsed="false">
      <c r="A1326" s="4" t="s">
        <v>5469</v>
      </c>
      <c r="B1326" s="4" t="s">
        <v>5540</v>
      </c>
      <c r="C1326" s="4" t="s">
        <v>1964</v>
      </c>
      <c r="D1326" s="4" t="s">
        <v>5505</v>
      </c>
      <c r="E1326" s="5" t="n">
        <v>15428</v>
      </c>
      <c r="F1326" s="4" t="n">
        <v>1</v>
      </c>
      <c r="G1326" s="4" t="s">
        <v>5541</v>
      </c>
      <c r="H1326" s="4" t="n">
        <v>42.41743</v>
      </c>
      <c r="I1326" s="4" t="n">
        <v>-71.68334</v>
      </c>
      <c r="J1326" s="4" t="s">
        <v>5542</v>
      </c>
      <c r="K1326" s="6" t="str">
        <f aca="false">HYPERLINK("https://www.google.com/search?q=Bigelow+Free+Public+Library+Clinton+MA+library+website","Search")</f>
        <v>Search</v>
      </c>
      <c r="L1326" s="7"/>
      <c r="M1326" s="7"/>
    </row>
    <row r="1327" customFormat="false" ht="15" hidden="false" customHeight="true" outlineLevel="0" collapsed="false">
      <c r="A1327" s="4" t="s">
        <v>5469</v>
      </c>
      <c r="B1327" s="4" t="s">
        <v>5543</v>
      </c>
      <c r="C1327" s="4" t="s">
        <v>5544</v>
      </c>
      <c r="D1327" s="4" t="s">
        <v>1792</v>
      </c>
      <c r="E1327" s="5" t="n">
        <v>42119</v>
      </c>
      <c r="F1327" s="4" t="n">
        <v>1</v>
      </c>
      <c r="G1327" s="4" t="s">
        <v>5545</v>
      </c>
      <c r="H1327" s="4" t="n">
        <v>42.55842</v>
      </c>
      <c r="I1327" s="4" t="n">
        <v>-71.27002</v>
      </c>
      <c r="J1327" s="4" t="s">
        <v>5546</v>
      </c>
      <c r="K1327" s="6" t="str">
        <f aca="false">HYPERLINK("https://www.google.com/search?q=Billerica+Public+Library+Billerica+MA+library+website","Search")</f>
        <v>Search</v>
      </c>
      <c r="L1327" s="7"/>
      <c r="M1327" s="7"/>
    </row>
    <row r="1328" customFormat="false" ht="15" hidden="false" customHeight="true" outlineLevel="0" collapsed="false">
      <c r="A1328" s="4" t="s">
        <v>5469</v>
      </c>
      <c r="B1328" s="4" t="s">
        <v>5547</v>
      </c>
      <c r="C1328" s="4" t="s">
        <v>5548</v>
      </c>
      <c r="D1328" s="4" t="s">
        <v>1845</v>
      </c>
      <c r="E1328" s="5" t="n">
        <v>12502</v>
      </c>
      <c r="F1328" s="4" t="n">
        <v>1</v>
      </c>
      <c r="G1328" s="4" t="s">
        <v>5549</v>
      </c>
      <c r="H1328" s="4" t="n">
        <v>41.84149</v>
      </c>
      <c r="I1328" s="4" t="n">
        <v>-71.24948</v>
      </c>
      <c r="J1328" s="4" t="s">
        <v>5550</v>
      </c>
      <c r="K1328" s="6" t="str">
        <f aca="false">HYPERLINK("https://www.google.com/search?q=Blanding+Free+Public+Library+Rehoboth+MA+library+website","Search")</f>
        <v>Search</v>
      </c>
      <c r="L1328" s="7"/>
      <c r="M1328" s="7"/>
    </row>
    <row r="1329" customFormat="false" ht="15" hidden="false" customHeight="true" outlineLevel="0" collapsed="false">
      <c r="A1329" s="4" t="s">
        <v>5469</v>
      </c>
      <c r="B1329" s="4" t="s">
        <v>5551</v>
      </c>
      <c r="C1329" s="4" t="s">
        <v>5552</v>
      </c>
      <c r="D1329" s="4" t="s">
        <v>5553</v>
      </c>
      <c r="E1329" s="5" t="n">
        <v>675647</v>
      </c>
      <c r="F1329" s="4" t="n">
        <v>26</v>
      </c>
      <c r="G1329" s="4" t="s">
        <v>5554</v>
      </c>
      <c r="H1329" s="4" t="n">
        <v>42.34925</v>
      </c>
      <c r="I1329" s="4" t="n">
        <v>-71.07866</v>
      </c>
      <c r="J1329" s="4" t="s">
        <v>5555</v>
      </c>
      <c r="K1329" s="6" t="str">
        <f aca="false">HYPERLINK("https://www.google.com/search?q=Boston+Public+Library+Boston+MA+library+website","Search")</f>
        <v>Search</v>
      </c>
      <c r="L1329" s="7"/>
      <c r="M1329" s="7"/>
    </row>
    <row r="1330" customFormat="false" ht="15" hidden="false" customHeight="true" outlineLevel="0" collapsed="false">
      <c r="A1330" s="4" t="s">
        <v>5469</v>
      </c>
      <c r="B1330" s="4" t="s">
        <v>5556</v>
      </c>
      <c r="C1330" s="4" t="s">
        <v>5557</v>
      </c>
      <c r="D1330" s="4" t="s">
        <v>5524</v>
      </c>
      <c r="E1330" s="5" t="n">
        <v>18618</v>
      </c>
      <c r="F1330" s="4" t="n">
        <v>1</v>
      </c>
      <c r="G1330" s="4" t="s">
        <v>5558</v>
      </c>
      <c r="H1330" s="4" t="n">
        <v>42.06595</v>
      </c>
      <c r="I1330" s="4" t="n">
        <v>-71.25052</v>
      </c>
      <c r="J1330" s="4" t="s">
        <v>5559</v>
      </c>
      <c r="K1330" s="6" t="str">
        <f aca="false">HYPERLINK("https://www.google.com/search?q=Boyden+Library+Foxborough+MA+library+website","Search")</f>
        <v>Search</v>
      </c>
      <c r="L1330" s="7"/>
      <c r="M1330" s="7"/>
    </row>
    <row r="1331" customFormat="false" ht="15" hidden="false" customHeight="true" outlineLevel="0" collapsed="false">
      <c r="A1331" s="4" t="s">
        <v>5469</v>
      </c>
      <c r="B1331" s="4" t="s">
        <v>5560</v>
      </c>
      <c r="C1331" s="4" t="s">
        <v>5561</v>
      </c>
      <c r="D1331" s="4" t="s">
        <v>5562</v>
      </c>
      <c r="E1331" s="5" t="n">
        <v>10318</v>
      </c>
      <c r="F1331" s="4" t="n">
        <v>1</v>
      </c>
      <c r="G1331" s="4" t="s">
        <v>5563</v>
      </c>
      <c r="H1331" s="4" t="n">
        <v>41.75861</v>
      </c>
      <c r="I1331" s="4" t="n">
        <v>-70.08542</v>
      </c>
      <c r="J1331" s="4" t="s">
        <v>5564</v>
      </c>
      <c r="K1331" s="6" t="str">
        <f aca="false">HYPERLINK("https://www.google.com/search?q=Brewster+Ladies%27+Library+Brewster+MA+library+website","Search")</f>
        <v>Search</v>
      </c>
      <c r="L1331" s="7"/>
      <c r="M1331" s="7"/>
    </row>
    <row r="1332" customFormat="false" ht="15" hidden="false" customHeight="true" outlineLevel="0" collapsed="false">
      <c r="A1332" s="4" t="s">
        <v>5469</v>
      </c>
      <c r="B1332" s="4" t="s">
        <v>5565</v>
      </c>
      <c r="C1332" s="4" t="s">
        <v>5566</v>
      </c>
      <c r="D1332" s="4" t="s">
        <v>3038</v>
      </c>
      <c r="E1332" s="5" t="n">
        <v>28633</v>
      </c>
      <c r="F1332" s="4" t="n">
        <v>1</v>
      </c>
      <c r="G1332" s="4" t="s">
        <v>5567</v>
      </c>
      <c r="H1332" s="4" t="n">
        <v>41.98889</v>
      </c>
      <c r="I1332" s="4" t="n">
        <v>-70.97749</v>
      </c>
      <c r="J1332" s="4" t="s">
        <v>5568</v>
      </c>
      <c r="K1332" s="6" t="str">
        <f aca="false">HYPERLINK("https://www.google.com/search?q=Bridgewater+Public+Library+Bridgewater+MA+library+website","Search")</f>
        <v>Search</v>
      </c>
      <c r="L1332" s="7"/>
      <c r="M1332" s="7"/>
    </row>
    <row r="1333" customFormat="false" ht="15" hidden="false" customHeight="true" outlineLevel="0" collapsed="false">
      <c r="A1333" s="4" t="s">
        <v>5469</v>
      </c>
      <c r="B1333" s="4" t="s">
        <v>5569</v>
      </c>
      <c r="C1333" s="4" t="s">
        <v>5570</v>
      </c>
      <c r="D1333" s="4" t="s">
        <v>3038</v>
      </c>
      <c r="E1333" s="5" t="n">
        <v>105643</v>
      </c>
      <c r="F1333" s="4" t="n">
        <v>3</v>
      </c>
      <c r="G1333" s="4" t="s">
        <v>5571</v>
      </c>
      <c r="H1333" s="4" t="n">
        <v>42.07941</v>
      </c>
      <c r="I1333" s="4" t="n">
        <v>-71.01929</v>
      </c>
      <c r="J1333" s="4" t="s">
        <v>5572</v>
      </c>
      <c r="K1333" s="6" t="str">
        <f aca="false">HYPERLINK("https://www.google.com/search?q=Brockton+Public+Library+Brockton+MA+library+website","Search")</f>
        <v>Search</v>
      </c>
      <c r="L1333" s="7"/>
      <c r="M1333" s="7"/>
    </row>
    <row r="1334" customFormat="false" ht="15" hidden="false" customHeight="true" outlineLevel="0" collapsed="false">
      <c r="A1334" s="4" t="s">
        <v>5469</v>
      </c>
      <c r="B1334" s="4" t="s">
        <v>5573</v>
      </c>
      <c r="C1334" s="4" t="s">
        <v>5574</v>
      </c>
      <c r="D1334" s="4" t="s">
        <v>5524</v>
      </c>
      <c r="E1334" s="5" t="n">
        <v>63191</v>
      </c>
      <c r="F1334" s="4" t="n">
        <v>3</v>
      </c>
      <c r="G1334" s="4" t="s">
        <v>5575</v>
      </c>
      <c r="H1334" s="4" t="n">
        <v>42.33461</v>
      </c>
      <c r="I1334" s="4" t="n">
        <v>-71.12146</v>
      </c>
      <c r="J1334" s="4" t="s">
        <v>5576</v>
      </c>
      <c r="K1334" s="6" t="str">
        <f aca="false">HYPERLINK("https://www.google.com/search?q=Brookline+Public+Library+Brookline+MA+library+website","Search")</f>
        <v>Search</v>
      </c>
      <c r="L1334" s="7"/>
      <c r="M1334" s="7"/>
    </row>
    <row r="1335" customFormat="false" ht="15" hidden="false" customHeight="true" outlineLevel="0" collapsed="false">
      <c r="A1335" s="4" t="s">
        <v>5469</v>
      </c>
      <c r="B1335" s="4" t="s">
        <v>5577</v>
      </c>
      <c r="C1335" s="4" t="s">
        <v>5578</v>
      </c>
      <c r="D1335" s="4" t="s">
        <v>5562</v>
      </c>
      <c r="E1335" s="5" t="n">
        <v>13152</v>
      </c>
      <c r="F1335" s="4" t="n">
        <v>1</v>
      </c>
      <c r="G1335" s="4" t="s">
        <v>5579</v>
      </c>
      <c r="H1335" s="4" t="n">
        <v>41.68613</v>
      </c>
      <c r="I1335" s="4" t="n">
        <v>-70.07239</v>
      </c>
      <c r="J1335" s="4" t="s">
        <v>5580</v>
      </c>
      <c r="K1335" s="6" t="str">
        <f aca="false">HYPERLINK("https://www.google.com/search?q=Brooks+Free+Library+Harwich+MA+library+website","Search")</f>
        <v>Search</v>
      </c>
      <c r="L1335" s="7"/>
      <c r="M1335" s="7"/>
    </row>
    <row r="1336" customFormat="false" ht="15" hidden="false" customHeight="true" outlineLevel="0" collapsed="false">
      <c r="A1336" s="4" t="s">
        <v>5469</v>
      </c>
      <c r="B1336" s="4" t="s">
        <v>2902</v>
      </c>
      <c r="C1336" s="4" t="s">
        <v>2903</v>
      </c>
      <c r="D1336" s="4" t="s">
        <v>1792</v>
      </c>
      <c r="E1336" s="5" t="n">
        <v>26377</v>
      </c>
      <c r="F1336" s="4" t="n">
        <v>1</v>
      </c>
      <c r="G1336" s="4" t="s">
        <v>5581</v>
      </c>
      <c r="H1336" s="4" t="n">
        <v>42.50599</v>
      </c>
      <c r="I1336" s="4" t="n">
        <v>-71.1923</v>
      </c>
      <c r="J1336" s="4" t="s">
        <v>5582</v>
      </c>
      <c r="K1336" s="6" t="str">
        <f aca="false">HYPERLINK("https://www.google.com/search?q=Burlington+Public+Library+Burlington+MA+library+website","Search")</f>
        <v>Search</v>
      </c>
      <c r="L1336" s="7"/>
      <c r="M1336" s="7"/>
    </row>
    <row r="1337" customFormat="false" ht="15" hidden="false" customHeight="true" outlineLevel="0" collapsed="false">
      <c r="A1337" s="4" t="s">
        <v>5469</v>
      </c>
      <c r="B1337" s="4" t="s">
        <v>5583</v>
      </c>
      <c r="C1337" s="4" t="s">
        <v>5584</v>
      </c>
      <c r="D1337" s="4" t="s">
        <v>1792</v>
      </c>
      <c r="E1337" s="5" t="n">
        <v>118403</v>
      </c>
      <c r="F1337" s="4" t="n">
        <v>7</v>
      </c>
      <c r="G1337" s="4" t="s">
        <v>5585</v>
      </c>
      <c r="H1337" s="4" t="n">
        <v>42.37406</v>
      </c>
      <c r="I1337" s="4" t="n">
        <v>-71.11086</v>
      </c>
      <c r="J1337" s="4" t="s">
        <v>5586</v>
      </c>
      <c r="K1337" s="6" t="str">
        <f aca="false">HYPERLINK("https://www.google.com/search?q=Cambridge+Public+Library+Cambridge+MA+library+website","Search")</f>
        <v>Search</v>
      </c>
      <c r="L1337" s="7"/>
      <c r="M1337" s="7"/>
    </row>
    <row r="1338" customFormat="false" ht="15" hidden="false" customHeight="true" outlineLevel="0" collapsed="false">
      <c r="A1338" s="4" t="s">
        <v>5469</v>
      </c>
      <c r="B1338" s="4" t="s">
        <v>1852</v>
      </c>
      <c r="C1338" s="4" t="s">
        <v>1853</v>
      </c>
      <c r="D1338" s="4" t="s">
        <v>5524</v>
      </c>
      <c r="E1338" s="5" t="n">
        <v>24370</v>
      </c>
      <c r="F1338" s="4" t="n">
        <v>1</v>
      </c>
      <c r="G1338" s="4" t="s">
        <v>5587</v>
      </c>
      <c r="H1338" s="4" t="n">
        <v>42.15881</v>
      </c>
      <c r="I1338" s="4" t="n">
        <v>-71.14565</v>
      </c>
      <c r="J1338" s="4" t="s">
        <v>5588</v>
      </c>
      <c r="K1338" s="6" t="str">
        <f aca="false">HYPERLINK("https://www.google.com/search?q=Canton+Public+Library+Canton+MA+library+website","Search")</f>
        <v>Search</v>
      </c>
      <c r="L1338" s="7"/>
      <c r="M1338" s="7"/>
    </row>
    <row r="1339" customFormat="false" ht="15" hidden="false" customHeight="true" outlineLevel="0" collapsed="false">
      <c r="A1339" s="4" t="s">
        <v>5469</v>
      </c>
      <c r="B1339" s="4" t="s">
        <v>5589</v>
      </c>
      <c r="C1339" s="4" t="s">
        <v>5590</v>
      </c>
      <c r="D1339" s="4" t="s">
        <v>3038</v>
      </c>
      <c r="E1339" s="5" t="n">
        <v>11645</v>
      </c>
      <c r="F1339" s="4" t="n">
        <v>1</v>
      </c>
      <c r="G1339" s="4" t="s">
        <v>5591</v>
      </c>
      <c r="H1339" s="4" t="n">
        <v>41.88992</v>
      </c>
      <c r="I1339" s="4" t="n">
        <v>-70.76896</v>
      </c>
      <c r="J1339" s="4" t="s">
        <v>5592</v>
      </c>
      <c r="K1339" s="6" t="str">
        <f aca="false">HYPERLINK("https://www.google.com/search?q=Carver+Public+Library+Carver+MA+library+website","Search")</f>
        <v>Search</v>
      </c>
      <c r="L1339" s="7"/>
      <c r="M1339" s="7"/>
    </row>
    <row r="1340" customFormat="false" ht="15" hidden="false" customHeight="true" outlineLevel="0" collapsed="false">
      <c r="A1340" s="4" t="s">
        <v>5469</v>
      </c>
      <c r="B1340" s="4" t="s">
        <v>5593</v>
      </c>
      <c r="C1340" s="4" t="s">
        <v>5037</v>
      </c>
      <c r="D1340" s="4" t="s">
        <v>1792</v>
      </c>
      <c r="E1340" s="5" t="n">
        <v>34454</v>
      </c>
      <c r="F1340" s="4" t="n">
        <v>1</v>
      </c>
      <c r="G1340" s="4" t="s">
        <v>5594</v>
      </c>
      <c r="H1340" s="4" t="n">
        <v>42.44814</v>
      </c>
      <c r="I1340" s="4" t="n">
        <v>-71.22971</v>
      </c>
      <c r="J1340" s="4" t="s">
        <v>5595</v>
      </c>
      <c r="K1340" s="6" t="str">
        <f aca="false">HYPERLINK("https://www.google.com/search?q=Cary+Memorial+Library+Lexington+MA+library+website","Search")</f>
        <v>Search</v>
      </c>
      <c r="L1340" s="7"/>
      <c r="M1340" s="7"/>
    </row>
    <row r="1341" customFormat="false" ht="15" hidden="false" customHeight="true" outlineLevel="0" collapsed="false">
      <c r="A1341" s="4" t="s">
        <v>5469</v>
      </c>
      <c r="B1341" s="4" t="s">
        <v>5596</v>
      </c>
      <c r="C1341" s="4" t="s">
        <v>5597</v>
      </c>
      <c r="D1341" s="4" t="s">
        <v>5505</v>
      </c>
      <c r="E1341" s="5" t="n">
        <v>13315</v>
      </c>
      <c r="F1341" s="4" t="n">
        <v>1</v>
      </c>
      <c r="G1341" s="4" t="s">
        <v>5598</v>
      </c>
      <c r="H1341" s="4" t="n">
        <v>42.13397</v>
      </c>
      <c r="I1341" s="4" t="n">
        <v>-71.97041</v>
      </c>
      <c r="J1341" s="4" t="s">
        <v>5599</v>
      </c>
      <c r="K1341" s="6" t="str">
        <f aca="false">HYPERLINK("https://www.google.com/search?q=Charlton+Public+Library+Charlton+MA+library+website","Search")</f>
        <v>Search</v>
      </c>
      <c r="L1341" s="7"/>
      <c r="M1341" s="7"/>
    </row>
    <row r="1342" customFormat="false" ht="15" hidden="false" customHeight="true" outlineLevel="0" collapsed="false">
      <c r="A1342" s="4" t="s">
        <v>5469</v>
      </c>
      <c r="B1342" s="4" t="s">
        <v>5600</v>
      </c>
      <c r="C1342" s="4" t="s">
        <v>5601</v>
      </c>
      <c r="D1342" s="4" t="s">
        <v>1792</v>
      </c>
      <c r="E1342" s="5" t="n">
        <v>36392</v>
      </c>
      <c r="F1342" s="4" t="n">
        <v>2</v>
      </c>
      <c r="G1342" s="4" t="s">
        <v>5602</v>
      </c>
      <c r="H1342" s="4" t="n">
        <v>42.59391</v>
      </c>
      <c r="I1342" s="4" t="n">
        <v>-71.35192</v>
      </c>
      <c r="J1342" s="4" t="s">
        <v>5603</v>
      </c>
      <c r="K1342" s="6" t="str">
        <f aca="false">HYPERLINK("https://www.google.com/search?q=Chelmsford+Public+Library+Chelmsford+MA+library+website","Search")</f>
        <v>Search</v>
      </c>
      <c r="L1342" s="7"/>
      <c r="M1342" s="7"/>
    </row>
    <row r="1343" customFormat="false" ht="15" hidden="false" customHeight="true" outlineLevel="0" collapsed="false">
      <c r="A1343" s="4" t="s">
        <v>5469</v>
      </c>
      <c r="B1343" s="4" t="s">
        <v>128</v>
      </c>
      <c r="C1343" s="4" t="s">
        <v>129</v>
      </c>
      <c r="D1343" s="4" t="s">
        <v>5553</v>
      </c>
      <c r="E1343" s="5" t="n">
        <v>40787</v>
      </c>
      <c r="F1343" s="4" t="n">
        <v>1</v>
      </c>
      <c r="G1343" s="4" t="s">
        <v>5604</v>
      </c>
      <c r="H1343" s="4" t="n">
        <v>42.39359</v>
      </c>
      <c r="I1343" s="4" t="n">
        <v>-71.03202</v>
      </c>
      <c r="J1343" s="4" t="s">
        <v>5605</v>
      </c>
      <c r="K1343" s="6" t="str">
        <f aca="false">HYPERLINK("https://www.google.com/search?q=Chelsea+Public+Library+Chelsea+MA+library+website","Search")</f>
        <v>Search</v>
      </c>
      <c r="L1343" s="7"/>
      <c r="M1343" s="7"/>
    </row>
    <row r="1344" customFormat="false" ht="15" hidden="false" customHeight="true" outlineLevel="0" collapsed="false">
      <c r="A1344" s="4" t="s">
        <v>5469</v>
      </c>
      <c r="B1344" s="4" t="s">
        <v>5606</v>
      </c>
      <c r="C1344" s="4" t="s">
        <v>5607</v>
      </c>
      <c r="D1344" s="4" t="s">
        <v>5489</v>
      </c>
      <c r="E1344" s="5" t="n">
        <v>55560</v>
      </c>
      <c r="F1344" s="4" t="n">
        <v>2</v>
      </c>
      <c r="G1344" s="4" t="s">
        <v>5608</v>
      </c>
      <c r="H1344" s="4" t="n">
        <v>42.14841</v>
      </c>
      <c r="I1344" s="4" t="n">
        <v>-72.59951</v>
      </c>
      <c r="J1344" s="4" t="s">
        <v>5609</v>
      </c>
      <c r="K1344" s="6" t="str">
        <f aca="false">HYPERLINK("https://www.google.com/search?q=Chicopee+Public+Library+Chicopee+MA+library+website","Search")</f>
        <v>Search</v>
      </c>
      <c r="L1344" s="7"/>
      <c r="M1344" s="7"/>
    </row>
    <row r="1345" customFormat="false" ht="15" hidden="false" customHeight="true" outlineLevel="0" collapsed="false">
      <c r="A1345" s="4" t="s">
        <v>5469</v>
      </c>
      <c r="B1345" s="4" t="s">
        <v>5610</v>
      </c>
      <c r="C1345" s="4" t="s">
        <v>5611</v>
      </c>
      <c r="D1345" s="4" t="s">
        <v>3538</v>
      </c>
      <c r="E1345" s="5" t="n">
        <v>15350</v>
      </c>
      <c r="F1345" s="4" t="n">
        <v>1</v>
      </c>
      <c r="G1345" s="4" t="s">
        <v>5612</v>
      </c>
      <c r="H1345" s="4" t="n">
        <v>42.27621</v>
      </c>
      <c r="I1345" s="4" t="n">
        <v>-72.39984</v>
      </c>
      <c r="J1345" s="4" t="s">
        <v>5613</v>
      </c>
      <c r="K1345" s="6" t="str">
        <f aca="false">HYPERLINK("https://www.google.com/search?q=Clapp+Memorial+Library+Belchertown+MA+library+website","Search")</f>
        <v>Search</v>
      </c>
      <c r="L1345" s="7"/>
      <c r="M1345" s="7"/>
    </row>
    <row r="1346" customFormat="false" ht="15" hidden="false" customHeight="true" outlineLevel="0" collapsed="false">
      <c r="A1346" s="4" t="s">
        <v>5469</v>
      </c>
      <c r="B1346" s="4" t="s">
        <v>5614</v>
      </c>
      <c r="C1346" s="4" t="s">
        <v>5615</v>
      </c>
      <c r="D1346" s="4" t="s">
        <v>1792</v>
      </c>
      <c r="E1346" s="5" t="n">
        <v>18491</v>
      </c>
      <c r="F1346" s="4" t="n">
        <v>2</v>
      </c>
      <c r="G1346" s="4" t="s">
        <v>5616</v>
      </c>
      <c r="H1346" s="4" t="n">
        <v>42.45884</v>
      </c>
      <c r="I1346" s="4" t="n">
        <v>-71.35349</v>
      </c>
      <c r="J1346" s="4" t="s">
        <v>5617</v>
      </c>
      <c r="K1346" s="6" t="str">
        <f aca="false">HYPERLINK("https://www.google.com/search?q=Concord+Free+Public+Library+Concord+MA+library+website","Search")</f>
        <v>Search</v>
      </c>
      <c r="L1346" s="7"/>
      <c r="M1346" s="7"/>
    </row>
    <row r="1347" customFormat="false" ht="15" hidden="false" customHeight="true" outlineLevel="0" collapsed="false">
      <c r="A1347" s="4" t="s">
        <v>5469</v>
      </c>
      <c r="B1347" s="4" t="s">
        <v>5618</v>
      </c>
      <c r="C1347" s="4" t="s">
        <v>5619</v>
      </c>
      <c r="D1347" s="4" t="s">
        <v>1845</v>
      </c>
      <c r="E1347" s="5" t="n">
        <v>33783</v>
      </c>
      <c r="F1347" s="4" t="n">
        <v>2</v>
      </c>
      <c r="G1347" s="4" t="s">
        <v>5620</v>
      </c>
      <c r="H1347" s="4" t="n">
        <v>41.59917</v>
      </c>
      <c r="I1347" s="4" t="n">
        <v>-70.94124</v>
      </c>
      <c r="J1347" s="4" t="s">
        <v>5621</v>
      </c>
      <c r="K1347" s="6" t="str">
        <f aca="false">HYPERLINK("https://www.google.com/search?q=Dartmouth+Public+Libraries+Dartmouth+MA+library+website","Search")</f>
        <v>Search</v>
      </c>
      <c r="L1347" s="7"/>
      <c r="M1347" s="7"/>
    </row>
    <row r="1348" customFormat="false" ht="15" hidden="false" customHeight="true" outlineLevel="0" collapsed="false">
      <c r="A1348" s="4" t="s">
        <v>5469</v>
      </c>
      <c r="B1348" s="4" t="s">
        <v>5622</v>
      </c>
      <c r="C1348" s="4" t="s">
        <v>5623</v>
      </c>
      <c r="D1348" s="4" t="s">
        <v>5524</v>
      </c>
      <c r="E1348" s="5" t="n">
        <v>25364</v>
      </c>
      <c r="F1348" s="4" t="n">
        <v>2</v>
      </c>
      <c r="G1348" s="4" t="s">
        <v>5624</v>
      </c>
      <c r="H1348" s="4" t="n">
        <v>42.24784</v>
      </c>
      <c r="I1348" s="4" t="n">
        <v>-71.17613</v>
      </c>
      <c r="J1348" s="4" t="s">
        <v>5625</v>
      </c>
      <c r="K1348" s="6" t="str">
        <f aca="false">HYPERLINK("https://www.google.com/search?q=Dedham+Public+Library+Dedham+MA+library+website","Search")</f>
        <v>Search</v>
      </c>
      <c r="L1348" s="7"/>
      <c r="M1348" s="7"/>
    </row>
    <row r="1349" customFormat="false" ht="15" hidden="false" customHeight="true" outlineLevel="0" collapsed="false">
      <c r="A1349" s="4" t="s">
        <v>5469</v>
      </c>
      <c r="B1349" s="4" t="s">
        <v>5626</v>
      </c>
      <c r="C1349" s="4" t="s">
        <v>5627</v>
      </c>
      <c r="D1349" s="4" t="s">
        <v>3038</v>
      </c>
      <c r="E1349" s="5" t="n">
        <v>16090</v>
      </c>
      <c r="F1349" s="4" t="n">
        <v>1</v>
      </c>
      <c r="G1349" s="4" t="s">
        <v>5628</v>
      </c>
      <c r="H1349" s="4" t="n">
        <v>42.04678</v>
      </c>
      <c r="I1349" s="4" t="n">
        <v>-70.683</v>
      </c>
      <c r="J1349" s="4" t="s">
        <v>5629</v>
      </c>
      <c r="K1349" s="6" t="str">
        <f aca="false">HYPERLINK("https://www.google.com/search?q=Duxbury+Free+Library+Duxbury+MA+library+website","Search")</f>
        <v>Search</v>
      </c>
      <c r="L1349" s="7"/>
      <c r="M1349" s="7"/>
    </row>
    <row r="1350" customFormat="false" ht="15" hidden="false" customHeight="true" outlineLevel="0" collapsed="false">
      <c r="A1350" s="4" t="s">
        <v>5469</v>
      </c>
      <c r="B1350" s="4" t="s">
        <v>5630</v>
      </c>
      <c r="C1350" s="4" t="s">
        <v>5631</v>
      </c>
      <c r="D1350" s="4" t="s">
        <v>3038</v>
      </c>
      <c r="E1350" s="5" t="n">
        <v>14440</v>
      </c>
      <c r="F1350" s="4" t="n">
        <v>1</v>
      </c>
      <c r="G1350" s="4" t="s">
        <v>5632</v>
      </c>
      <c r="H1350" s="4" t="n">
        <v>42.03375</v>
      </c>
      <c r="I1350" s="4" t="n">
        <v>-70.95903</v>
      </c>
      <c r="J1350" s="4" t="s">
        <v>5633</v>
      </c>
      <c r="K1350" s="6" t="str">
        <f aca="false">HYPERLINK("https://www.google.com/search?q=East+Bridgewater+Public+Library+East+Bridgewater+MA+library+website","Search")</f>
        <v>Search</v>
      </c>
      <c r="L1350" s="7"/>
      <c r="M1350" s="7"/>
    </row>
    <row r="1351" customFormat="false" ht="15" hidden="false" customHeight="true" outlineLevel="0" collapsed="false">
      <c r="A1351" s="4" t="s">
        <v>5469</v>
      </c>
      <c r="B1351" s="4" t="s">
        <v>5634</v>
      </c>
      <c r="C1351" s="4" t="s">
        <v>5635</v>
      </c>
      <c r="D1351" s="4" t="s">
        <v>5489</v>
      </c>
      <c r="E1351" s="5" t="n">
        <v>16430</v>
      </c>
      <c r="F1351" s="4" t="n">
        <v>1</v>
      </c>
      <c r="G1351" s="4" t="s">
        <v>5636</v>
      </c>
      <c r="H1351" s="4" t="n">
        <v>42.06486</v>
      </c>
      <c r="I1351" s="4" t="n">
        <v>-72.51406</v>
      </c>
      <c r="J1351" s="4" t="s">
        <v>5637</v>
      </c>
      <c r="K1351" s="6" t="str">
        <f aca="false">HYPERLINK("https://www.google.com/search?q=East+Longmeadow+Public+Library+East+Longmeadow+MA+library+website","Search")</f>
        <v>Search</v>
      </c>
      <c r="L1351" s="7"/>
      <c r="M1351" s="7"/>
    </row>
    <row r="1352" customFormat="false" ht="15" hidden="false" customHeight="true" outlineLevel="0" collapsed="false">
      <c r="A1352" s="4" t="s">
        <v>5469</v>
      </c>
      <c r="B1352" s="4" t="s">
        <v>5638</v>
      </c>
      <c r="C1352" s="4" t="s">
        <v>5639</v>
      </c>
      <c r="D1352" s="4" t="s">
        <v>3538</v>
      </c>
      <c r="E1352" s="5" t="n">
        <v>16211</v>
      </c>
      <c r="F1352" s="4" t="n">
        <v>1</v>
      </c>
      <c r="G1352" s="4" t="s">
        <v>5640</v>
      </c>
      <c r="H1352" s="4" t="n">
        <v>42.26838</v>
      </c>
      <c r="I1352" s="4" t="n">
        <v>-72.67442</v>
      </c>
      <c r="J1352" s="4" t="s">
        <v>5641</v>
      </c>
      <c r="K1352" s="6" t="str">
        <f aca="false">HYPERLINK("https://www.google.com/search?q=Emily+Williston+Memorial+Library+Easthampton+MA+library+website","Search")</f>
        <v>Search</v>
      </c>
      <c r="L1352" s="7"/>
      <c r="M1352" s="7"/>
    </row>
    <row r="1353" customFormat="false" ht="15" hidden="false" customHeight="true" outlineLevel="0" collapsed="false">
      <c r="A1353" s="4" t="s">
        <v>5469</v>
      </c>
      <c r="B1353" s="4" t="s">
        <v>5642</v>
      </c>
      <c r="C1353" s="4" t="s">
        <v>5643</v>
      </c>
      <c r="D1353" s="4" t="s">
        <v>1792</v>
      </c>
      <c r="E1353" s="5" t="n">
        <v>49075</v>
      </c>
      <c r="F1353" s="4" t="n">
        <v>2</v>
      </c>
      <c r="G1353" s="4" t="s">
        <v>5644</v>
      </c>
      <c r="H1353" s="4" t="n">
        <v>42.40602</v>
      </c>
      <c r="I1353" s="4" t="n">
        <v>-71.05682</v>
      </c>
      <c r="J1353" s="4" t="s">
        <v>5645</v>
      </c>
      <c r="K1353" s="6" t="str">
        <f aca="false">HYPERLINK("https://www.google.com/search?q=Everett+Public+Libraries+Everett+MA+library+website","Search")</f>
        <v>Search</v>
      </c>
      <c r="L1353" s="7"/>
      <c r="M1353" s="7"/>
    </row>
    <row r="1354" customFormat="false" ht="15" hidden="false" customHeight="true" outlineLevel="0" collapsed="false">
      <c r="A1354" s="4" t="s">
        <v>5469</v>
      </c>
      <c r="B1354" s="4" t="s">
        <v>5646</v>
      </c>
      <c r="C1354" s="4" t="s">
        <v>5647</v>
      </c>
      <c r="D1354" s="4" t="s">
        <v>1845</v>
      </c>
      <c r="E1354" s="5" t="n">
        <v>94000</v>
      </c>
      <c r="F1354" s="4" t="n">
        <v>1</v>
      </c>
      <c r="G1354" s="4" t="s">
        <v>5648</v>
      </c>
      <c r="H1354" s="4" t="n">
        <v>41.70346</v>
      </c>
      <c r="I1354" s="4" t="n">
        <v>-71.15546</v>
      </c>
      <c r="J1354" s="4" t="s">
        <v>5649</v>
      </c>
      <c r="K1354" s="6" t="str">
        <f aca="false">HYPERLINK("https://www.google.com/search?q=Fall+River+Public+Library+Fall+River+MA+library+website","Search")</f>
        <v>Search</v>
      </c>
      <c r="L1354" s="7"/>
      <c r="M1354" s="7"/>
    </row>
    <row r="1355" customFormat="false" ht="15" hidden="false" customHeight="true" outlineLevel="0" collapsed="false">
      <c r="A1355" s="4" t="s">
        <v>5469</v>
      </c>
      <c r="B1355" s="4" t="s">
        <v>5650</v>
      </c>
      <c r="C1355" s="4" t="s">
        <v>5136</v>
      </c>
      <c r="D1355" s="4" t="s">
        <v>5562</v>
      </c>
      <c r="E1355" s="5" t="n">
        <v>31887</v>
      </c>
      <c r="F1355" s="4" t="n">
        <v>3</v>
      </c>
      <c r="G1355" s="4" t="s">
        <v>5651</v>
      </c>
      <c r="H1355" s="4" t="n">
        <v>41.5529</v>
      </c>
      <c r="I1355" s="4" t="n">
        <v>-70.61409</v>
      </c>
      <c r="J1355" s="4" t="s">
        <v>5652</v>
      </c>
      <c r="K1355" s="6" t="str">
        <f aca="false">HYPERLINK("https://www.google.com/search?q=Falmouth+Public+Library+Falmouth+MA+library+website","Search")</f>
        <v>Search</v>
      </c>
      <c r="L1355" s="7"/>
      <c r="M1355" s="7"/>
    </row>
    <row r="1356" customFormat="false" ht="15" hidden="false" customHeight="true" outlineLevel="0" collapsed="false">
      <c r="A1356" s="4" t="s">
        <v>5469</v>
      </c>
      <c r="B1356" s="4" t="s">
        <v>5653</v>
      </c>
      <c r="C1356" s="4" t="s">
        <v>5654</v>
      </c>
      <c r="D1356" s="4" t="s">
        <v>5524</v>
      </c>
      <c r="E1356" s="5" t="n">
        <v>12178</v>
      </c>
      <c r="F1356" s="4" t="n">
        <v>1</v>
      </c>
      <c r="G1356" s="4" t="s">
        <v>5655</v>
      </c>
      <c r="H1356" s="4" t="n">
        <v>42.06084</v>
      </c>
      <c r="I1356" s="4" t="n">
        <v>-71.32979</v>
      </c>
      <c r="J1356" s="4" t="s">
        <v>5656</v>
      </c>
      <c r="K1356" s="6" t="str">
        <f aca="false">HYPERLINK("https://www.google.com/search?q=Fiske+Public+Library+Wrentham+MA+library+website","Search")</f>
        <v>Search</v>
      </c>
      <c r="L1356" s="7"/>
      <c r="M1356" s="7"/>
    </row>
    <row r="1357" customFormat="false" ht="15" hidden="false" customHeight="true" outlineLevel="0" collapsed="false">
      <c r="A1357" s="4" t="s">
        <v>5469</v>
      </c>
      <c r="B1357" s="4" t="s">
        <v>5657</v>
      </c>
      <c r="C1357" s="4" t="s">
        <v>5658</v>
      </c>
      <c r="D1357" s="4" t="s">
        <v>5505</v>
      </c>
      <c r="E1357" s="5" t="n">
        <v>41946</v>
      </c>
      <c r="F1357" s="4" t="n">
        <v>1</v>
      </c>
      <c r="G1357" s="4" t="s">
        <v>5659</v>
      </c>
      <c r="H1357" s="4" t="n">
        <v>42.58325</v>
      </c>
      <c r="I1357" s="4" t="n">
        <v>-71.80178</v>
      </c>
      <c r="J1357" s="4" t="s">
        <v>5660</v>
      </c>
      <c r="K1357" s="6" t="str">
        <f aca="false">HYPERLINK("https://www.google.com/search?q=Fitchburg+Public+Library+Fitchburg+MA+library+website","Search")</f>
        <v>Search</v>
      </c>
      <c r="L1357" s="7"/>
      <c r="M1357" s="7"/>
    </row>
    <row r="1358" customFormat="false" ht="15" hidden="false" customHeight="true" outlineLevel="0" collapsed="false">
      <c r="A1358" s="4" t="s">
        <v>5469</v>
      </c>
      <c r="B1358" s="4" t="s">
        <v>5661</v>
      </c>
      <c r="C1358" s="4" t="s">
        <v>5662</v>
      </c>
      <c r="D1358" s="4" t="s">
        <v>1792</v>
      </c>
      <c r="E1358" s="5" t="n">
        <v>15554</v>
      </c>
      <c r="F1358" s="4" t="n">
        <v>1</v>
      </c>
      <c r="G1358" s="4" t="s">
        <v>5663</v>
      </c>
      <c r="H1358" s="4" t="n">
        <v>42.5747</v>
      </c>
      <c r="I1358" s="4" t="n">
        <v>-71.07629</v>
      </c>
      <c r="J1358" s="4" t="s">
        <v>5664</v>
      </c>
      <c r="K1358" s="6" t="str">
        <f aca="false">HYPERLINK("https://www.google.com/search?q=Flint+Memorial+Library+North+Reading+MA+library+website","Search")</f>
        <v>Search</v>
      </c>
      <c r="L1358" s="7"/>
      <c r="M1358" s="7"/>
    </row>
    <row r="1359" customFormat="false" ht="15" hidden="false" customHeight="true" outlineLevel="0" collapsed="false">
      <c r="A1359" s="4" t="s">
        <v>5469</v>
      </c>
      <c r="B1359" s="4" t="s">
        <v>5665</v>
      </c>
      <c r="C1359" s="4" t="s">
        <v>5666</v>
      </c>
      <c r="D1359" s="4" t="s">
        <v>3538</v>
      </c>
      <c r="E1359" s="5" t="n">
        <v>23658</v>
      </c>
      <c r="F1359" s="4" t="n">
        <v>1</v>
      </c>
      <c r="G1359" s="4" t="s">
        <v>5667</v>
      </c>
      <c r="H1359" s="4" t="n">
        <v>42.31681</v>
      </c>
      <c r="I1359" s="4" t="n">
        <v>-72.63569</v>
      </c>
      <c r="J1359" s="4" t="s">
        <v>5668</v>
      </c>
      <c r="K1359" s="6" t="str">
        <f aca="false">HYPERLINK("https://www.google.com/search?q=Forbes+Library+Northampton+MA+library+website","Search")</f>
        <v>Search</v>
      </c>
      <c r="L1359" s="7"/>
      <c r="M1359" s="7"/>
    </row>
    <row r="1360" customFormat="false" ht="15" hidden="false" customHeight="true" outlineLevel="0" collapsed="false">
      <c r="A1360" s="4" t="s">
        <v>5469</v>
      </c>
      <c r="B1360" s="4" t="s">
        <v>5669</v>
      </c>
      <c r="C1360" s="4" t="s">
        <v>5670</v>
      </c>
      <c r="D1360" s="4" t="s">
        <v>1792</v>
      </c>
      <c r="E1360" s="5" t="n">
        <v>72362</v>
      </c>
      <c r="F1360" s="4" t="n">
        <v>2</v>
      </c>
      <c r="G1360" s="4" t="s">
        <v>5671</v>
      </c>
      <c r="H1360" s="4" t="n">
        <v>42.28206</v>
      </c>
      <c r="I1360" s="4" t="n">
        <v>-71.41675</v>
      </c>
      <c r="J1360" s="4" t="s">
        <v>5672</v>
      </c>
      <c r="K1360" s="6" t="str">
        <f aca="false">HYPERLINK("https://www.google.com/search?q=Framingham+Public+Library+Framingham+MA+library+website","Search")</f>
        <v>Search</v>
      </c>
      <c r="L1360" s="7"/>
      <c r="M1360" s="7"/>
    </row>
    <row r="1361" customFormat="false" ht="15" hidden="false" customHeight="true" outlineLevel="0" collapsed="false">
      <c r="A1361" s="4" t="s">
        <v>5469</v>
      </c>
      <c r="B1361" s="4" t="s">
        <v>5673</v>
      </c>
      <c r="C1361" s="4" t="s">
        <v>384</v>
      </c>
      <c r="D1361" s="4" t="s">
        <v>5524</v>
      </c>
      <c r="E1361" s="5" t="n">
        <v>33261</v>
      </c>
      <c r="F1361" s="4" t="n">
        <v>1</v>
      </c>
      <c r="G1361" s="4" t="s">
        <v>5674</v>
      </c>
      <c r="H1361" s="4" t="n">
        <v>42.08539</v>
      </c>
      <c r="I1361" s="4" t="n">
        <v>-71.40004</v>
      </c>
      <c r="J1361" s="4" t="s">
        <v>5675</v>
      </c>
      <c r="K1361" s="6" t="str">
        <f aca="false">HYPERLINK("https://www.google.com/search?q=Franklin+Public+Library+Franklin+MA+library+website","Search")</f>
        <v>Search</v>
      </c>
      <c r="L1361" s="7"/>
      <c r="M1361" s="7"/>
    </row>
    <row r="1362" customFormat="false" ht="15" hidden="false" customHeight="true" outlineLevel="0" collapsed="false">
      <c r="A1362" s="4" t="s">
        <v>5469</v>
      </c>
      <c r="B1362" s="4" t="s">
        <v>5676</v>
      </c>
      <c r="C1362" s="4" t="s">
        <v>5677</v>
      </c>
      <c r="D1362" s="4" t="s">
        <v>5505</v>
      </c>
      <c r="E1362" s="5" t="n">
        <v>19905</v>
      </c>
      <c r="F1362" s="4" t="n">
        <v>1</v>
      </c>
      <c r="G1362" s="4" t="s">
        <v>5678</v>
      </c>
      <c r="H1362" s="4" t="n">
        <v>42.35152</v>
      </c>
      <c r="I1362" s="4" t="n">
        <v>-71.86126</v>
      </c>
      <c r="J1362" s="4" t="s">
        <v>5679</v>
      </c>
      <c r="K1362" s="6" t="str">
        <f aca="false">HYPERLINK("https://www.google.com/search?q=Gale+Free+Library+Holden+MA+library+website","Search")</f>
        <v>Search</v>
      </c>
      <c r="L1362" s="7"/>
      <c r="M1362" s="7"/>
    </row>
    <row r="1363" customFormat="false" ht="15" hidden="false" customHeight="true" outlineLevel="0" collapsed="false">
      <c r="A1363" s="4" t="s">
        <v>5469</v>
      </c>
      <c r="B1363" s="4" t="s">
        <v>5680</v>
      </c>
      <c r="C1363" s="4" t="s">
        <v>2982</v>
      </c>
      <c r="D1363" s="4" t="s">
        <v>5505</v>
      </c>
      <c r="E1363" s="5" t="n">
        <v>17776</v>
      </c>
      <c r="F1363" s="4" t="n">
        <v>1</v>
      </c>
      <c r="G1363" s="4" t="s">
        <v>5681</v>
      </c>
      <c r="H1363" s="4" t="n">
        <v>42.0498</v>
      </c>
      <c r="I1363" s="4" t="n">
        <v>-71.87956</v>
      </c>
      <c r="J1363" s="4" t="s">
        <v>5682</v>
      </c>
      <c r="K1363" s="6" t="str">
        <f aca="false">HYPERLINK("https://www.google.com/search?q=Gladys+E.+Kelly+Public+Library+Webster+MA+library+website","Search")</f>
        <v>Search</v>
      </c>
      <c r="L1363" s="7"/>
      <c r="M1363" s="7"/>
    </row>
    <row r="1364" customFormat="false" ht="15" hidden="false" customHeight="true" outlineLevel="0" collapsed="false">
      <c r="A1364" s="4" t="s">
        <v>5469</v>
      </c>
      <c r="B1364" s="4" t="s">
        <v>5683</v>
      </c>
      <c r="C1364" s="4" t="s">
        <v>5684</v>
      </c>
      <c r="D1364" s="4" t="s">
        <v>5472</v>
      </c>
      <c r="E1364" s="5" t="n">
        <v>29729</v>
      </c>
      <c r="F1364" s="4" t="n">
        <v>1</v>
      </c>
      <c r="G1364" s="4" t="s">
        <v>5685</v>
      </c>
      <c r="H1364" s="4" t="n">
        <v>42.61376</v>
      </c>
      <c r="I1364" s="4" t="n">
        <v>-70.66358</v>
      </c>
      <c r="J1364" s="4" t="s">
        <v>5686</v>
      </c>
      <c r="K1364" s="6" t="str">
        <f aca="false">HYPERLINK("https://www.google.com/search?q=Gloucester+Lyceum+%26+Sawyer+Free+Lib+Gloucester+MA+library+website","Search")</f>
        <v>Search</v>
      </c>
      <c r="L1364" s="7"/>
      <c r="M1364" s="7"/>
    </row>
    <row r="1365" customFormat="false" ht="15" hidden="false" customHeight="true" outlineLevel="0" collapsed="false">
      <c r="A1365" s="4" t="s">
        <v>5469</v>
      </c>
      <c r="B1365" s="4" t="s">
        <v>5687</v>
      </c>
      <c r="C1365" s="4" t="s">
        <v>5688</v>
      </c>
      <c r="D1365" s="4" t="s">
        <v>1792</v>
      </c>
      <c r="E1365" s="5" t="n">
        <v>18934</v>
      </c>
      <c r="F1365" s="4" t="n">
        <v>1</v>
      </c>
      <c r="G1365" s="4" t="s">
        <v>5689</v>
      </c>
      <c r="H1365" s="4" t="n">
        <v>42.36329</v>
      </c>
      <c r="I1365" s="4" t="n">
        <v>-71.4169</v>
      </c>
      <c r="J1365" s="4" t="s">
        <v>5690</v>
      </c>
      <c r="K1365" s="6" t="str">
        <f aca="false">HYPERLINK("https://www.google.com/search?q=Goodnow+Library+Sudbury+MA+library+website","Search")</f>
        <v>Search</v>
      </c>
      <c r="L1365" s="7"/>
      <c r="M1365" s="7"/>
    </row>
    <row r="1366" customFormat="false" ht="15" hidden="false" customHeight="true" outlineLevel="0" collapsed="false">
      <c r="A1366" s="4" t="s">
        <v>5469</v>
      </c>
      <c r="B1366" s="4" t="s">
        <v>5691</v>
      </c>
      <c r="C1366" s="4" t="s">
        <v>5692</v>
      </c>
      <c r="D1366" s="4" t="s">
        <v>5505</v>
      </c>
      <c r="E1366" s="5" t="n">
        <v>19664</v>
      </c>
      <c r="F1366" s="4" t="n">
        <v>1</v>
      </c>
      <c r="G1366" s="4" t="s">
        <v>5693</v>
      </c>
      <c r="H1366" s="4" t="n">
        <v>42.20598</v>
      </c>
      <c r="I1366" s="4" t="n">
        <v>-71.6846</v>
      </c>
      <c r="J1366" s="4" t="s">
        <v>5694</v>
      </c>
      <c r="K1366" s="6" t="str">
        <f aca="false">HYPERLINK("https://www.google.com/search?q=Grafton+Public+Library+Grafton+MA+library+website","Search")</f>
        <v>Search</v>
      </c>
      <c r="L1366" s="7"/>
      <c r="M1366" s="7"/>
    </row>
    <row r="1367" customFormat="false" ht="15" hidden="false" customHeight="true" outlineLevel="0" collapsed="false">
      <c r="A1367" s="4" t="s">
        <v>5469</v>
      </c>
      <c r="B1367" s="4" t="s">
        <v>5695</v>
      </c>
      <c r="C1367" s="4" t="s">
        <v>4380</v>
      </c>
      <c r="D1367" s="4" t="s">
        <v>384</v>
      </c>
      <c r="E1367" s="5" t="n">
        <v>17768</v>
      </c>
      <c r="F1367" s="4" t="n">
        <v>1</v>
      </c>
      <c r="G1367" s="4" t="s">
        <v>5696</v>
      </c>
      <c r="H1367" s="4" t="n">
        <v>42.58824</v>
      </c>
      <c r="I1367" s="4" t="n">
        <v>-72.5987</v>
      </c>
      <c r="J1367" s="4" t="s">
        <v>5697</v>
      </c>
      <c r="K1367" s="6" t="str">
        <f aca="false">HYPERLINK("https://www.google.com/search?q=Greenfield+Public+Library+Greenfield+MA+library+website","Search")</f>
        <v>Search</v>
      </c>
      <c r="L1367" s="7"/>
      <c r="M1367" s="7"/>
    </row>
    <row r="1368" customFormat="false" ht="15" hidden="false" customHeight="true" outlineLevel="0" collapsed="false">
      <c r="A1368" s="4" t="s">
        <v>5469</v>
      </c>
      <c r="B1368" s="4" t="s">
        <v>1937</v>
      </c>
      <c r="C1368" s="4" t="s">
        <v>1827</v>
      </c>
      <c r="D1368" s="4" t="s">
        <v>1792</v>
      </c>
      <c r="E1368" s="5" t="n">
        <v>11315</v>
      </c>
      <c r="F1368" s="4" t="n">
        <v>1</v>
      </c>
      <c r="G1368" s="4" t="s">
        <v>5698</v>
      </c>
      <c r="H1368" s="4" t="n">
        <v>42.6051</v>
      </c>
      <c r="I1368" s="4" t="n">
        <v>-71.56832</v>
      </c>
      <c r="J1368" s="4" t="s">
        <v>5699</v>
      </c>
      <c r="K1368" s="6" t="str">
        <f aca="false">HYPERLINK("https://www.google.com/search?q=Groton+Public+Library+Groton+MA+library+website","Search")</f>
        <v>Search</v>
      </c>
      <c r="L1368" s="7"/>
      <c r="M1368" s="7"/>
    </row>
    <row r="1369" customFormat="false" ht="15" hidden="false" customHeight="true" outlineLevel="0" collapsed="false">
      <c r="A1369" s="4" t="s">
        <v>5469</v>
      </c>
      <c r="B1369" s="4" t="s">
        <v>5700</v>
      </c>
      <c r="C1369" s="4" t="s">
        <v>5701</v>
      </c>
      <c r="D1369" s="4" t="s">
        <v>5472</v>
      </c>
      <c r="E1369" s="5" t="n">
        <v>12540</v>
      </c>
      <c r="F1369" s="4" t="n">
        <v>1</v>
      </c>
      <c r="G1369" s="4" t="s">
        <v>5702</v>
      </c>
      <c r="H1369" s="4" t="n">
        <v>42.61218</v>
      </c>
      <c r="I1369" s="4" t="n">
        <v>-70.88018</v>
      </c>
      <c r="J1369" s="4" t="s">
        <v>5703</v>
      </c>
      <c r="K1369" s="6" t="str">
        <f aca="false">HYPERLINK("https://www.google.com/search?q=Hamilton-Wenham+Public+Library+South+Hamilton+MA+library+website","Search")</f>
        <v>Search</v>
      </c>
      <c r="L1369" s="7"/>
      <c r="M1369" s="7"/>
    </row>
    <row r="1370" customFormat="false" ht="15" hidden="false" customHeight="true" outlineLevel="0" collapsed="false">
      <c r="A1370" s="4" t="s">
        <v>5469</v>
      </c>
      <c r="B1370" s="4" t="s">
        <v>5704</v>
      </c>
      <c r="C1370" s="4" t="s">
        <v>5705</v>
      </c>
      <c r="D1370" s="4" t="s">
        <v>3038</v>
      </c>
      <c r="E1370" s="5" t="n">
        <v>10639</v>
      </c>
      <c r="F1370" s="4" t="n">
        <v>1</v>
      </c>
      <c r="G1370" s="4" t="s">
        <v>5706</v>
      </c>
      <c r="H1370" s="4" t="n">
        <v>42.06301</v>
      </c>
      <c r="I1370" s="4" t="n">
        <v>-70.85591</v>
      </c>
      <c r="J1370" s="4" t="s">
        <v>5707</v>
      </c>
      <c r="K1370" s="6" t="str">
        <f aca="false">HYPERLINK("https://www.google.com/search?q=Hanson+Public+Library+Hanson+MA+library+website","Search")</f>
        <v>Search</v>
      </c>
      <c r="L1370" s="7"/>
      <c r="M1370" s="7"/>
    </row>
    <row r="1371" customFormat="false" ht="15" hidden="false" customHeight="true" outlineLevel="0" collapsed="false">
      <c r="A1371" s="4" t="s">
        <v>5469</v>
      </c>
      <c r="B1371" s="4" t="s">
        <v>5708</v>
      </c>
      <c r="C1371" s="4" t="s">
        <v>5709</v>
      </c>
      <c r="D1371" s="4" t="s">
        <v>5472</v>
      </c>
      <c r="E1371" s="5" t="n">
        <v>67787</v>
      </c>
      <c r="F1371" s="4" t="n">
        <v>1</v>
      </c>
      <c r="G1371" s="4" t="s">
        <v>5710</v>
      </c>
      <c r="H1371" s="4" t="n">
        <v>42.77724</v>
      </c>
      <c r="I1371" s="4" t="n">
        <v>-71.07676</v>
      </c>
      <c r="J1371" s="4" t="s">
        <v>5711</v>
      </c>
      <c r="K1371" s="6" t="str">
        <f aca="false">HYPERLINK("https://www.google.com/search?q=Haverhill+Public+Library+Haverhill+MA+library+website","Search")</f>
        <v>Search</v>
      </c>
      <c r="L1371" s="7"/>
      <c r="M1371" s="7"/>
    </row>
    <row r="1372" customFormat="false" ht="15" hidden="false" customHeight="true" outlineLevel="0" collapsed="false">
      <c r="A1372" s="4" t="s">
        <v>5469</v>
      </c>
      <c r="B1372" s="4" t="s">
        <v>5712</v>
      </c>
      <c r="C1372" s="4" t="s">
        <v>5713</v>
      </c>
      <c r="D1372" s="4" t="s">
        <v>3038</v>
      </c>
      <c r="E1372" s="5" t="n">
        <v>24284</v>
      </c>
      <c r="F1372" s="4" t="n">
        <v>1</v>
      </c>
      <c r="G1372" s="4" t="s">
        <v>5714</v>
      </c>
      <c r="H1372" s="4" t="n">
        <v>42.23544</v>
      </c>
      <c r="I1372" s="4" t="n">
        <v>-70.87499</v>
      </c>
      <c r="J1372" s="4" t="s">
        <v>5715</v>
      </c>
      <c r="K1372" s="6" t="str">
        <f aca="false">HYPERLINK("https://www.google.com/search?q=Hingham+Public+Library+Hingham+MA+library+website","Search")</f>
        <v>Search</v>
      </c>
      <c r="L1372" s="7"/>
      <c r="M1372" s="7"/>
    </row>
    <row r="1373" customFormat="false" ht="15" hidden="false" customHeight="true" outlineLevel="0" collapsed="false">
      <c r="A1373" s="4" t="s">
        <v>5469</v>
      </c>
      <c r="B1373" s="4" t="s">
        <v>5716</v>
      </c>
      <c r="C1373" s="4" t="s">
        <v>779</v>
      </c>
      <c r="D1373" s="4" t="s">
        <v>5524</v>
      </c>
      <c r="E1373" s="5" t="n">
        <v>11405</v>
      </c>
      <c r="F1373" s="4" t="n">
        <v>1</v>
      </c>
      <c r="G1373" s="4" t="s">
        <v>5717</v>
      </c>
      <c r="H1373" s="4" t="n">
        <v>42.15503</v>
      </c>
      <c r="I1373" s="4" t="n">
        <v>-71.00772</v>
      </c>
      <c r="J1373" s="4" t="s">
        <v>5718</v>
      </c>
      <c r="K1373" s="6" t="str">
        <f aca="false">HYPERLINK("https://www.google.com/search?q=Holbrook+Public+Library+Holbrook+MA+library+website","Search")</f>
        <v>Search</v>
      </c>
      <c r="L1373" s="7"/>
      <c r="M1373" s="7"/>
    </row>
    <row r="1374" customFormat="false" ht="15" hidden="false" customHeight="true" outlineLevel="0" collapsed="false">
      <c r="A1374" s="4" t="s">
        <v>5469</v>
      </c>
      <c r="B1374" s="4" t="s">
        <v>5719</v>
      </c>
      <c r="C1374" s="4" t="s">
        <v>5720</v>
      </c>
      <c r="D1374" s="4" t="s">
        <v>1792</v>
      </c>
      <c r="E1374" s="5" t="n">
        <v>14996</v>
      </c>
      <c r="F1374" s="4" t="n">
        <v>1</v>
      </c>
      <c r="G1374" s="4" t="s">
        <v>5721</v>
      </c>
      <c r="H1374" s="4" t="n">
        <v>42.20039</v>
      </c>
      <c r="I1374" s="4" t="n">
        <v>-71.42912</v>
      </c>
      <c r="J1374" s="4" t="s">
        <v>5722</v>
      </c>
      <c r="K1374" s="6" t="str">
        <f aca="false">HYPERLINK("https://www.google.com/search?q=Holliston+Public+Library+Holliston+MA+library+website","Search")</f>
        <v>Search</v>
      </c>
      <c r="L1374" s="7"/>
      <c r="M1374" s="7"/>
    </row>
    <row r="1375" customFormat="false" ht="15" hidden="false" customHeight="true" outlineLevel="0" collapsed="false">
      <c r="A1375" s="4" t="s">
        <v>5469</v>
      </c>
      <c r="B1375" s="4" t="s">
        <v>5723</v>
      </c>
      <c r="C1375" s="4" t="s">
        <v>5724</v>
      </c>
      <c r="D1375" s="4" t="s">
        <v>5489</v>
      </c>
      <c r="E1375" s="5" t="n">
        <v>38238</v>
      </c>
      <c r="F1375" s="4" t="n">
        <v>1</v>
      </c>
      <c r="G1375" s="4" t="s">
        <v>5725</v>
      </c>
      <c r="H1375" s="4" t="n">
        <v>42.2034</v>
      </c>
      <c r="I1375" s="4" t="n">
        <v>-72.61371</v>
      </c>
      <c r="J1375" s="4" t="s">
        <v>5726</v>
      </c>
      <c r="K1375" s="6" t="str">
        <f aca="false">HYPERLINK("https://www.google.com/search?q=Holyoke+Public+Library+Holyoke+MA+library+website","Search")</f>
        <v>Search</v>
      </c>
      <c r="L1375" s="7"/>
      <c r="M1375" s="7"/>
    </row>
    <row r="1376" customFormat="false" ht="15" hidden="false" customHeight="true" outlineLevel="0" collapsed="false">
      <c r="A1376" s="4" t="s">
        <v>5469</v>
      </c>
      <c r="B1376" s="4" t="s">
        <v>5727</v>
      </c>
      <c r="C1376" s="4" t="s">
        <v>5728</v>
      </c>
      <c r="D1376" s="4" t="s">
        <v>1792</v>
      </c>
      <c r="E1376" s="5" t="n">
        <v>18758</v>
      </c>
      <c r="F1376" s="4" t="n">
        <v>1</v>
      </c>
      <c r="G1376" s="4" t="s">
        <v>5729</v>
      </c>
      <c r="H1376" s="4" t="n">
        <v>42.22879</v>
      </c>
      <c r="I1376" s="4" t="n">
        <v>-71.51958</v>
      </c>
      <c r="J1376" s="4" t="s">
        <v>5730</v>
      </c>
      <c r="K1376" s="6" t="str">
        <f aca="false">HYPERLINK("https://www.google.com/search?q=Hopkinton+Public+Library+Hopkinton+MA+library+website","Search")</f>
        <v>Search</v>
      </c>
      <c r="L1376" s="7"/>
      <c r="M1376" s="7"/>
    </row>
    <row r="1377" customFormat="false" ht="15" hidden="false" customHeight="true" outlineLevel="0" collapsed="false">
      <c r="A1377" s="4" t="s">
        <v>5469</v>
      </c>
      <c r="B1377" s="4" t="s">
        <v>5731</v>
      </c>
      <c r="C1377" s="4" t="s">
        <v>5732</v>
      </c>
      <c r="D1377" s="4" t="s">
        <v>5489</v>
      </c>
      <c r="E1377" s="5" t="n">
        <v>21002</v>
      </c>
      <c r="F1377" s="4" t="n">
        <v>1</v>
      </c>
      <c r="G1377" s="4" t="s">
        <v>5733</v>
      </c>
      <c r="H1377" s="4" t="n">
        <v>42.15817</v>
      </c>
      <c r="I1377" s="4" t="n">
        <v>-72.4843</v>
      </c>
      <c r="J1377" s="4" t="s">
        <v>5734</v>
      </c>
      <c r="K1377" s="6" t="str">
        <f aca="false">HYPERLINK("https://www.google.com/search?q=Hubbard+Memorial+Library+Ludlow+MA+library+website","Search")</f>
        <v>Search</v>
      </c>
      <c r="L1377" s="7"/>
      <c r="M1377" s="7"/>
    </row>
    <row r="1378" customFormat="false" ht="15" hidden="false" customHeight="true" outlineLevel="0" collapsed="false">
      <c r="A1378" s="4" t="s">
        <v>5469</v>
      </c>
      <c r="B1378" s="4" t="s">
        <v>5735</v>
      </c>
      <c r="C1378" s="4" t="s">
        <v>2513</v>
      </c>
      <c r="D1378" s="4" t="s">
        <v>1792</v>
      </c>
      <c r="E1378" s="5" t="n">
        <v>20092</v>
      </c>
      <c r="F1378" s="4" t="n">
        <v>1</v>
      </c>
      <c r="G1378" s="4" t="s">
        <v>5736</v>
      </c>
      <c r="H1378" s="4" t="n">
        <v>42.39159</v>
      </c>
      <c r="I1378" s="4" t="n">
        <v>-71.57069</v>
      </c>
      <c r="J1378" s="4" t="s">
        <v>5737</v>
      </c>
      <c r="K1378" s="6" t="str">
        <f aca="false">HYPERLINK("https://www.google.com/search?q=Hudson+Public+Library+Hudson+MA+library+website","Search")</f>
        <v>Search</v>
      </c>
      <c r="L1378" s="7"/>
      <c r="M1378" s="7"/>
    </row>
    <row r="1379" customFormat="false" ht="15" hidden="false" customHeight="true" outlineLevel="0" collapsed="false">
      <c r="A1379" s="4" t="s">
        <v>5469</v>
      </c>
      <c r="B1379" s="4" t="s">
        <v>5738</v>
      </c>
      <c r="C1379" s="4" t="s">
        <v>5739</v>
      </c>
      <c r="D1379" s="4" t="s">
        <v>3038</v>
      </c>
      <c r="E1379" s="5" t="n">
        <v>10072</v>
      </c>
      <c r="F1379" s="4" t="n">
        <v>1</v>
      </c>
      <c r="G1379" s="4" t="s">
        <v>5740</v>
      </c>
      <c r="H1379" s="4" t="n">
        <v>42.30214</v>
      </c>
      <c r="I1379" s="4" t="n">
        <v>-70.90658</v>
      </c>
      <c r="J1379" s="4" t="s">
        <v>5741</v>
      </c>
      <c r="K1379" s="6" t="str">
        <f aca="false">HYPERLINK("https://www.google.com/search?q=Hull+Public+Library+Hull+MA+library+website","Search")</f>
        <v>Search</v>
      </c>
      <c r="L1379" s="7"/>
      <c r="M1379" s="7"/>
    </row>
    <row r="1380" customFormat="false" ht="15" hidden="false" customHeight="true" outlineLevel="0" collapsed="false">
      <c r="A1380" s="4" t="s">
        <v>5469</v>
      </c>
      <c r="B1380" s="4" t="s">
        <v>5742</v>
      </c>
      <c r="C1380" s="4" t="s">
        <v>5743</v>
      </c>
      <c r="D1380" s="4" t="s">
        <v>5562</v>
      </c>
      <c r="E1380" s="5" t="n">
        <v>13056</v>
      </c>
      <c r="F1380" s="4" t="n">
        <v>1</v>
      </c>
      <c r="G1380" s="4" t="s">
        <v>5744</v>
      </c>
      <c r="H1380" s="4" t="n">
        <v>41.65217</v>
      </c>
      <c r="I1380" s="4" t="n">
        <v>-70.28456</v>
      </c>
      <c r="J1380" s="4" t="s">
        <v>5745</v>
      </c>
      <c r="K1380" s="6" t="str">
        <f aca="false">HYPERLINK("https://www.google.com/search?q=Hyannis+Public+Library+Assoc.+Hyannis+MA+library+website","Search")</f>
        <v>Search</v>
      </c>
      <c r="L1380" s="7"/>
      <c r="M1380" s="7"/>
    </row>
    <row r="1381" customFormat="false" ht="15" hidden="false" customHeight="true" outlineLevel="0" collapsed="false">
      <c r="A1381" s="4" t="s">
        <v>5469</v>
      </c>
      <c r="B1381" s="4" t="s">
        <v>5746</v>
      </c>
      <c r="C1381" s="4" t="s">
        <v>5747</v>
      </c>
      <c r="D1381" s="4" t="s">
        <v>5472</v>
      </c>
      <c r="E1381" s="5" t="n">
        <v>13785</v>
      </c>
      <c r="F1381" s="4" t="n">
        <v>1</v>
      </c>
      <c r="G1381" s="4" t="s">
        <v>5748</v>
      </c>
      <c r="H1381" s="4" t="n">
        <v>42.68056</v>
      </c>
      <c r="I1381" s="4" t="n">
        <v>-70.83583</v>
      </c>
      <c r="J1381" s="4" t="s">
        <v>5749</v>
      </c>
      <c r="K1381" s="6" t="str">
        <f aca="false">HYPERLINK("https://www.google.com/search?q=Ipswich+Public+Library+Ipswich+MA+library+website","Search")</f>
        <v>Search</v>
      </c>
      <c r="L1381" s="7"/>
      <c r="M1381" s="8" t="str">
        <f aca="false">HYPERLINK("https://ipswichqld.overdrive.com","https://ipswichqld.overdrive.com")</f>
        <v>https://ipswichqld.overdrive.com</v>
      </c>
    </row>
    <row r="1382" customFormat="false" ht="15" hidden="false" customHeight="true" outlineLevel="0" collapsed="false">
      <c r="A1382" s="4" t="s">
        <v>5469</v>
      </c>
      <c r="B1382" s="4" t="s">
        <v>5750</v>
      </c>
      <c r="C1382" s="4" t="s">
        <v>5751</v>
      </c>
      <c r="D1382" s="4" t="s">
        <v>1792</v>
      </c>
      <c r="E1382" s="5" t="n">
        <v>24643</v>
      </c>
      <c r="F1382" s="4" t="n">
        <v>1</v>
      </c>
      <c r="G1382" s="4" t="s">
        <v>5752</v>
      </c>
      <c r="H1382" s="4" t="n">
        <v>42.58184</v>
      </c>
      <c r="I1382" s="4" t="n">
        <v>-71.43856</v>
      </c>
      <c r="J1382" s="4" t="s">
        <v>5753</v>
      </c>
      <c r="K1382" s="6" t="str">
        <f aca="false">HYPERLINK("https://www.google.com/search?q=J.+V.+Fletcher+Library+Westford+MA+library+website","Search")</f>
        <v>Search</v>
      </c>
      <c r="L1382" s="7"/>
      <c r="M1382" s="7"/>
    </row>
    <row r="1383" customFormat="false" ht="15" hidden="false" customHeight="true" outlineLevel="0" collapsed="false">
      <c r="A1383" s="4" t="s">
        <v>5469</v>
      </c>
      <c r="B1383" s="4" t="s">
        <v>5754</v>
      </c>
      <c r="C1383" s="4" t="s">
        <v>5755</v>
      </c>
      <c r="D1383" s="4" t="s">
        <v>5505</v>
      </c>
      <c r="E1383" s="5" t="n">
        <v>17740</v>
      </c>
      <c r="F1383" s="4" t="n">
        <v>1</v>
      </c>
      <c r="G1383" s="4" t="s">
        <v>5756</v>
      </c>
      <c r="H1383" s="4" t="n">
        <v>42.07484</v>
      </c>
      <c r="I1383" s="4" t="n">
        <v>-72.03236</v>
      </c>
      <c r="J1383" s="4" t="s">
        <v>5757</v>
      </c>
      <c r="K1383" s="6" t="str">
        <f aca="false">HYPERLINK("https://www.google.com/search?q=Jacob+Edwards+Library+Southbridge+MA+library+website","Search")</f>
        <v>Search</v>
      </c>
      <c r="L1383" s="7"/>
      <c r="M1383" s="7"/>
    </row>
    <row r="1384" customFormat="false" ht="15" hidden="false" customHeight="true" outlineLevel="0" collapsed="false">
      <c r="A1384" s="4" t="s">
        <v>5469</v>
      </c>
      <c r="B1384" s="4" t="s">
        <v>5758</v>
      </c>
      <c r="C1384" s="4" t="s">
        <v>5759</v>
      </c>
      <c r="D1384" s="4" t="s">
        <v>3038</v>
      </c>
      <c r="E1384" s="5" t="n">
        <v>14833</v>
      </c>
      <c r="F1384" s="4" t="n">
        <v>1</v>
      </c>
      <c r="G1384" s="4" t="s">
        <v>5760</v>
      </c>
      <c r="H1384" s="4" t="n">
        <v>42.11615</v>
      </c>
      <c r="I1384" s="4" t="n">
        <v>-70.84368</v>
      </c>
      <c r="J1384" s="4" t="s">
        <v>5761</v>
      </c>
      <c r="K1384" s="6" t="str">
        <f aca="false">HYPERLINK("https://www.google.com/search?q=John+Curtis+Free+Library+Hanover+MA+library+website","Search")</f>
        <v>Search</v>
      </c>
      <c r="L1384" s="7"/>
      <c r="M1384" s="7"/>
    </row>
    <row r="1385" customFormat="false" ht="15" hidden="false" customHeight="true" outlineLevel="0" collapsed="false">
      <c r="A1385" s="4" t="s">
        <v>5469</v>
      </c>
      <c r="B1385" s="4" t="s">
        <v>5762</v>
      </c>
      <c r="C1385" s="4" t="s">
        <v>5763</v>
      </c>
      <c r="D1385" s="4" t="s">
        <v>5562</v>
      </c>
      <c r="E1385" s="5" t="n">
        <v>20452</v>
      </c>
      <c r="F1385" s="4" t="n">
        <v>1</v>
      </c>
      <c r="G1385" s="4" t="s">
        <v>5764</v>
      </c>
      <c r="H1385" s="4" t="n">
        <v>41.7422</v>
      </c>
      <c r="I1385" s="4" t="n">
        <v>-70.59807</v>
      </c>
      <c r="J1385" s="4" t="s">
        <v>5765</v>
      </c>
      <c r="K1385" s="6" t="str">
        <f aca="false">HYPERLINK("https://www.google.com/search?q=Jonathan+Bourne+Public+Library+Bourne+MA+library+website","Search")</f>
        <v>Search</v>
      </c>
      <c r="L1385" s="7"/>
      <c r="M1385" s="7"/>
    </row>
    <row r="1386" customFormat="false" ht="15" hidden="false" customHeight="true" outlineLevel="0" collapsed="false">
      <c r="A1386" s="4" t="s">
        <v>5469</v>
      </c>
      <c r="B1386" s="4" t="s">
        <v>5766</v>
      </c>
      <c r="C1386" s="4" t="s">
        <v>5767</v>
      </c>
      <c r="D1386" s="4" t="s">
        <v>3538</v>
      </c>
      <c r="E1386" s="5" t="n">
        <v>39263</v>
      </c>
      <c r="F1386" s="4" t="n">
        <v>3</v>
      </c>
      <c r="G1386" s="4" t="s">
        <v>5768</v>
      </c>
      <c r="H1386" s="4" t="n">
        <v>42.37626</v>
      </c>
      <c r="I1386" s="4" t="n">
        <v>-72.5209</v>
      </c>
      <c r="J1386" s="4" t="s">
        <v>5769</v>
      </c>
      <c r="K1386" s="6" t="str">
        <f aca="false">HYPERLINK("https://www.google.com/search?q=Jones+Library%2C+Inc.+Amherst+MA+library+website","Search")</f>
        <v>Search</v>
      </c>
      <c r="L1386" s="7"/>
      <c r="M1386" s="7"/>
    </row>
    <row r="1387" customFormat="false" ht="15" hidden="false" customHeight="true" outlineLevel="0" collapsed="false">
      <c r="A1387" s="4" t="s">
        <v>5469</v>
      </c>
      <c r="B1387" s="4" t="s">
        <v>5770</v>
      </c>
      <c r="C1387" s="4" t="s">
        <v>5771</v>
      </c>
      <c r="D1387" s="4" t="s">
        <v>3038</v>
      </c>
      <c r="E1387" s="5" t="n">
        <v>13708</v>
      </c>
      <c r="F1387" s="4" t="n">
        <v>1</v>
      </c>
      <c r="G1387" s="4" t="s">
        <v>5772</v>
      </c>
      <c r="H1387" s="4" t="n">
        <v>41.99554</v>
      </c>
      <c r="I1387" s="4" t="n">
        <v>-70.72975</v>
      </c>
      <c r="J1387" s="4" t="s">
        <v>5773</v>
      </c>
      <c r="K1387" s="6" t="str">
        <f aca="false">HYPERLINK("https://www.google.com/search?q=Kingston+Public+Library+Kingston+MA+library+website","Search")</f>
        <v>Search</v>
      </c>
      <c r="L1387" s="7"/>
      <c r="M1387" s="7"/>
    </row>
    <row r="1388" customFormat="false" ht="15" hidden="false" customHeight="true" outlineLevel="0" collapsed="false">
      <c r="A1388" s="4" t="s">
        <v>5469</v>
      </c>
      <c r="B1388" s="4" t="s">
        <v>5774</v>
      </c>
      <c r="C1388" s="4" t="s">
        <v>5775</v>
      </c>
      <c r="D1388" s="4" t="s">
        <v>3038</v>
      </c>
      <c r="E1388" s="5" t="n">
        <v>11523</v>
      </c>
      <c r="F1388" s="4" t="n">
        <v>1</v>
      </c>
      <c r="G1388" s="4" t="s">
        <v>5776</v>
      </c>
      <c r="H1388" s="4" t="n">
        <v>41.84642</v>
      </c>
      <c r="I1388" s="4" t="n">
        <v>-70.9506</v>
      </c>
      <c r="J1388" s="4" t="s">
        <v>5777</v>
      </c>
      <c r="K1388" s="6" t="str">
        <f aca="false">HYPERLINK("https://www.google.com/search?q=Lakeville+Free+Public+Library+Lakeville+MA+library+website","Search")</f>
        <v>Search</v>
      </c>
      <c r="L1388" s="7"/>
      <c r="M1388" s="7"/>
    </row>
    <row r="1389" customFormat="false" ht="15" hidden="false" customHeight="true" outlineLevel="0" collapsed="false">
      <c r="A1389" s="4" t="s">
        <v>5469</v>
      </c>
      <c r="B1389" s="4" t="s">
        <v>5778</v>
      </c>
      <c r="C1389" s="4" t="s">
        <v>5779</v>
      </c>
      <c r="D1389" s="4" t="s">
        <v>1792</v>
      </c>
      <c r="E1389" s="5" t="n">
        <v>11604</v>
      </c>
      <c r="F1389" s="4" t="n">
        <v>1</v>
      </c>
      <c r="G1389" s="4" t="s">
        <v>5780</v>
      </c>
      <c r="H1389" s="4" t="n">
        <v>42.66715</v>
      </c>
      <c r="I1389" s="4" t="n">
        <v>-71.59605</v>
      </c>
      <c r="J1389" s="4" t="s">
        <v>5781</v>
      </c>
      <c r="K1389" s="6" t="str">
        <f aca="false">HYPERLINK("https://www.google.com/search?q=Lawrence+Library+Pepperell+MA+library+website","Search")</f>
        <v>Search</v>
      </c>
      <c r="L1389" s="7"/>
      <c r="M1389" s="7"/>
    </row>
    <row r="1390" customFormat="false" ht="15" hidden="false" customHeight="true" outlineLevel="0" collapsed="false">
      <c r="A1390" s="4" t="s">
        <v>5469</v>
      </c>
      <c r="B1390" s="4" t="s">
        <v>4751</v>
      </c>
      <c r="C1390" s="4" t="s">
        <v>279</v>
      </c>
      <c r="D1390" s="4" t="s">
        <v>5472</v>
      </c>
      <c r="E1390" s="5" t="n">
        <v>89143</v>
      </c>
      <c r="F1390" s="4" t="n">
        <v>2</v>
      </c>
      <c r="G1390" s="4" t="s">
        <v>5782</v>
      </c>
      <c r="H1390" s="4" t="n">
        <v>42.71073</v>
      </c>
      <c r="I1390" s="4" t="n">
        <v>-71.16222</v>
      </c>
      <c r="J1390" s="4" t="s">
        <v>5783</v>
      </c>
      <c r="K1390" s="6" t="str">
        <f aca="false">HYPERLINK("https://www.google.com/search?q=Lawrence+Public+Library+Lawrence+MA+library+website","Search")</f>
        <v>Search</v>
      </c>
      <c r="L1390" s="7"/>
      <c r="M1390" s="7"/>
    </row>
    <row r="1391" customFormat="false" ht="15" hidden="false" customHeight="true" outlineLevel="0" collapsed="false">
      <c r="A1391" s="4" t="s">
        <v>5469</v>
      </c>
      <c r="B1391" s="4" t="s">
        <v>5784</v>
      </c>
      <c r="C1391" s="4" t="s">
        <v>5785</v>
      </c>
      <c r="D1391" s="4" t="s">
        <v>5505</v>
      </c>
      <c r="E1391" s="5" t="n">
        <v>11087</v>
      </c>
      <c r="F1391" s="4" t="n">
        <v>1</v>
      </c>
      <c r="G1391" s="4" t="s">
        <v>5786</v>
      </c>
      <c r="H1391" s="4" t="n">
        <v>42.24606</v>
      </c>
      <c r="I1391" s="4" t="n">
        <v>-71.91225</v>
      </c>
      <c r="J1391" s="4" t="s">
        <v>5787</v>
      </c>
      <c r="K1391" s="6" t="str">
        <f aca="false">HYPERLINK("https://www.google.com/search?q=Leicester+Public+Library+Leicester+MA+library+website","Search")</f>
        <v>Search</v>
      </c>
      <c r="L1391" s="7"/>
      <c r="M1391" s="7"/>
    </row>
    <row r="1392" customFormat="false" ht="15" hidden="false" customHeight="true" outlineLevel="0" collapsed="false">
      <c r="A1392" s="4" t="s">
        <v>5469</v>
      </c>
      <c r="B1392" s="4" t="s">
        <v>5788</v>
      </c>
      <c r="C1392" s="4" t="s">
        <v>5789</v>
      </c>
      <c r="D1392" s="4" t="s">
        <v>5505</v>
      </c>
      <c r="E1392" s="5" t="n">
        <v>43782</v>
      </c>
      <c r="F1392" s="4" t="n">
        <v>1</v>
      </c>
      <c r="G1392" s="4" t="s">
        <v>5790</v>
      </c>
      <c r="H1392" s="4" t="n">
        <v>42.5264</v>
      </c>
      <c r="I1392" s="4" t="n">
        <v>-71.76195</v>
      </c>
      <c r="J1392" s="4" t="s">
        <v>5791</v>
      </c>
      <c r="K1392" s="6" t="str">
        <f aca="false">HYPERLINK("https://www.google.com/search?q=Leominster+Public+Library+Leominster+MA+library+website","Search")</f>
        <v>Search</v>
      </c>
      <c r="L1392" s="7"/>
      <c r="M1392" s="7"/>
    </row>
    <row r="1393" customFormat="false" ht="15" hidden="false" customHeight="true" outlineLevel="0" collapsed="false">
      <c r="A1393" s="4" t="s">
        <v>5469</v>
      </c>
      <c r="B1393" s="4" t="s">
        <v>5792</v>
      </c>
      <c r="C1393" s="4" t="s">
        <v>5793</v>
      </c>
      <c r="D1393" s="4" t="s">
        <v>5505</v>
      </c>
      <c r="E1393" s="5" t="n">
        <v>21287</v>
      </c>
      <c r="F1393" s="4" t="n">
        <v>1</v>
      </c>
      <c r="G1393" s="4" t="s">
        <v>5794</v>
      </c>
      <c r="H1393" s="4" t="n">
        <v>42.57611</v>
      </c>
      <c r="I1393" s="4" t="n">
        <v>-71.99343</v>
      </c>
      <c r="J1393" s="4" t="s">
        <v>5795</v>
      </c>
      <c r="K1393" s="6" t="str">
        <f aca="false">HYPERLINK("https://www.google.com/search?q=Levi+Heywood+Memorial+Library+Gardner+MA+library+website","Search")</f>
        <v>Search</v>
      </c>
      <c r="L1393" s="7"/>
      <c r="M1393" s="7"/>
    </row>
    <row r="1394" customFormat="false" ht="15" hidden="false" customHeight="true" outlineLevel="0" collapsed="false">
      <c r="A1394" s="4" t="s">
        <v>5469</v>
      </c>
      <c r="B1394" s="4" t="s">
        <v>5796</v>
      </c>
      <c r="C1394" s="4" t="s">
        <v>5797</v>
      </c>
      <c r="D1394" s="4" t="s">
        <v>1792</v>
      </c>
      <c r="E1394" s="5" t="n">
        <v>27090</v>
      </c>
      <c r="F1394" s="4" t="n">
        <v>1</v>
      </c>
      <c r="G1394" s="4" t="s">
        <v>5798</v>
      </c>
      <c r="H1394" s="4" t="n">
        <v>42.50458</v>
      </c>
      <c r="I1394" s="4" t="n">
        <v>-71.07191</v>
      </c>
      <c r="J1394" s="4" t="s">
        <v>5799</v>
      </c>
      <c r="K1394" s="6" t="str">
        <f aca="false">HYPERLINK("https://www.google.com/search?q=Lucius+Beebe+Memorial+Library+Wakefield+MA+library+website","Search")</f>
        <v>Search</v>
      </c>
      <c r="L1394" s="7"/>
      <c r="M1394" s="7"/>
    </row>
    <row r="1395" customFormat="false" ht="15" hidden="false" customHeight="true" outlineLevel="0" collapsed="false">
      <c r="A1395" s="4" t="s">
        <v>5469</v>
      </c>
      <c r="B1395" s="4" t="s">
        <v>5800</v>
      </c>
      <c r="C1395" s="4" t="s">
        <v>5801</v>
      </c>
      <c r="D1395" s="4" t="s">
        <v>5505</v>
      </c>
      <c r="E1395" s="5" t="n">
        <v>11782</v>
      </c>
      <c r="F1395" s="4" t="n">
        <v>1</v>
      </c>
      <c r="G1395" s="4" t="s">
        <v>5802</v>
      </c>
      <c r="H1395" s="4" t="n">
        <v>42.59632</v>
      </c>
      <c r="I1395" s="4" t="n">
        <v>-71.72241</v>
      </c>
      <c r="J1395" s="4" t="s">
        <v>5803</v>
      </c>
      <c r="K1395" s="6" t="str">
        <f aca="false">HYPERLINK("https://www.google.com/search?q=Lunenburg+Public+Library+Lunenburg+MA+library+website","Search")</f>
        <v>Search</v>
      </c>
      <c r="L1395" s="7"/>
      <c r="M1395" s="7"/>
    </row>
    <row r="1396" customFormat="false" ht="15" hidden="false" customHeight="true" outlineLevel="0" collapsed="false">
      <c r="A1396" s="4" t="s">
        <v>5469</v>
      </c>
      <c r="B1396" s="4" t="s">
        <v>5804</v>
      </c>
      <c r="C1396" s="4" t="s">
        <v>5805</v>
      </c>
      <c r="D1396" s="4" t="s">
        <v>5472</v>
      </c>
      <c r="E1396" s="5" t="n">
        <v>101253</v>
      </c>
      <c r="F1396" s="4" t="n">
        <v>1</v>
      </c>
      <c r="G1396" s="4" t="s">
        <v>5806</v>
      </c>
      <c r="H1396" s="4" t="n">
        <v>42.46448</v>
      </c>
      <c r="I1396" s="4" t="n">
        <v>-70.95367</v>
      </c>
      <c r="J1396" s="4" t="s">
        <v>5807</v>
      </c>
      <c r="K1396" s="6" t="str">
        <f aca="false">HYPERLINK("https://www.google.com/search?q=Lynn+Public+Library+Lynn+MA+library+website","Search")</f>
        <v>Search</v>
      </c>
      <c r="L1396" s="7"/>
      <c r="M1396" s="7"/>
    </row>
    <row r="1397" customFormat="false" ht="15" hidden="false" customHeight="true" outlineLevel="0" collapsed="false">
      <c r="A1397" s="4" t="s">
        <v>5469</v>
      </c>
      <c r="B1397" s="4" t="s">
        <v>5808</v>
      </c>
      <c r="C1397" s="4" t="s">
        <v>5809</v>
      </c>
      <c r="D1397" s="4" t="s">
        <v>5472</v>
      </c>
      <c r="E1397" s="5" t="n">
        <v>13000</v>
      </c>
      <c r="F1397" s="4" t="n">
        <v>1</v>
      </c>
      <c r="G1397" s="4" t="s">
        <v>5810</v>
      </c>
      <c r="H1397" s="4" t="n">
        <v>42.53935</v>
      </c>
      <c r="I1397" s="4" t="n">
        <v>-71.04782</v>
      </c>
      <c r="J1397" s="4" t="s">
        <v>5811</v>
      </c>
      <c r="K1397" s="6" t="str">
        <f aca="false">HYPERLINK("https://www.google.com/search?q=Lynnfield+Public+Library+Lynnfield+MA+library+website","Search")</f>
        <v>Search</v>
      </c>
      <c r="L1397" s="7"/>
      <c r="M1397" s="7"/>
    </row>
    <row r="1398" customFormat="false" ht="15" hidden="false" customHeight="true" outlineLevel="0" collapsed="false">
      <c r="A1398" s="4" t="s">
        <v>5469</v>
      </c>
      <c r="B1398" s="4" t="s">
        <v>5812</v>
      </c>
      <c r="C1398" s="4" t="s">
        <v>5813</v>
      </c>
      <c r="D1398" s="4" t="s">
        <v>1792</v>
      </c>
      <c r="E1398" s="5" t="n">
        <v>66263</v>
      </c>
      <c r="F1398" s="4" t="n">
        <v>1</v>
      </c>
      <c r="G1398" s="4" t="s">
        <v>5814</v>
      </c>
      <c r="H1398" s="4" t="n">
        <v>42.42793</v>
      </c>
      <c r="I1398" s="4" t="n">
        <v>-71.06619</v>
      </c>
      <c r="J1398" s="4" t="s">
        <v>5815</v>
      </c>
      <c r="K1398" s="6" t="str">
        <f aca="false">HYPERLINK("https://www.google.com/search?q=Malden+Public+Library+Malden+MA+library+website","Search")</f>
        <v>Search</v>
      </c>
      <c r="L1398" s="7"/>
      <c r="M1398" s="7"/>
    </row>
    <row r="1399" customFormat="false" ht="15" hidden="false" customHeight="true" outlineLevel="0" collapsed="false">
      <c r="A1399" s="4" t="s">
        <v>5469</v>
      </c>
      <c r="B1399" s="4" t="s">
        <v>1999</v>
      </c>
      <c r="C1399" s="4" t="s">
        <v>2000</v>
      </c>
      <c r="D1399" s="4" t="s">
        <v>1845</v>
      </c>
      <c r="E1399" s="5" t="n">
        <v>23860</v>
      </c>
      <c r="F1399" s="4" t="n">
        <v>1</v>
      </c>
      <c r="G1399" s="4" t="s">
        <v>5816</v>
      </c>
      <c r="H1399" s="4" t="n">
        <v>42.03392</v>
      </c>
      <c r="I1399" s="4" t="n">
        <v>-71.20981</v>
      </c>
      <c r="J1399" s="4" t="s">
        <v>5817</v>
      </c>
      <c r="K1399" s="6" t="str">
        <f aca="false">HYPERLINK("https://www.google.com/search?q=Mansfield+Public+Library+Mansfield+MA+library+website","Search")</f>
        <v>Search</v>
      </c>
      <c r="L1399" s="7"/>
      <c r="M1399" s="7"/>
    </row>
    <row r="1400" customFormat="false" ht="15" hidden="false" customHeight="true" outlineLevel="0" collapsed="false">
      <c r="A1400" s="4" t="s">
        <v>5469</v>
      </c>
      <c r="B1400" s="4" t="s">
        <v>5818</v>
      </c>
      <c r="C1400" s="4" t="s">
        <v>5819</v>
      </c>
      <c r="D1400" s="4" t="s">
        <v>1792</v>
      </c>
      <c r="E1400" s="5" t="n">
        <v>41793</v>
      </c>
      <c r="F1400" s="4" t="n">
        <v>1</v>
      </c>
      <c r="G1400" s="4" t="s">
        <v>5820</v>
      </c>
      <c r="H1400" s="4" t="n">
        <v>42.34604</v>
      </c>
      <c r="I1400" s="4" t="n">
        <v>-71.55455</v>
      </c>
      <c r="J1400" s="4" t="s">
        <v>5821</v>
      </c>
      <c r="K1400" s="6" t="str">
        <f aca="false">HYPERLINK("https://www.google.com/search?q=Marlborough+Public+Library+Marlborough+MA+library+website","Search")</f>
        <v>Search</v>
      </c>
      <c r="L1400" s="7"/>
      <c r="M1400" s="7"/>
    </row>
    <row r="1401" customFormat="false" ht="15" hidden="false" customHeight="true" outlineLevel="0" collapsed="false">
      <c r="A1401" s="4" t="s">
        <v>5469</v>
      </c>
      <c r="B1401" s="4" t="s">
        <v>5822</v>
      </c>
      <c r="C1401" s="4" t="s">
        <v>5823</v>
      </c>
      <c r="D1401" s="4" t="s">
        <v>5562</v>
      </c>
      <c r="E1401" s="5" t="n">
        <v>15060</v>
      </c>
      <c r="F1401" s="4" t="n">
        <v>1</v>
      </c>
      <c r="G1401" s="4" t="s">
        <v>5824</v>
      </c>
      <c r="H1401" s="4" t="n">
        <v>41.61722</v>
      </c>
      <c r="I1401" s="4" t="n">
        <v>-70.49416</v>
      </c>
      <c r="J1401" s="4" t="s">
        <v>5825</v>
      </c>
      <c r="K1401" s="6" t="str">
        <f aca="false">HYPERLINK("https://www.google.com/search?q=Mashpee+Public+Library+Mashpee+MA+library+website","Search")</f>
        <v>Search</v>
      </c>
      <c r="L1401" s="7"/>
      <c r="M1401" s="7"/>
    </row>
    <row r="1402" customFormat="false" ht="15" hidden="false" customHeight="true" outlineLevel="0" collapsed="false">
      <c r="A1402" s="4" t="s">
        <v>5469</v>
      </c>
      <c r="B1402" s="4" t="s">
        <v>5826</v>
      </c>
      <c r="C1402" s="4" t="s">
        <v>5827</v>
      </c>
      <c r="D1402" s="4" t="s">
        <v>1792</v>
      </c>
      <c r="E1402" s="5" t="n">
        <v>10746</v>
      </c>
      <c r="F1402" s="4" t="n">
        <v>1</v>
      </c>
      <c r="G1402" s="4" t="s">
        <v>5828</v>
      </c>
      <c r="H1402" s="4" t="n">
        <v>42.43429</v>
      </c>
      <c r="I1402" s="4" t="n">
        <v>-71.45207</v>
      </c>
      <c r="J1402" s="4" t="s">
        <v>5829</v>
      </c>
      <c r="K1402" s="6" t="str">
        <f aca="false">HYPERLINK("https://www.google.com/search?q=Maynard+Public+Library+Maynard+MA+library+website","Search")</f>
        <v>Search</v>
      </c>
      <c r="L1402" s="7"/>
      <c r="M1402" s="7"/>
    </row>
    <row r="1403" customFormat="false" ht="15" hidden="false" customHeight="true" outlineLevel="0" collapsed="false">
      <c r="A1403" s="4" t="s">
        <v>5469</v>
      </c>
      <c r="B1403" s="4" t="s">
        <v>5830</v>
      </c>
      <c r="C1403" s="4" t="s">
        <v>5831</v>
      </c>
      <c r="D1403" s="4" t="s">
        <v>5524</v>
      </c>
      <c r="E1403" s="5" t="n">
        <v>12799</v>
      </c>
      <c r="F1403" s="4" t="n">
        <v>1</v>
      </c>
      <c r="G1403" s="4" t="s">
        <v>5832</v>
      </c>
      <c r="H1403" s="4" t="n">
        <v>42.18659</v>
      </c>
      <c r="I1403" s="4" t="n">
        <v>-71.30495</v>
      </c>
      <c r="J1403" s="4" t="s">
        <v>5833</v>
      </c>
      <c r="K1403" s="6" t="str">
        <f aca="false">HYPERLINK("https://www.google.com/search?q=Medfield+Memorial+Library+Medfield+MA+library+website","Search")</f>
        <v>Search</v>
      </c>
      <c r="L1403" s="7"/>
      <c r="M1403" s="7"/>
    </row>
    <row r="1404" customFormat="false" ht="15" hidden="false" customHeight="true" outlineLevel="0" collapsed="false">
      <c r="A1404" s="4" t="s">
        <v>5469</v>
      </c>
      <c r="B1404" s="4" t="s">
        <v>5834</v>
      </c>
      <c r="C1404" s="4" t="s">
        <v>5835</v>
      </c>
      <c r="D1404" s="4" t="s">
        <v>1792</v>
      </c>
      <c r="E1404" s="5" t="n">
        <v>59659</v>
      </c>
      <c r="F1404" s="4" t="n">
        <v>1</v>
      </c>
      <c r="G1404" s="4" t="s">
        <v>5836</v>
      </c>
      <c r="H1404" s="4" t="n">
        <v>42.41976</v>
      </c>
      <c r="I1404" s="4" t="n">
        <v>-71.11353</v>
      </c>
      <c r="J1404" s="4" t="s">
        <v>5837</v>
      </c>
      <c r="K1404" s="6" t="str">
        <f aca="false">HYPERLINK("https://www.google.com/search?q=Medford+Public+Library+Medford+MA+library+website","Search")</f>
        <v>Search</v>
      </c>
      <c r="L1404" s="7"/>
      <c r="M1404" s="7"/>
    </row>
    <row r="1405" customFormat="false" ht="15" hidden="false" customHeight="true" outlineLevel="0" collapsed="false">
      <c r="A1405" s="4" t="s">
        <v>5469</v>
      </c>
      <c r="B1405" s="4" t="s">
        <v>5838</v>
      </c>
      <c r="C1405" s="4" t="s">
        <v>5839</v>
      </c>
      <c r="D1405" s="4" t="s">
        <v>5524</v>
      </c>
      <c r="E1405" s="5" t="n">
        <v>13115</v>
      </c>
      <c r="F1405" s="4" t="n">
        <v>1</v>
      </c>
      <c r="G1405" s="4" t="s">
        <v>5840</v>
      </c>
      <c r="H1405" s="4" t="n">
        <v>42.14396</v>
      </c>
      <c r="I1405" s="4" t="n">
        <v>-71.42992</v>
      </c>
      <c r="J1405" s="4" t="s">
        <v>5841</v>
      </c>
      <c r="K1405" s="6" t="str">
        <f aca="false">HYPERLINK("https://www.google.com/search?q=Medway+Public+Library+Medway+MA+library+website","Search")</f>
        <v>Search</v>
      </c>
      <c r="L1405" s="7"/>
      <c r="M1405" s="7"/>
    </row>
    <row r="1406" customFormat="false" ht="15" hidden="false" customHeight="true" outlineLevel="0" collapsed="false">
      <c r="A1406" s="4" t="s">
        <v>5469</v>
      </c>
      <c r="B1406" s="4" t="s">
        <v>5842</v>
      </c>
      <c r="C1406" s="4" t="s">
        <v>5843</v>
      </c>
      <c r="D1406" s="4" t="s">
        <v>1792</v>
      </c>
      <c r="E1406" s="5" t="n">
        <v>29817</v>
      </c>
      <c r="F1406" s="4" t="n">
        <v>1</v>
      </c>
      <c r="G1406" s="4" t="s">
        <v>5844</v>
      </c>
      <c r="H1406" s="4" t="n">
        <v>42.45928</v>
      </c>
      <c r="I1406" s="4" t="n">
        <v>-71.06662</v>
      </c>
      <c r="J1406" s="4" t="s">
        <v>5845</v>
      </c>
      <c r="K1406" s="6" t="str">
        <f aca="false">HYPERLINK("https://www.google.com/search?q=Melrose+Public+Library+Melrose+MA+library+website","Search")</f>
        <v>Search</v>
      </c>
      <c r="L1406" s="7"/>
      <c r="M1406" s="7"/>
    </row>
    <row r="1407" customFormat="false" ht="15" hidden="false" customHeight="true" outlineLevel="0" collapsed="false">
      <c r="A1407" s="4" t="s">
        <v>5469</v>
      </c>
      <c r="B1407" s="4" t="s">
        <v>5846</v>
      </c>
      <c r="C1407" s="4" t="s">
        <v>4676</v>
      </c>
      <c r="D1407" s="4" t="s">
        <v>5472</v>
      </c>
      <c r="E1407" s="5" t="n">
        <v>36569</v>
      </c>
      <c r="F1407" s="4" t="n">
        <v>1</v>
      </c>
      <c r="G1407" s="4" t="s">
        <v>5847</v>
      </c>
      <c r="H1407" s="4" t="n">
        <v>42.65684</v>
      </c>
      <c r="I1407" s="4" t="n">
        <v>-71.1413</v>
      </c>
      <c r="J1407" s="4" t="s">
        <v>5848</v>
      </c>
      <c r="K1407" s="6" t="str">
        <f aca="false">HYPERLINK("https://www.google.com/search?q=Memorial+Hall+Library+Andover+MA+library+website","Search")</f>
        <v>Search</v>
      </c>
      <c r="L1407" s="7"/>
      <c r="M1407" s="7"/>
    </row>
    <row r="1408" customFormat="false" ht="15" hidden="false" customHeight="true" outlineLevel="0" collapsed="false">
      <c r="A1408" s="4" t="s">
        <v>5469</v>
      </c>
      <c r="B1408" s="4" t="s">
        <v>5849</v>
      </c>
      <c r="C1408" s="4" t="s">
        <v>5850</v>
      </c>
      <c r="D1408" s="4" t="s">
        <v>3038</v>
      </c>
      <c r="E1408" s="5" t="n">
        <v>24245</v>
      </c>
      <c r="F1408" s="4" t="n">
        <v>1</v>
      </c>
      <c r="G1408" s="4" t="s">
        <v>5851</v>
      </c>
      <c r="H1408" s="4" t="n">
        <v>41.89369</v>
      </c>
      <c r="I1408" s="4" t="n">
        <v>-70.90812</v>
      </c>
      <c r="J1408" s="4" t="s">
        <v>5852</v>
      </c>
      <c r="K1408" s="6" t="str">
        <f aca="false">HYPERLINK("https://www.google.com/search?q=Middleborough+Public+Library+Middleborough+MA+library+website","Search")</f>
        <v>Search</v>
      </c>
      <c r="L1408" s="7"/>
      <c r="M1408" s="7"/>
    </row>
    <row r="1409" customFormat="false" ht="15" hidden="false" customHeight="true" outlineLevel="0" collapsed="false">
      <c r="A1409" s="4" t="s">
        <v>5469</v>
      </c>
      <c r="B1409" s="4" t="s">
        <v>5853</v>
      </c>
      <c r="C1409" s="4" t="s">
        <v>2008</v>
      </c>
      <c r="D1409" s="4" t="s">
        <v>5505</v>
      </c>
      <c r="E1409" s="5" t="n">
        <v>30379</v>
      </c>
      <c r="F1409" s="4" t="n">
        <v>1</v>
      </c>
      <c r="G1409" s="4" t="s">
        <v>5854</v>
      </c>
      <c r="H1409" s="4" t="n">
        <v>42.14243</v>
      </c>
      <c r="I1409" s="4" t="n">
        <v>-71.52026</v>
      </c>
      <c r="J1409" s="4" t="s">
        <v>5855</v>
      </c>
      <c r="K1409" s="6" t="str">
        <f aca="false">HYPERLINK("https://www.google.com/search?q=Milford+Town+Library+Milford+MA+library+website","Search")</f>
        <v>Search</v>
      </c>
      <c r="L1409" s="7"/>
      <c r="M1409" s="7"/>
    </row>
    <row r="1410" customFormat="false" ht="15" hidden="false" customHeight="true" outlineLevel="0" collapsed="false">
      <c r="A1410" s="4" t="s">
        <v>5469</v>
      </c>
      <c r="B1410" s="4" t="s">
        <v>5856</v>
      </c>
      <c r="C1410" s="4" t="s">
        <v>5857</v>
      </c>
      <c r="D1410" s="4" t="s">
        <v>5505</v>
      </c>
      <c r="E1410" s="5" t="n">
        <v>13831</v>
      </c>
      <c r="F1410" s="4" t="n">
        <v>1</v>
      </c>
      <c r="G1410" s="4" t="s">
        <v>5858</v>
      </c>
      <c r="H1410" s="4" t="n">
        <v>42.19044</v>
      </c>
      <c r="I1410" s="4" t="n">
        <v>-71.76319</v>
      </c>
      <c r="J1410" s="4" t="s">
        <v>5859</v>
      </c>
      <c r="K1410" s="6" t="str">
        <f aca="false">HYPERLINK("https://www.google.com/search?q=Millbury+Public+Library+Millbury+MA+library+website","Search")</f>
        <v>Search</v>
      </c>
      <c r="L1410" s="7"/>
      <c r="M1410" s="7"/>
    </row>
    <row r="1411" customFormat="false" ht="15" hidden="false" customHeight="true" outlineLevel="0" collapsed="false">
      <c r="A1411" s="4" t="s">
        <v>5469</v>
      </c>
      <c r="B1411" s="4" t="s">
        <v>5860</v>
      </c>
      <c r="C1411" s="4" t="s">
        <v>5861</v>
      </c>
      <c r="D1411" s="4" t="s">
        <v>1845</v>
      </c>
      <c r="E1411" s="5" t="n">
        <v>15924</v>
      </c>
      <c r="F1411" s="4" t="n">
        <v>1</v>
      </c>
      <c r="G1411" s="4" t="s">
        <v>5862</v>
      </c>
      <c r="H1411" s="4" t="n">
        <v>41.6357</v>
      </c>
      <c r="I1411" s="4" t="n">
        <v>-70.9034</v>
      </c>
      <c r="J1411" s="4" t="s">
        <v>5863</v>
      </c>
      <c r="K1411" s="6" t="str">
        <f aca="false">HYPERLINK("https://www.google.com/search?q=Millicent+Library+Fairhaven+MA+library+website","Search")</f>
        <v>Search</v>
      </c>
      <c r="L1411" s="7"/>
      <c r="M1411" s="7"/>
    </row>
    <row r="1412" customFormat="false" ht="15" hidden="false" customHeight="true" outlineLevel="0" collapsed="false">
      <c r="A1412" s="4" t="s">
        <v>5469</v>
      </c>
      <c r="B1412" s="4" t="s">
        <v>5864</v>
      </c>
      <c r="C1412" s="4" t="s">
        <v>2535</v>
      </c>
      <c r="D1412" s="4" t="s">
        <v>5524</v>
      </c>
      <c r="E1412" s="5" t="n">
        <v>28630</v>
      </c>
      <c r="F1412" s="4" t="n">
        <v>1</v>
      </c>
      <c r="G1412" s="4" t="s">
        <v>5865</v>
      </c>
      <c r="H1412" s="4" t="n">
        <v>42.25387</v>
      </c>
      <c r="I1412" s="4" t="n">
        <v>-71.07742</v>
      </c>
      <c r="J1412" s="4" t="s">
        <v>5866</v>
      </c>
      <c r="K1412" s="6" t="str">
        <f aca="false">HYPERLINK("https://www.google.com/search?q=Milton+Public+Library+Milton+MA+library+website","Search")</f>
        <v>Search</v>
      </c>
      <c r="L1412" s="7"/>
      <c r="M1412" s="7"/>
    </row>
    <row r="1413" customFormat="false" ht="15" hidden="false" customHeight="true" outlineLevel="0" collapsed="false">
      <c r="A1413" s="4" t="s">
        <v>5469</v>
      </c>
      <c r="B1413" s="4" t="s">
        <v>5867</v>
      </c>
      <c r="C1413" s="4" t="s">
        <v>5868</v>
      </c>
      <c r="D1413" s="4" t="s">
        <v>5524</v>
      </c>
      <c r="E1413" s="5" t="n">
        <v>31611</v>
      </c>
      <c r="F1413" s="4" t="n">
        <v>1</v>
      </c>
      <c r="G1413" s="4" t="s">
        <v>5869</v>
      </c>
      <c r="H1413" s="4" t="n">
        <v>42.19133</v>
      </c>
      <c r="I1413" s="4" t="n">
        <v>-71.20385</v>
      </c>
      <c r="J1413" s="4" t="s">
        <v>5870</v>
      </c>
      <c r="K1413" s="6" t="str">
        <f aca="false">HYPERLINK("https://www.google.com/search?q=Morrill+Memorial+Library+Norwood+MA+library+website","Search")</f>
        <v>Search</v>
      </c>
      <c r="L1413" s="7"/>
      <c r="M1413" s="7"/>
    </row>
    <row r="1414" customFormat="false" ht="15" hidden="false" customHeight="true" outlineLevel="0" collapsed="false">
      <c r="A1414" s="4" t="s">
        <v>5469</v>
      </c>
      <c r="B1414" s="4" t="s">
        <v>5871</v>
      </c>
      <c r="C1414" s="4" t="s">
        <v>5872</v>
      </c>
      <c r="D1414" s="4" t="s">
        <v>1792</v>
      </c>
      <c r="E1414" s="5" t="n">
        <v>34315</v>
      </c>
      <c r="F1414" s="4" t="n">
        <v>1</v>
      </c>
      <c r="G1414" s="4" t="s">
        <v>5873</v>
      </c>
      <c r="H1414" s="4" t="n">
        <v>42.2845</v>
      </c>
      <c r="I1414" s="4" t="n">
        <v>-71.34594</v>
      </c>
      <c r="J1414" s="4" t="s">
        <v>5874</v>
      </c>
      <c r="K1414" s="6" t="str">
        <f aca="false">HYPERLINK("https://www.google.com/search?q=Morse+Institute+Library+Natick+MA+library+website","Search")</f>
        <v>Search</v>
      </c>
      <c r="L1414" s="7"/>
      <c r="M1414" s="7"/>
    </row>
    <row r="1415" customFormat="false" ht="15" hidden="false" customHeight="true" outlineLevel="0" collapsed="false">
      <c r="A1415" s="4" t="s">
        <v>5469</v>
      </c>
      <c r="B1415" s="4" t="s">
        <v>5875</v>
      </c>
      <c r="C1415" s="4" t="s">
        <v>5876</v>
      </c>
      <c r="D1415" s="4" t="s">
        <v>1792</v>
      </c>
      <c r="E1415" s="5" t="n">
        <v>32617</v>
      </c>
      <c r="F1415" s="4" t="n">
        <v>1</v>
      </c>
      <c r="G1415" s="4" t="s">
        <v>5877</v>
      </c>
      <c r="H1415" s="4" t="n">
        <v>42.67007</v>
      </c>
      <c r="I1415" s="4" t="n">
        <v>-71.30233</v>
      </c>
      <c r="J1415" s="4" t="s">
        <v>5878</v>
      </c>
      <c r="K1415" s="6" t="str">
        <f aca="false">HYPERLINK("https://www.google.com/search?q=Moses+Greeley+Parker+Memorial+Lib.+Dracut+MA+library+website","Search")</f>
        <v>Search</v>
      </c>
      <c r="L1415" s="7"/>
      <c r="M1415" s="7"/>
    </row>
    <row r="1416" customFormat="false" ht="15" hidden="false" customHeight="true" outlineLevel="0" collapsed="false">
      <c r="A1416" s="4" t="s">
        <v>5469</v>
      </c>
      <c r="B1416" s="4" t="s">
        <v>5879</v>
      </c>
      <c r="C1416" s="4" t="s">
        <v>5880</v>
      </c>
      <c r="D1416" s="4" t="s">
        <v>5880</v>
      </c>
      <c r="E1416" s="5" t="n">
        <v>14255</v>
      </c>
      <c r="F1416" s="4" t="n">
        <v>1</v>
      </c>
      <c r="G1416" s="4" t="s">
        <v>5881</v>
      </c>
      <c r="H1416" s="4" t="n">
        <v>41.28449</v>
      </c>
      <c r="I1416" s="4" t="n">
        <v>-70.0987</v>
      </c>
      <c r="J1416" s="4" t="s">
        <v>5882</v>
      </c>
      <c r="K1416" s="6" t="str">
        <f aca="false">HYPERLINK("https://www.google.com/search?q=Nantucket+Atheneum+Nantucket+MA+library+website","Search")</f>
        <v>Search</v>
      </c>
      <c r="L1416" s="7"/>
      <c r="M1416" s="7"/>
    </row>
    <row r="1417" customFormat="false" ht="15" hidden="false" customHeight="true" outlineLevel="0" collapsed="false">
      <c r="A1417" s="4" t="s">
        <v>5469</v>
      </c>
      <c r="B1417" s="4" t="s">
        <v>5883</v>
      </c>
      <c r="C1417" s="4" t="s">
        <v>5884</v>
      </c>
      <c r="D1417" s="4" t="s">
        <v>5524</v>
      </c>
      <c r="E1417" s="5" t="n">
        <v>32091</v>
      </c>
      <c r="F1417" s="4" t="n">
        <v>1</v>
      </c>
      <c r="G1417" s="4" t="s">
        <v>5885</v>
      </c>
      <c r="H1417" s="4" t="n">
        <v>42.28757</v>
      </c>
      <c r="I1417" s="4" t="n">
        <v>-71.23542</v>
      </c>
      <c r="J1417" s="4" t="s">
        <v>5886</v>
      </c>
      <c r="K1417" s="6" t="str">
        <f aca="false">HYPERLINK("https://www.google.com/search?q=Needham+Free+Public+Library+Needham+MA+library+website","Search")</f>
        <v>Search</v>
      </c>
      <c r="L1417" s="7"/>
      <c r="M1417" s="7"/>
    </row>
    <row r="1418" customFormat="false" ht="15" hidden="false" customHeight="true" outlineLevel="0" collapsed="false">
      <c r="A1418" s="4" t="s">
        <v>5469</v>
      </c>
      <c r="B1418" s="4" t="s">
        <v>5887</v>
      </c>
      <c r="C1418" s="4" t="s">
        <v>5888</v>
      </c>
      <c r="D1418" s="4" t="s">
        <v>5472</v>
      </c>
      <c r="E1418" s="5" t="n">
        <v>53059</v>
      </c>
      <c r="F1418" s="4" t="n">
        <v>1</v>
      </c>
      <c r="G1418" s="4" t="s">
        <v>5889</v>
      </c>
      <c r="H1418" s="4" t="n">
        <v>42.73043</v>
      </c>
      <c r="I1418" s="4" t="n">
        <v>-71.18895</v>
      </c>
      <c r="J1418" s="4" t="s">
        <v>5890</v>
      </c>
      <c r="K1418" s="6" t="str">
        <f aca="false">HYPERLINK("https://www.google.com/search?q=Nevins+Memorial+Library+Methuen+MA+library+website","Search")</f>
        <v>Search</v>
      </c>
      <c r="L1418" s="7"/>
      <c r="M1418" s="7"/>
    </row>
    <row r="1419" customFormat="false" ht="15" hidden="false" customHeight="true" outlineLevel="0" collapsed="false">
      <c r="A1419" s="4" t="s">
        <v>5469</v>
      </c>
      <c r="B1419" s="4" t="s">
        <v>5891</v>
      </c>
      <c r="C1419" s="4" t="s">
        <v>5892</v>
      </c>
      <c r="D1419" s="4" t="s">
        <v>1845</v>
      </c>
      <c r="E1419" s="5" t="n">
        <v>101079</v>
      </c>
      <c r="F1419" s="4" t="n">
        <v>5</v>
      </c>
      <c r="G1419" s="4" t="s">
        <v>5893</v>
      </c>
      <c r="H1419" s="4" t="n">
        <v>41.63501</v>
      </c>
      <c r="I1419" s="4" t="n">
        <v>-70.92748</v>
      </c>
      <c r="J1419" s="4" t="s">
        <v>5894</v>
      </c>
      <c r="K1419" s="6" t="str">
        <f aca="false">HYPERLINK("https://www.google.com/search?q=New+Bedford+Free+Public+Library+New+Bedford+MA+library+website","Search")</f>
        <v>Search</v>
      </c>
      <c r="L1419" s="7"/>
      <c r="M1419" s="7"/>
    </row>
    <row r="1420" customFormat="false" ht="15" hidden="false" customHeight="true" outlineLevel="0" collapsed="false">
      <c r="A1420" s="4" t="s">
        <v>5469</v>
      </c>
      <c r="B1420" s="4" t="s">
        <v>5895</v>
      </c>
      <c r="C1420" s="4" t="s">
        <v>5896</v>
      </c>
      <c r="D1420" s="4" t="s">
        <v>5472</v>
      </c>
      <c r="E1420" s="5" t="n">
        <v>18289</v>
      </c>
      <c r="F1420" s="4" t="n">
        <v>1</v>
      </c>
      <c r="G1420" s="4" t="s">
        <v>5897</v>
      </c>
      <c r="H1420" s="4" t="n">
        <v>42.80898</v>
      </c>
      <c r="I1420" s="4" t="n">
        <v>-70.8712</v>
      </c>
      <c r="J1420" s="4" t="s">
        <v>5898</v>
      </c>
      <c r="K1420" s="6" t="str">
        <f aca="false">HYPERLINK("https://www.google.com/search?q=Newburyport+Public+Library+Newburyport+MA+library+website","Search")</f>
        <v>Search</v>
      </c>
      <c r="L1420" s="7"/>
      <c r="M1420" s="7"/>
    </row>
    <row r="1421" customFormat="false" ht="15" hidden="false" customHeight="true" outlineLevel="0" collapsed="false">
      <c r="A1421" s="4" t="s">
        <v>5469</v>
      </c>
      <c r="B1421" s="4" t="s">
        <v>5899</v>
      </c>
      <c r="C1421" s="4" t="s">
        <v>2762</v>
      </c>
      <c r="D1421" s="4" t="s">
        <v>1792</v>
      </c>
      <c r="E1421" s="5" t="n">
        <v>88923</v>
      </c>
      <c r="F1421" s="4" t="n">
        <v>1</v>
      </c>
      <c r="G1421" s="4" t="s">
        <v>5900</v>
      </c>
      <c r="H1421" s="4" t="n">
        <v>42.33589</v>
      </c>
      <c r="I1421" s="4" t="n">
        <v>-71.20788</v>
      </c>
      <c r="J1421" s="4" t="s">
        <v>5901</v>
      </c>
      <c r="K1421" s="6" t="str">
        <f aca="false">HYPERLINK("https://www.google.com/search?q=Newton+Free+Library+Newton+MA+library+website","Search")</f>
        <v>Search</v>
      </c>
      <c r="L1421" s="7"/>
      <c r="M1421" s="7"/>
    </row>
    <row r="1422" customFormat="false" ht="15" hidden="false" customHeight="true" outlineLevel="0" collapsed="false">
      <c r="A1422" s="4" t="s">
        <v>5469</v>
      </c>
      <c r="B1422" s="4" t="s">
        <v>5902</v>
      </c>
      <c r="C1422" s="4" t="s">
        <v>5524</v>
      </c>
      <c r="D1422" s="4" t="s">
        <v>5524</v>
      </c>
      <c r="E1422" s="5" t="n">
        <v>11662</v>
      </c>
      <c r="F1422" s="4" t="n">
        <v>1</v>
      </c>
      <c r="G1422" s="4" t="s">
        <v>5903</v>
      </c>
      <c r="H1422" s="4" t="n">
        <v>42.11884</v>
      </c>
      <c r="I1422" s="4" t="n">
        <v>-71.32583</v>
      </c>
      <c r="J1422" s="4" t="s">
        <v>5904</v>
      </c>
      <c r="K1422" s="6" t="str">
        <f aca="false">HYPERLINK("https://www.google.com/search?q=Norfolk+Public+Library+Norfolk+MA+library+website","Search")</f>
        <v>Search</v>
      </c>
      <c r="L1422" s="7"/>
      <c r="M1422" s="7"/>
    </row>
    <row r="1423" customFormat="false" ht="15" hidden="false" customHeight="true" outlineLevel="0" collapsed="false">
      <c r="A1423" s="4" t="s">
        <v>5469</v>
      </c>
      <c r="B1423" s="4" t="s">
        <v>5905</v>
      </c>
      <c r="C1423" s="4" t="s">
        <v>5906</v>
      </c>
      <c r="D1423" s="4" t="s">
        <v>5533</v>
      </c>
      <c r="E1423" s="5" t="n">
        <v>12961</v>
      </c>
      <c r="F1423" s="4" t="n">
        <v>1</v>
      </c>
      <c r="G1423" s="4" t="s">
        <v>5907</v>
      </c>
      <c r="H1423" s="4" t="n">
        <v>42.69832</v>
      </c>
      <c r="I1423" s="4" t="n">
        <v>-73.10879</v>
      </c>
      <c r="J1423" s="4" t="s">
        <v>5908</v>
      </c>
      <c r="K1423" s="6" t="str">
        <f aca="false">HYPERLINK("https://www.google.com/search?q=North+Adams+Public+Library+North+Adams+MA+library+website","Search")</f>
        <v>Search</v>
      </c>
      <c r="L1423" s="7"/>
      <c r="M1423" s="7"/>
    </row>
    <row r="1424" customFormat="false" ht="15" hidden="false" customHeight="true" outlineLevel="0" collapsed="false">
      <c r="A1424" s="4" t="s">
        <v>5469</v>
      </c>
      <c r="B1424" s="4" t="s">
        <v>5909</v>
      </c>
      <c r="C1424" s="4" t="s">
        <v>5910</v>
      </c>
      <c r="D1424" s="4" t="s">
        <v>5505</v>
      </c>
      <c r="E1424" s="5" t="n">
        <v>15741</v>
      </c>
      <c r="F1424" s="4" t="n">
        <v>1</v>
      </c>
      <c r="G1424" s="4" t="s">
        <v>5911</v>
      </c>
      <c r="H1424" s="4" t="n">
        <v>42.31906</v>
      </c>
      <c r="I1424" s="4" t="n">
        <v>-71.64018</v>
      </c>
      <c r="J1424" s="4" t="s">
        <v>5912</v>
      </c>
      <c r="K1424" s="6" t="str">
        <f aca="false">HYPERLINK("https://www.google.com/search?q=Northborough+Free+Library+Northborough+MA+library+website","Search")</f>
        <v>Search</v>
      </c>
      <c r="L1424" s="7"/>
      <c r="M1424" s="7"/>
    </row>
    <row r="1425" customFormat="false" ht="15" hidden="false" customHeight="true" outlineLevel="0" collapsed="false">
      <c r="A1425" s="4" t="s">
        <v>5469</v>
      </c>
      <c r="B1425" s="4" t="s">
        <v>5913</v>
      </c>
      <c r="C1425" s="4" t="s">
        <v>5914</v>
      </c>
      <c r="D1425" s="4" t="s">
        <v>1845</v>
      </c>
      <c r="E1425" s="5" t="n">
        <v>19202</v>
      </c>
      <c r="F1425" s="4" t="n">
        <v>1</v>
      </c>
      <c r="G1425" s="4" t="s">
        <v>5915</v>
      </c>
      <c r="H1425" s="4" t="n">
        <v>41.97056</v>
      </c>
      <c r="I1425" s="4" t="n">
        <v>-71.18124</v>
      </c>
      <c r="J1425" s="4" t="s">
        <v>5916</v>
      </c>
      <c r="K1425" s="6" t="str">
        <f aca="false">HYPERLINK("https://www.google.com/search?q=Norton+Public+Library+Norton+MA+library+website","Search")</f>
        <v>Search</v>
      </c>
      <c r="L1425" s="7"/>
      <c r="M1425" s="7"/>
    </row>
    <row r="1426" customFormat="false" ht="15" hidden="false" customHeight="true" outlineLevel="0" collapsed="false">
      <c r="A1426" s="4" t="s">
        <v>5469</v>
      </c>
      <c r="B1426" s="4" t="s">
        <v>5917</v>
      </c>
      <c r="C1426" s="4" t="s">
        <v>5918</v>
      </c>
      <c r="D1426" s="4" t="s">
        <v>3038</v>
      </c>
      <c r="E1426" s="5" t="n">
        <v>11351</v>
      </c>
      <c r="F1426" s="4" t="n">
        <v>1</v>
      </c>
      <c r="G1426" s="4" t="s">
        <v>5919</v>
      </c>
      <c r="H1426" s="4" t="n">
        <v>42.15272</v>
      </c>
      <c r="I1426" s="4" t="n">
        <v>-70.83752</v>
      </c>
      <c r="J1426" s="4" t="s">
        <v>5920</v>
      </c>
      <c r="K1426" s="6" t="str">
        <f aca="false">HYPERLINK("https://www.google.com/search?q=Norwell+Public+Library+Norwell+MA+library+website","Search")</f>
        <v>Search</v>
      </c>
      <c r="L1426" s="7"/>
      <c r="M1426" s="7"/>
    </row>
    <row r="1427" customFormat="false" ht="15" hidden="false" customHeight="true" outlineLevel="0" collapsed="false">
      <c r="A1427" s="4" t="s">
        <v>5469</v>
      </c>
      <c r="B1427" s="4" t="s">
        <v>5921</v>
      </c>
      <c r="C1427" s="4" t="s">
        <v>352</v>
      </c>
      <c r="D1427" s="4" t="s">
        <v>5505</v>
      </c>
      <c r="E1427" s="5" t="n">
        <v>13347</v>
      </c>
      <c r="F1427" s="4" t="n">
        <v>1</v>
      </c>
      <c r="G1427" s="4" t="s">
        <v>5922</v>
      </c>
      <c r="H1427" s="4" t="n">
        <v>42.11857</v>
      </c>
      <c r="I1427" s="4" t="n">
        <v>-71.86522</v>
      </c>
      <c r="J1427" s="4" t="s">
        <v>5923</v>
      </c>
      <c r="K1427" s="6" t="str">
        <f aca="false">HYPERLINK("https://www.google.com/search?q=Oxford+Free+Public+Library+Oxford+MA+library+website","Search")</f>
        <v>Search</v>
      </c>
      <c r="L1427" s="7"/>
      <c r="M1427" s="7"/>
    </row>
    <row r="1428" customFormat="false" ht="15" hidden="false" customHeight="true" outlineLevel="0" collapsed="false">
      <c r="A1428" s="4" t="s">
        <v>5469</v>
      </c>
      <c r="B1428" s="4" t="s">
        <v>38</v>
      </c>
      <c r="C1428" s="4" t="s">
        <v>39</v>
      </c>
      <c r="D1428" s="4" t="s">
        <v>5489</v>
      </c>
      <c r="E1428" s="5" t="n">
        <v>12448</v>
      </c>
      <c r="F1428" s="4" t="n">
        <v>1</v>
      </c>
      <c r="G1428" s="4" t="s">
        <v>5924</v>
      </c>
      <c r="H1428" s="4" t="n">
        <v>42.15855</v>
      </c>
      <c r="I1428" s="4" t="n">
        <v>-72.33044</v>
      </c>
      <c r="J1428" s="4" t="s">
        <v>5925</v>
      </c>
      <c r="K1428" s="6" t="str">
        <f aca="false">HYPERLINK("https://www.google.com/search?q=Palmer+Public+Library+Palmer+MA+library+website","Search")</f>
        <v>Search</v>
      </c>
      <c r="L1428" s="7"/>
      <c r="M1428" s="7"/>
    </row>
    <row r="1429" customFormat="false" ht="15" hidden="false" customHeight="true" outlineLevel="0" collapsed="false">
      <c r="A1429" s="4" t="s">
        <v>5469</v>
      </c>
      <c r="B1429" s="4" t="s">
        <v>5926</v>
      </c>
      <c r="C1429" s="4" t="s">
        <v>5927</v>
      </c>
      <c r="D1429" s="4" t="s">
        <v>5472</v>
      </c>
      <c r="E1429" s="5" t="n">
        <v>28087</v>
      </c>
      <c r="F1429" s="4" t="n">
        <v>1</v>
      </c>
      <c r="G1429" s="4" t="s">
        <v>5928</v>
      </c>
      <c r="H1429" s="4" t="n">
        <v>42.56166</v>
      </c>
      <c r="I1429" s="4" t="n">
        <v>-70.941</v>
      </c>
      <c r="J1429" s="4" t="s">
        <v>5929</v>
      </c>
      <c r="K1429" s="6" t="str">
        <f aca="false">HYPERLINK("https://www.google.com/search?q=Peabody+Institute+Library+Danvers+MA+library+website","Search")</f>
        <v>Search</v>
      </c>
      <c r="L1429" s="7"/>
      <c r="M1429" s="7"/>
    </row>
    <row r="1430" customFormat="false" ht="15" hidden="false" customHeight="true" outlineLevel="0" collapsed="false">
      <c r="A1430" s="4" t="s">
        <v>5469</v>
      </c>
      <c r="B1430" s="4" t="s">
        <v>5926</v>
      </c>
      <c r="C1430" s="4" t="s">
        <v>5930</v>
      </c>
      <c r="D1430" s="4" t="s">
        <v>5472</v>
      </c>
      <c r="E1430" s="5" t="n">
        <v>54481</v>
      </c>
      <c r="F1430" s="4" t="n">
        <v>3</v>
      </c>
      <c r="G1430" s="4" t="s">
        <v>5931</v>
      </c>
      <c r="H1430" s="4" t="n">
        <v>42.52501</v>
      </c>
      <c r="I1430" s="4" t="n">
        <v>-70.9242</v>
      </c>
      <c r="J1430" s="4" t="s">
        <v>5932</v>
      </c>
      <c r="K1430" s="6" t="str">
        <f aca="false">HYPERLINK("https://www.google.com/search?q=Peabody+Institute+Library+Peabody+MA+library+website","Search")</f>
        <v>Search</v>
      </c>
      <c r="L1430" s="7"/>
      <c r="M1430" s="7"/>
    </row>
    <row r="1431" customFormat="false" ht="15" hidden="false" customHeight="true" outlineLevel="0" collapsed="false">
      <c r="A1431" s="4" t="s">
        <v>5469</v>
      </c>
      <c r="B1431" s="4" t="s">
        <v>5933</v>
      </c>
      <c r="C1431" s="4" t="s">
        <v>5934</v>
      </c>
      <c r="D1431" s="4" t="s">
        <v>5505</v>
      </c>
      <c r="E1431" s="5" t="n">
        <v>11921</v>
      </c>
      <c r="F1431" s="4" t="n">
        <v>1</v>
      </c>
      <c r="G1431" s="4" t="s">
        <v>5935</v>
      </c>
      <c r="H1431" s="4" t="n">
        <v>42.04419</v>
      </c>
      <c r="I1431" s="4" t="n">
        <v>-71.89174</v>
      </c>
      <c r="J1431" s="4" t="s">
        <v>5936</v>
      </c>
      <c r="K1431" s="6" t="str">
        <f aca="false">HYPERLINK("https://www.google.com/search?q=Pearle+L.+Crawford+Memorial+Library+Dudley+MA+library+website","Search")</f>
        <v>Search</v>
      </c>
      <c r="L1431" s="7"/>
      <c r="M1431" s="7"/>
    </row>
    <row r="1432" customFormat="false" ht="15" hidden="false" customHeight="true" outlineLevel="0" collapsed="false">
      <c r="A1432" s="4" t="s">
        <v>5469</v>
      </c>
      <c r="B1432" s="4" t="s">
        <v>5937</v>
      </c>
      <c r="C1432" s="4" t="s">
        <v>5938</v>
      </c>
      <c r="D1432" s="4" t="s">
        <v>3038</v>
      </c>
      <c r="E1432" s="5" t="n">
        <v>18361</v>
      </c>
      <c r="F1432" s="4" t="n">
        <v>1</v>
      </c>
      <c r="G1432" s="4" t="s">
        <v>5939</v>
      </c>
      <c r="H1432" s="4" t="n">
        <v>42.06945</v>
      </c>
      <c r="I1432" s="4" t="n">
        <v>-70.80844</v>
      </c>
      <c r="J1432" s="4" t="s">
        <v>5940</v>
      </c>
      <c r="K1432" s="6" t="str">
        <f aca="false">HYPERLINK("https://www.google.com/search?q=Pembroke+Public+Library+Pembroke+MA+library+website","Search")</f>
        <v>Search</v>
      </c>
      <c r="L1432" s="7"/>
      <c r="M1432" s="7"/>
    </row>
    <row r="1433" customFormat="false" ht="15" hidden="false" customHeight="true" outlineLevel="0" collapsed="false">
      <c r="A1433" s="4" t="s">
        <v>5469</v>
      </c>
      <c r="B1433" s="4" t="s">
        <v>4574</v>
      </c>
      <c r="C1433" s="4" t="s">
        <v>3038</v>
      </c>
      <c r="D1433" s="4" t="s">
        <v>3038</v>
      </c>
      <c r="E1433" s="5" t="n">
        <v>61217</v>
      </c>
      <c r="F1433" s="4" t="n">
        <v>2</v>
      </c>
      <c r="G1433" s="4" t="s">
        <v>5941</v>
      </c>
      <c r="H1433" s="4" t="n">
        <v>41.9429</v>
      </c>
      <c r="I1433" s="4" t="n">
        <v>-70.657</v>
      </c>
      <c r="J1433" s="4" t="s">
        <v>5942</v>
      </c>
      <c r="K1433" s="6" t="str">
        <f aca="false">HYPERLINK("https://www.google.com/search?q=Plymouth+Public+Library+Plymouth+MA+library+website","Search")</f>
        <v>Search</v>
      </c>
      <c r="L1433" s="7"/>
      <c r="M1433" s="7"/>
    </row>
    <row r="1434" customFormat="false" ht="15" hidden="false" customHeight="true" outlineLevel="0" collapsed="false">
      <c r="A1434" s="4" t="s">
        <v>5469</v>
      </c>
      <c r="B1434" s="4" t="s">
        <v>5943</v>
      </c>
      <c r="C1434" s="4" t="s">
        <v>5944</v>
      </c>
      <c r="D1434" s="4" t="s">
        <v>1845</v>
      </c>
      <c r="E1434" s="5" t="n">
        <v>15142</v>
      </c>
      <c r="F1434" s="4" t="n">
        <v>1</v>
      </c>
      <c r="G1434" s="4" t="s">
        <v>5945</v>
      </c>
      <c r="H1434" s="4" t="n">
        <v>41.92276</v>
      </c>
      <c r="I1434" s="4" t="n">
        <v>-71.05316</v>
      </c>
      <c r="J1434" s="4" t="s">
        <v>5946</v>
      </c>
      <c r="K1434" s="6" t="str">
        <f aca="false">HYPERLINK("https://www.google.com/search?q=Raynham+Public+Library+Raynham+MA+library+website","Search")</f>
        <v>Search</v>
      </c>
      <c r="L1434" s="7"/>
      <c r="M1434" s="7"/>
    </row>
    <row r="1435" customFormat="false" ht="15" hidden="false" customHeight="true" outlineLevel="0" collapsed="false">
      <c r="A1435" s="4" t="s">
        <v>5469</v>
      </c>
      <c r="B1435" s="4" t="s">
        <v>5947</v>
      </c>
      <c r="C1435" s="4" t="s">
        <v>5948</v>
      </c>
      <c r="D1435" s="4" t="s">
        <v>1792</v>
      </c>
      <c r="E1435" s="5" t="n">
        <v>25518</v>
      </c>
      <c r="F1435" s="4" t="n">
        <v>1</v>
      </c>
      <c r="G1435" s="4" t="s">
        <v>5949</v>
      </c>
      <c r="H1435" s="4" t="n">
        <v>42.52613</v>
      </c>
      <c r="I1435" s="4" t="n">
        <v>-71.1103</v>
      </c>
      <c r="J1435" s="4" t="s">
        <v>5950</v>
      </c>
      <c r="K1435" s="6" t="str">
        <f aca="false">HYPERLINK("https://www.google.com/search?q=Reading+Public+Library+Reading+MA+library+website","Search")</f>
        <v>Search</v>
      </c>
      <c r="L1435" s="7"/>
      <c r="M1435" s="7"/>
    </row>
    <row r="1436" customFormat="false" ht="15" hidden="false" customHeight="true" outlineLevel="0" collapsed="false">
      <c r="A1436" s="4" t="s">
        <v>5469</v>
      </c>
      <c r="B1436" s="4" t="s">
        <v>5951</v>
      </c>
      <c r="C1436" s="4" t="s">
        <v>1691</v>
      </c>
      <c r="D1436" s="4" t="s">
        <v>1792</v>
      </c>
      <c r="E1436" s="5" t="n">
        <v>10141</v>
      </c>
      <c r="F1436" s="4" t="n">
        <v>1</v>
      </c>
      <c r="G1436" s="4" t="s">
        <v>5952</v>
      </c>
      <c r="H1436" s="4" t="n">
        <v>42.54221</v>
      </c>
      <c r="I1436" s="4" t="n">
        <v>-71.48063</v>
      </c>
      <c r="J1436" s="4" t="s">
        <v>5953</v>
      </c>
      <c r="K1436" s="6" t="str">
        <f aca="false">HYPERLINK("https://www.google.com/search?q=Reuben+Hoar+Library+Littleton+MA+library+website","Search")</f>
        <v>Search</v>
      </c>
      <c r="L1436" s="7"/>
      <c r="M1436" s="7"/>
    </row>
    <row r="1437" customFormat="false" ht="15" hidden="false" customHeight="true" outlineLevel="0" collapsed="false">
      <c r="A1437" s="4" t="s">
        <v>5469</v>
      </c>
      <c r="B1437" s="4" t="s">
        <v>5954</v>
      </c>
      <c r="C1437" s="4" t="s">
        <v>5955</v>
      </c>
      <c r="D1437" s="4" t="s">
        <v>5553</v>
      </c>
      <c r="E1437" s="5" t="n">
        <v>62186</v>
      </c>
      <c r="F1437" s="4" t="n">
        <v>1</v>
      </c>
      <c r="G1437" s="4" t="s">
        <v>5956</v>
      </c>
      <c r="H1437" s="4" t="n">
        <v>42.40802</v>
      </c>
      <c r="I1437" s="4" t="n">
        <v>-71.00918</v>
      </c>
      <c r="J1437" s="4" t="s">
        <v>5957</v>
      </c>
      <c r="K1437" s="6" t="str">
        <f aca="false">HYPERLINK("https://www.google.com/search?q=Revere+Public+Library+Revere+MA+library+website","Search")</f>
        <v>Search</v>
      </c>
      <c r="L1437" s="7"/>
      <c r="M1437" s="7"/>
    </row>
    <row r="1438" customFormat="false" ht="15" hidden="false" customHeight="true" outlineLevel="0" collapsed="false">
      <c r="A1438" s="4" t="s">
        <v>5469</v>
      </c>
      <c r="B1438" s="4" t="s">
        <v>5958</v>
      </c>
      <c r="C1438" s="4" t="s">
        <v>5959</v>
      </c>
      <c r="D1438" s="4" t="s">
        <v>5489</v>
      </c>
      <c r="E1438" s="5" t="n">
        <v>15853</v>
      </c>
      <c r="F1438" s="4" t="n">
        <v>1</v>
      </c>
      <c r="G1438" s="4" t="s">
        <v>5960</v>
      </c>
      <c r="H1438" s="4" t="n">
        <v>42.05212</v>
      </c>
      <c r="I1438" s="4" t="n">
        <v>-72.58073</v>
      </c>
      <c r="J1438" s="4" t="s">
        <v>5961</v>
      </c>
      <c r="K1438" s="6" t="str">
        <f aca="false">HYPERLINK("https://www.google.com/search?q=Richard+Salter+Storrs+Library+Longmeadow+MA+library+website","Search")</f>
        <v>Search</v>
      </c>
      <c r="L1438" s="7"/>
      <c r="M1438" s="7"/>
    </row>
    <row r="1439" customFormat="false" ht="15" hidden="false" customHeight="true" outlineLevel="0" collapsed="false">
      <c r="A1439" s="4" t="s">
        <v>5469</v>
      </c>
      <c r="B1439" s="4" t="s">
        <v>5962</v>
      </c>
      <c r="C1439" s="4" t="s">
        <v>3118</v>
      </c>
      <c r="D1439" s="4" t="s">
        <v>5505</v>
      </c>
      <c r="E1439" s="5" t="n">
        <v>11992</v>
      </c>
      <c r="F1439" s="4" t="n">
        <v>1</v>
      </c>
      <c r="G1439" s="4" t="s">
        <v>5963</v>
      </c>
      <c r="H1439" s="4" t="n">
        <v>42.24449</v>
      </c>
      <c r="I1439" s="4" t="n">
        <v>-71.99466</v>
      </c>
      <c r="J1439" s="4" t="s">
        <v>5964</v>
      </c>
      <c r="K1439" s="6" t="str">
        <f aca="false">HYPERLINK("https://www.google.com/search?q=Richard+Sugden+Public+Library+Spencer+MA+library+website","Search")</f>
        <v>Search</v>
      </c>
      <c r="L1439" s="7"/>
      <c r="M1439" s="7"/>
    </row>
    <row r="1440" customFormat="false" ht="15" hidden="false" customHeight="true" outlineLevel="0" collapsed="false">
      <c r="A1440" s="4" t="s">
        <v>5469</v>
      </c>
      <c r="B1440" s="4" t="s">
        <v>5965</v>
      </c>
      <c r="C1440" s="4" t="s">
        <v>5966</v>
      </c>
      <c r="D1440" s="4" t="s">
        <v>1845</v>
      </c>
      <c r="E1440" s="5" t="n">
        <v>30834</v>
      </c>
      <c r="F1440" s="4" t="n">
        <v>1</v>
      </c>
      <c r="G1440" s="4" t="s">
        <v>5967</v>
      </c>
      <c r="H1440" s="4" t="n">
        <v>41.98529</v>
      </c>
      <c r="I1440" s="4" t="n">
        <v>-71.33246</v>
      </c>
      <c r="J1440" s="4" t="s">
        <v>5968</v>
      </c>
      <c r="K1440" s="6" t="str">
        <f aca="false">HYPERLINK("https://www.google.com/search?q=Richards+Memorial+Library+North+Attleborough+MA+library+website","Search")</f>
        <v>Search</v>
      </c>
      <c r="L1440" s="7"/>
      <c r="M1440" s="7"/>
    </row>
    <row r="1441" customFormat="false" ht="15" hidden="false" customHeight="true" outlineLevel="0" collapsed="false">
      <c r="A1441" s="4" t="s">
        <v>5469</v>
      </c>
      <c r="B1441" s="4" t="s">
        <v>5969</v>
      </c>
      <c r="C1441" s="4" t="s">
        <v>5970</v>
      </c>
      <c r="D1441" s="4" t="s">
        <v>1792</v>
      </c>
      <c r="E1441" s="5" t="n">
        <v>46308</v>
      </c>
      <c r="F1441" s="4" t="n">
        <v>2</v>
      </c>
      <c r="G1441" s="4" t="s">
        <v>5971</v>
      </c>
      <c r="H1441" s="4" t="n">
        <v>42.41568</v>
      </c>
      <c r="I1441" s="4" t="n">
        <v>-71.15516</v>
      </c>
      <c r="J1441" s="4" t="s">
        <v>5972</v>
      </c>
      <c r="K1441" s="6" t="str">
        <f aca="false">HYPERLINK("https://www.google.com/search?q=Robbins+Library+Arlington+MA+library+website","Search")</f>
        <v>Search</v>
      </c>
      <c r="L1441" s="7"/>
      <c r="M1441" s="7"/>
    </row>
    <row r="1442" customFormat="false" ht="15" hidden="false" customHeight="true" outlineLevel="0" collapsed="false">
      <c r="A1442" s="4" t="s">
        <v>5469</v>
      </c>
      <c r="B1442" s="4" t="s">
        <v>5973</v>
      </c>
      <c r="C1442" s="4" t="s">
        <v>5974</v>
      </c>
      <c r="D1442" s="4" t="s">
        <v>3038</v>
      </c>
      <c r="E1442" s="5" t="n">
        <v>17803</v>
      </c>
      <c r="F1442" s="4" t="n">
        <v>1</v>
      </c>
      <c r="G1442" s="4" t="s">
        <v>5975</v>
      </c>
      <c r="H1442" s="4" t="n">
        <v>42.13214</v>
      </c>
      <c r="I1442" s="4" t="n">
        <v>-70.91683</v>
      </c>
      <c r="J1442" s="4" t="s">
        <v>5976</v>
      </c>
      <c r="K1442" s="6" t="str">
        <f aca="false">HYPERLINK("https://www.google.com/search?q=Rockland+Memorial+Library+Rockland+MA+library+website","Search")</f>
        <v>Search</v>
      </c>
      <c r="L1442" s="7"/>
      <c r="M1442" s="7"/>
    </row>
    <row r="1443" customFormat="false" ht="15" hidden="false" customHeight="true" outlineLevel="0" collapsed="false">
      <c r="A1443" s="4" t="s">
        <v>5469</v>
      </c>
      <c r="B1443" s="4" t="s">
        <v>5977</v>
      </c>
      <c r="C1443" s="4" t="s">
        <v>4598</v>
      </c>
      <c r="D1443" s="4" t="s">
        <v>5472</v>
      </c>
      <c r="E1443" s="5" t="n">
        <v>44480</v>
      </c>
      <c r="F1443" s="4" t="n">
        <v>1</v>
      </c>
      <c r="G1443" s="4" t="s">
        <v>5978</v>
      </c>
      <c r="H1443" s="4" t="n">
        <v>42.52029</v>
      </c>
      <c r="I1443" s="4" t="n">
        <v>-70.90318</v>
      </c>
      <c r="J1443" s="4" t="s">
        <v>5979</v>
      </c>
      <c r="K1443" s="6" t="str">
        <f aca="false">HYPERLINK("https://www.google.com/search?q=Salem+Public+Library+Salem+MA+library+website","Search")</f>
        <v>Search</v>
      </c>
      <c r="L1443" s="7"/>
      <c r="M1443" s="7"/>
    </row>
    <row r="1444" customFormat="false" ht="15" hidden="false" customHeight="true" outlineLevel="0" collapsed="false">
      <c r="A1444" s="4" t="s">
        <v>5469</v>
      </c>
      <c r="B1444" s="4" t="s">
        <v>5980</v>
      </c>
      <c r="C1444" s="4" t="s">
        <v>4471</v>
      </c>
      <c r="D1444" s="4" t="s">
        <v>1792</v>
      </c>
      <c r="E1444" s="5" t="n">
        <v>115554</v>
      </c>
      <c r="F1444" s="4" t="n">
        <v>2</v>
      </c>
      <c r="G1444" s="4" t="s">
        <v>5981</v>
      </c>
      <c r="H1444" s="4" t="n">
        <v>42.64656</v>
      </c>
      <c r="I1444" s="4" t="n">
        <v>-71.31473</v>
      </c>
      <c r="J1444" s="4" t="s">
        <v>5982</v>
      </c>
      <c r="K1444" s="6" t="str">
        <f aca="false">HYPERLINK("https://www.google.com/search?q=Samuel+S.+Pollard+Memorial+Library+Lowell+MA+library+website","Search")</f>
        <v>Search</v>
      </c>
      <c r="L1444" s="7"/>
      <c r="M1444" s="7"/>
    </row>
    <row r="1445" customFormat="false" ht="15" hidden="false" customHeight="true" outlineLevel="0" collapsed="false">
      <c r="A1445" s="4" t="s">
        <v>5469</v>
      </c>
      <c r="B1445" s="4" t="s">
        <v>5983</v>
      </c>
      <c r="C1445" s="4" t="s">
        <v>5984</v>
      </c>
      <c r="D1445" s="4" t="s">
        <v>5562</v>
      </c>
      <c r="E1445" s="5" t="n">
        <v>20259</v>
      </c>
      <c r="F1445" s="4" t="n">
        <v>1</v>
      </c>
      <c r="G1445" s="4" t="s">
        <v>5985</v>
      </c>
      <c r="H1445" s="4" t="n">
        <v>41.75799</v>
      </c>
      <c r="I1445" s="4" t="n">
        <v>-70.49855</v>
      </c>
      <c r="J1445" s="4" t="s">
        <v>5986</v>
      </c>
      <c r="K1445" s="6" t="str">
        <f aca="false">HYPERLINK("https://www.google.com/search?q=Sandwich+Free+Public+Library+Sandwich+MA+library+website","Search")</f>
        <v>Search</v>
      </c>
      <c r="L1445" s="7"/>
      <c r="M1445" s="7"/>
    </row>
    <row r="1446" customFormat="false" ht="15" hidden="false" customHeight="true" outlineLevel="0" collapsed="false">
      <c r="A1446" s="4" t="s">
        <v>5469</v>
      </c>
      <c r="B1446" s="4" t="s">
        <v>5987</v>
      </c>
      <c r="C1446" s="4" t="s">
        <v>5988</v>
      </c>
      <c r="D1446" s="4" t="s">
        <v>5472</v>
      </c>
      <c r="E1446" s="5" t="n">
        <v>28619</v>
      </c>
      <c r="F1446" s="4" t="n">
        <v>1</v>
      </c>
      <c r="G1446" s="4" t="s">
        <v>5989</v>
      </c>
      <c r="H1446" s="4" t="n">
        <v>42.46535</v>
      </c>
      <c r="I1446" s="4" t="n">
        <v>-71.01009</v>
      </c>
      <c r="J1446" s="4" t="s">
        <v>5990</v>
      </c>
      <c r="K1446" s="6" t="str">
        <f aca="false">HYPERLINK("https://www.google.com/search?q=Saugus+Public+Library+Saugus+MA+library+website","Search")</f>
        <v>Search</v>
      </c>
      <c r="L1446" s="7"/>
      <c r="M1446" s="7"/>
    </row>
    <row r="1447" customFormat="false" ht="15" hidden="false" customHeight="true" outlineLevel="0" collapsed="false">
      <c r="A1447" s="4" t="s">
        <v>5469</v>
      </c>
      <c r="B1447" s="4" t="s">
        <v>5991</v>
      </c>
      <c r="C1447" s="4" t="s">
        <v>5992</v>
      </c>
      <c r="D1447" s="4" t="s">
        <v>3038</v>
      </c>
      <c r="E1447" s="5" t="n">
        <v>19063</v>
      </c>
      <c r="F1447" s="4" t="n">
        <v>1</v>
      </c>
      <c r="G1447" s="4" t="s">
        <v>5993</v>
      </c>
      <c r="H1447" s="4" t="n">
        <v>42.20271</v>
      </c>
      <c r="I1447" s="4" t="n">
        <v>-70.75639</v>
      </c>
      <c r="J1447" s="4" t="s">
        <v>5994</v>
      </c>
      <c r="K1447" s="6" t="str">
        <f aca="false">HYPERLINK("https://www.google.com/search?q=Scituate+Town+Library+Scituate+MA+library+website","Search")</f>
        <v>Search</v>
      </c>
      <c r="L1447" s="7"/>
      <c r="M1447" s="7"/>
    </row>
    <row r="1448" customFormat="false" ht="15" hidden="false" customHeight="true" outlineLevel="0" collapsed="false">
      <c r="A1448" s="4" t="s">
        <v>5469</v>
      </c>
      <c r="B1448" s="4" t="s">
        <v>5995</v>
      </c>
      <c r="C1448" s="4" t="s">
        <v>5996</v>
      </c>
      <c r="D1448" s="4" t="s">
        <v>1845</v>
      </c>
      <c r="E1448" s="5" t="n">
        <v>15531</v>
      </c>
      <c r="F1448" s="4" t="n">
        <v>1</v>
      </c>
      <c r="G1448" s="4" t="s">
        <v>5997</v>
      </c>
      <c r="H1448" s="4" t="n">
        <v>41.85332</v>
      </c>
      <c r="I1448" s="4" t="n">
        <v>-71.32944</v>
      </c>
      <c r="J1448" s="4" t="s">
        <v>5998</v>
      </c>
      <c r="K1448" s="6" t="str">
        <f aca="false">HYPERLINK("https://www.google.com/search?q=Seekonk+Public+Library+Seekonk+MA+library+website","Search")</f>
        <v>Search</v>
      </c>
      <c r="L1448" s="7"/>
      <c r="M1448" s="7"/>
    </row>
    <row r="1449" customFormat="false" ht="15" hidden="false" customHeight="true" outlineLevel="0" collapsed="false">
      <c r="A1449" s="4" t="s">
        <v>5469</v>
      </c>
      <c r="B1449" s="4" t="s">
        <v>5999</v>
      </c>
      <c r="C1449" s="4" t="s">
        <v>6000</v>
      </c>
      <c r="D1449" s="4" t="s">
        <v>5524</v>
      </c>
      <c r="E1449" s="5" t="n">
        <v>18575</v>
      </c>
      <c r="F1449" s="4" t="n">
        <v>1</v>
      </c>
      <c r="G1449" s="4" t="s">
        <v>6001</v>
      </c>
      <c r="H1449" s="4" t="n">
        <v>42.12413</v>
      </c>
      <c r="I1449" s="4" t="n">
        <v>-71.17822</v>
      </c>
      <c r="J1449" s="4" t="s">
        <v>6002</v>
      </c>
      <c r="K1449" s="6" t="str">
        <f aca="false">HYPERLINK("https://www.google.com/search?q=Sharon+Public+Library+Sharon+MA+library+website","Search")</f>
        <v>Search</v>
      </c>
      <c r="L1449" s="7"/>
      <c r="M1449" s="7"/>
    </row>
    <row r="1450" customFormat="false" ht="15" hidden="false" customHeight="true" outlineLevel="0" collapsed="false">
      <c r="A1450" s="4" t="s">
        <v>5469</v>
      </c>
      <c r="B1450" s="4" t="s">
        <v>6003</v>
      </c>
      <c r="C1450" s="4" t="s">
        <v>6004</v>
      </c>
      <c r="D1450" s="4" t="s">
        <v>5505</v>
      </c>
      <c r="E1450" s="5" t="n">
        <v>38325</v>
      </c>
      <c r="F1450" s="4" t="n">
        <v>1</v>
      </c>
      <c r="G1450" s="4" t="s">
        <v>6005</v>
      </c>
      <c r="H1450" s="4" t="n">
        <v>42.29706</v>
      </c>
      <c r="I1450" s="4" t="n">
        <v>-71.71279</v>
      </c>
      <c r="J1450" s="4" t="s">
        <v>6006</v>
      </c>
      <c r="K1450" s="6" t="str">
        <f aca="false">HYPERLINK("https://www.google.com/search?q=Shrewsbury+Free+Public+Library+Shrewsbury+MA+library+website","Search")</f>
        <v>Search</v>
      </c>
      <c r="L1450" s="7"/>
      <c r="M1450" s="7"/>
    </row>
    <row r="1451" customFormat="false" ht="15" hidden="false" customHeight="true" outlineLevel="0" collapsed="false">
      <c r="A1451" s="4" t="s">
        <v>5469</v>
      </c>
      <c r="B1451" s="4" t="s">
        <v>6007</v>
      </c>
      <c r="C1451" s="4" t="s">
        <v>5152</v>
      </c>
      <c r="D1451" s="4" t="s">
        <v>1845</v>
      </c>
      <c r="E1451" s="5" t="n">
        <v>18303</v>
      </c>
      <c r="F1451" s="4" t="n">
        <v>1</v>
      </c>
      <c r="G1451" s="4" t="s">
        <v>6008</v>
      </c>
      <c r="H1451" s="4" t="n">
        <v>41.75243</v>
      </c>
      <c r="I1451" s="4" t="n">
        <v>-71.14098</v>
      </c>
      <c r="J1451" s="4" t="s">
        <v>6009</v>
      </c>
      <c r="K1451" s="6" t="str">
        <f aca="false">HYPERLINK("https://www.google.com/search?q=Somerset+Public+Library+Somerset+MA+library+website","Search")</f>
        <v>Search</v>
      </c>
      <c r="L1451" s="7"/>
      <c r="M1451" s="7"/>
    </row>
    <row r="1452" customFormat="false" ht="15" hidden="false" customHeight="true" outlineLevel="0" collapsed="false">
      <c r="A1452" s="4" t="s">
        <v>5469</v>
      </c>
      <c r="B1452" s="4" t="s">
        <v>6010</v>
      </c>
      <c r="C1452" s="4" t="s">
        <v>6011</v>
      </c>
      <c r="D1452" s="4" t="s">
        <v>1792</v>
      </c>
      <c r="E1452" s="5" t="n">
        <v>81045</v>
      </c>
      <c r="F1452" s="4" t="n">
        <v>3</v>
      </c>
      <c r="G1452" s="4" t="s">
        <v>6012</v>
      </c>
      <c r="H1452" s="4" t="n">
        <v>42.3858</v>
      </c>
      <c r="I1452" s="4" t="n">
        <v>-71.0944</v>
      </c>
      <c r="J1452" s="4" t="s">
        <v>6013</v>
      </c>
      <c r="K1452" s="6" t="str">
        <f aca="false">HYPERLINK("https://www.google.com/search?q=Somerville+Public+Library+Somerville+MA+library+website","Search")</f>
        <v>Search</v>
      </c>
      <c r="L1452" s="7"/>
      <c r="M1452" s="7"/>
    </row>
    <row r="1453" customFormat="false" ht="15" hidden="false" customHeight="true" outlineLevel="0" collapsed="false">
      <c r="A1453" s="4" t="s">
        <v>5469</v>
      </c>
      <c r="B1453" s="4" t="s">
        <v>6014</v>
      </c>
      <c r="C1453" s="4" t="s">
        <v>6015</v>
      </c>
      <c r="D1453" s="4" t="s">
        <v>3538</v>
      </c>
      <c r="E1453" s="5" t="n">
        <v>18150</v>
      </c>
      <c r="F1453" s="4" t="n">
        <v>2</v>
      </c>
      <c r="G1453" s="4" t="s">
        <v>6016</v>
      </c>
      <c r="H1453" s="4" t="n">
        <v>42.21505</v>
      </c>
      <c r="I1453" s="4" t="n">
        <v>-72.60159</v>
      </c>
      <c r="J1453" s="4" t="s">
        <v>6017</v>
      </c>
      <c r="K1453" s="6" t="str">
        <f aca="false">HYPERLINK("https://www.google.com/search?q=South+Hadley+Public+Library+South+Hadley+MA+library+website","Search")</f>
        <v>Search</v>
      </c>
      <c r="L1453" s="7"/>
      <c r="M1453" s="7"/>
    </row>
    <row r="1454" customFormat="false" ht="15" hidden="false" customHeight="true" outlineLevel="0" collapsed="false">
      <c r="A1454" s="4" t="s">
        <v>5469</v>
      </c>
      <c r="B1454" s="4" t="s">
        <v>6018</v>
      </c>
      <c r="C1454" s="4" t="s">
        <v>6019</v>
      </c>
      <c r="D1454" s="4" t="s">
        <v>5505</v>
      </c>
      <c r="E1454" s="5" t="n">
        <v>10450</v>
      </c>
      <c r="F1454" s="4" t="n">
        <v>1</v>
      </c>
      <c r="G1454" s="4" t="s">
        <v>6020</v>
      </c>
      <c r="H1454" s="4" t="n">
        <v>42.30625</v>
      </c>
      <c r="I1454" s="4" t="n">
        <v>-71.53008</v>
      </c>
      <c r="J1454" s="4" t="s">
        <v>6021</v>
      </c>
      <c r="K1454" s="6" t="str">
        <f aca="false">HYPERLINK("https://www.google.com/search?q=Southborough+Public+Library+Southborough+MA+library+website","Search")</f>
        <v>Search</v>
      </c>
      <c r="L1454" s="7"/>
      <c r="M1454" s="7"/>
    </row>
    <row r="1455" customFormat="false" ht="15" hidden="false" customHeight="true" outlineLevel="0" collapsed="false">
      <c r="A1455" s="4" t="s">
        <v>5469</v>
      </c>
      <c r="B1455" s="4" t="s">
        <v>6022</v>
      </c>
      <c r="C1455" s="4" t="s">
        <v>3770</v>
      </c>
      <c r="D1455" s="4" t="s">
        <v>5489</v>
      </c>
      <c r="E1455" s="5" t="n">
        <v>155929</v>
      </c>
      <c r="F1455" s="4" t="n">
        <v>9</v>
      </c>
      <c r="G1455" s="4" t="s">
        <v>6023</v>
      </c>
      <c r="H1455" s="4" t="n">
        <v>42.10344</v>
      </c>
      <c r="I1455" s="4" t="n">
        <v>-72.58479</v>
      </c>
      <c r="J1455" s="4" t="s">
        <v>6024</v>
      </c>
      <c r="K1455" s="6" t="str">
        <f aca="false">HYPERLINK("https://www.google.com/search?q=Springfield+City+Library+Springfield+MA+library+website","Search")</f>
        <v>Search</v>
      </c>
      <c r="L1455" s="7"/>
      <c r="M1455" s="7"/>
    </row>
    <row r="1456" customFormat="false" ht="15" hidden="false" customHeight="true" outlineLevel="0" collapsed="false">
      <c r="A1456" s="4" t="s">
        <v>5469</v>
      </c>
      <c r="B1456" s="4" t="s">
        <v>6025</v>
      </c>
      <c r="C1456" s="4" t="s">
        <v>6026</v>
      </c>
      <c r="D1456" s="4" t="s">
        <v>5472</v>
      </c>
      <c r="E1456" s="5" t="n">
        <v>30915</v>
      </c>
      <c r="F1456" s="4" t="n">
        <v>1</v>
      </c>
      <c r="G1456" s="4" t="s">
        <v>6027</v>
      </c>
      <c r="H1456" s="4" t="n">
        <v>42.69617</v>
      </c>
      <c r="I1456" s="4" t="n">
        <v>-71.12633</v>
      </c>
      <c r="J1456" s="4" t="s">
        <v>6028</v>
      </c>
      <c r="K1456" s="6" t="str">
        <f aca="false">HYPERLINK("https://www.google.com/search?q=Stevens+Memorial+Library+North+Andover+MA+library+website","Search")</f>
        <v>Search</v>
      </c>
      <c r="L1456" s="7"/>
      <c r="M1456" s="7"/>
    </row>
    <row r="1457" customFormat="false" ht="15" hidden="false" customHeight="true" outlineLevel="0" collapsed="false">
      <c r="A1457" s="4" t="s">
        <v>5469</v>
      </c>
      <c r="B1457" s="4" t="s">
        <v>6029</v>
      </c>
      <c r="C1457" s="4" t="s">
        <v>6030</v>
      </c>
      <c r="D1457" s="4" t="s">
        <v>1792</v>
      </c>
      <c r="E1457" s="5" t="n">
        <v>23244</v>
      </c>
      <c r="F1457" s="4" t="n">
        <v>1</v>
      </c>
      <c r="G1457" s="4" t="s">
        <v>6031</v>
      </c>
      <c r="H1457" s="4" t="n">
        <v>42.47791</v>
      </c>
      <c r="I1457" s="4" t="n">
        <v>-71.10068</v>
      </c>
      <c r="J1457" s="4" t="s">
        <v>6032</v>
      </c>
      <c r="K1457" s="6" t="str">
        <f aca="false">HYPERLINK("https://www.google.com/search?q=Stoneham+Public+Library+Stoneham+MA+library+website","Search")</f>
        <v>Search</v>
      </c>
      <c r="L1457" s="7"/>
      <c r="M1457" s="7"/>
    </row>
    <row r="1458" customFormat="false" ht="15" hidden="false" customHeight="true" outlineLevel="0" collapsed="false">
      <c r="A1458" s="4" t="s">
        <v>5469</v>
      </c>
      <c r="B1458" s="4" t="s">
        <v>6033</v>
      </c>
      <c r="C1458" s="4" t="s">
        <v>6034</v>
      </c>
      <c r="D1458" s="4" t="s">
        <v>5524</v>
      </c>
      <c r="E1458" s="5" t="n">
        <v>29281</v>
      </c>
      <c r="F1458" s="4" t="n">
        <v>1</v>
      </c>
      <c r="G1458" s="4" t="s">
        <v>6035</v>
      </c>
      <c r="H1458" s="4" t="n">
        <v>42.12281</v>
      </c>
      <c r="I1458" s="4" t="n">
        <v>-71.09889</v>
      </c>
      <c r="J1458" s="4" t="s">
        <v>6036</v>
      </c>
      <c r="K1458" s="6" t="str">
        <f aca="false">HYPERLINK("https://www.google.com/search?q=Stoughton+Public+Library+Stoughton+MA+library+website","Search")</f>
        <v>Search</v>
      </c>
      <c r="L1458" s="7"/>
      <c r="M1458" s="7"/>
    </row>
    <row r="1459" customFormat="false" ht="15" hidden="false" customHeight="true" outlineLevel="0" collapsed="false">
      <c r="A1459" s="4" t="s">
        <v>5469</v>
      </c>
      <c r="B1459" s="4" t="s">
        <v>6037</v>
      </c>
      <c r="C1459" s="4" t="s">
        <v>6038</v>
      </c>
      <c r="D1459" s="4" t="s">
        <v>5472</v>
      </c>
      <c r="E1459" s="5" t="n">
        <v>15111</v>
      </c>
      <c r="F1459" s="4" t="n">
        <v>1</v>
      </c>
      <c r="G1459" s="4" t="s">
        <v>6039</v>
      </c>
      <c r="H1459" s="4" t="n">
        <v>42.46954</v>
      </c>
      <c r="I1459" s="4" t="n">
        <v>-70.91922</v>
      </c>
      <c r="J1459" s="4" t="s">
        <v>6040</v>
      </c>
      <c r="K1459" s="6" t="str">
        <f aca="false">HYPERLINK("https://www.google.com/search?q=Swampscott+Public+Library+Swampscott+MA+library+website","Search")</f>
        <v>Search</v>
      </c>
      <c r="L1459" s="7"/>
      <c r="M1459" s="7"/>
    </row>
    <row r="1460" customFormat="false" ht="15" hidden="false" customHeight="true" outlineLevel="0" collapsed="false">
      <c r="A1460" s="4" t="s">
        <v>5469</v>
      </c>
      <c r="B1460" s="4" t="s">
        <v>6041</v>
      </c>
      <c r="C1460" s="4" t="s">
        <v>6042</v>
      </c>
      <c r="D1460" s="4" t="s">
        <v>1845</v>
      </c>
      <c r="E1460" s="5" t="n">
        <v>17144</v>
      </c>
      <c r="F1460" s="4" t="n">
        <v>1</v>
      </c>
      <c r="G1460" s="4" t="s">
        <v>6043</v>
      </c>
      <c r="H1460" s="4" t="n">
        <v>41.74902</v>
      </c>
      <c r="I1460" s="4" t="n">
        <v>-71.19003</v>
      </c>
      <c r="J1460" s="4" t="s">
        <v>6044</v>
      </c>
      <c r="K1460" s="6" t="str">
        <f aca="false">HYPERLINK("https://www.google.com/search?q=Swansea+Free+Public+Library+Swansea+MA+library+website","Search")</f>
        <v>Search</v>
      </c>
      <c r="L1460" s="7"/>
      <c r="M1460" s="7"/>
    </row>
    <row r="1461" customFormat="false" ht="15" hidden="false" customHeight="true" outlineLevel="0" collapsed="false">
      <c r="A1461" s="4" t="s">
        <v>5469</v>
      </c>
      <c r="B1461" s="4" t="s">
        <v>6045</v>
      </c>
      <c r="C1461" s="4" t="s">
        <v>6046</v>
      </c>
      <c r="D1461" s="4" t="s">
        <v>1845</v>
      </c>
      <c r="E1461" s="5" t="n">
        <v>59408</v>
      </c>
      <c r="F1461" s="4" t="n">
        <v>1</v>
      </c>
      <c r="G1461" s="4" t="s">
        <v>6047</v>
      </c>
      <c r="H1461" s="4" t="n">
        <v>41.90374</v>
      </c>
      <c r="I1461" s="4" t="n">
        <v>-71.09481</v>
      </c>
      <c r="J1461" s="4" t="s">
        <v>6048</v>
      </c>
      <c r="K1461" s="6" t="str">
        <f aca="false">HYPERLINK("https://www.google.com/search?q=Taunton+Public+Library+Taunton+MA+library+website","Search")</f>
        <v>Search</v>
      </c>
      <c r="L1461" s="7"/>
      <c r="M1461" s="7"/>
    </row>
    <row r="1462" customFormat="false" ht="15" hidden="false" customHeight="true" outlineLevel="0" collapsed="false">
      <c r="A1462" s="4" t="s">
        <v>5469</v>
      </c>
      <c r="B1462" s="4" t="s">
        <v>6049</v>
      </c>
      <c r="C1462" s="4" t="s">
        <v>6050</v>
      </c>
      <c r="D1462" s="4" t="s">
        <v>1792</v>
      </c>
      <c r="E1462" s="5" t="n">
        <v>31342</v>
      </c>
      <c r="F1462" s="4" t="n">
        <v>1</v>
      </c>
      <c r="G1462" s="4" t="s">
        <v>6051</v>
      </c>
      <c r="H1462" s="4" t="n">
        <v>42.60672</v>
      </c>
      <c r="I1462" s="4" t="n">
        <v>-71.22522</v>
      </c>
      <c r="J1462" s="4" t="s">
        <v>6052</v>
      </c>
      <c r="K1462" s="6" t="str">
        <f aca="false">HYPERLINK("https://www.google.com/search?q=Tewksbury+Public+Library+Tewksbury+MA+library+website","Search")</f>
        <v>Search</v>
      </c>
      <c r="L1462" s="7"/>
      <c r="M1462" s="7"/>
    </row>
    <row r="1463" customFormat="false" ht="15" hidden="false" customHeight="true" outlineLevel="0" collapsed="false">
      <c r="A1463" s="4" t="s">
        <v>5469</v>
      </c>
      <c r="B1463" s="4" t="s">
        <v>6053</v>
      </c>
      <c r="C1463" s="4" t="s">
        <v>6054</v>
      </c>
      <c r="D1463" s="4" t="s">
        <v>5524</v>
      </c>
      <c r="E1463" s="5" t="n">
        <v>39143</v>
      </c>
      <c r="F1463" s="4" t="n">
        <v>1</v>
      </c>
      <c r="G1463" s="4" t="s">
        <v>6055</v>
      </c>
      <c r="H1463" s="4" t="n">
        <v>42.20561</v>
      </c>
      <c r="I1463" s="4" t="n">
        <v>-71.00426</v>
      </c>
      <c r="J1463" s="4" t="s">
        <v>6056</v>
      </c>
      <c r="K1463" s="6" t="str">
        <f aca="false">HYPERLINK("https://www.google.com/search?q=Thayer+Public+Library+Braintree+MA+library+website","Search")</f>
        <v>Search</v>
      </c>
      <c r="L1463" s="7"/>
      <c r="M1463" s="7"/>
    </row>
    <row r="1464" customFormat="false" ht="15" hidden="false" customHeight="true" outlineLevel="0" collapsed="false">
      <c r="A1464" s="4" t="s">
        <v>5469</v>
      </c>
      <c r="B1464" s="4" t="s">
        <v>6057</v>
      </c>
      <c r="C1464" s="4" t="s">
        <v>1318</v>
      </c>
      <c r="D1464" s="4" t="s">
        <v>5524</v>
      </c>
      <c r="E1464" s="5" t="n">
        <v>101636</v>
      </c>
      <c r="F1464" s="4" t="n">
        <v>4</v>
      </c>
      <c r="G1464" s="4" t="s">
        <v>6058</v>
      </c>
      <c r="H1464" s="4" t="n">
        <v>42.25142</v>
      </c>
      <c r="I1464" s="4" t="n">
        <v>-71.00069</v>
      </c>
      <c r="J1464" s="4" t="s">
        <v>6059</v>
      </c>
      <c r="K1464" s="6" t="str">
        <f aca="false">HYPERLINK("https://www.google.com/search?q=Thomas+Crane+Public+Library+Quincy+MA+library+website","Search")</f>
        <v>Search</v>
      </c>
      <c r="L1464" s="7"/>
      <c r="M1464" s="7"/>
    </row>
    <row r="1465" customFormat="false" ht="15" hidden="false" customHeight="true" outlineLevel="0" collapsed="false">
      <c r="A1465" s="4" t="s">
        <v>5469</v>
      </c>
      <c r="B1465" s="4" t="s">
        <v>6060</v>
      </c>
      <c r="C1465" s="4" t="s">
        <v>6061</v>
      </c>
      <c r="D1465" s="4" t="s">
        <v>5524</v>
      </c>
      <c r="E1465" s="5" t="n">
        <v>34984</v>
      </c>
      <c r="F1465" s="4" t="n">
        <v>1</v>
      </c>
      <c r="G1465" s="4" t="s">
        <v>6062</v>
      </c>
      <c r="H1465" s="4" t="n">
        <v>42.1629</v>
      </c>
      <c r="I1465" s="4" t="n">
        <v>-71.0421</v>
      </c>
      <c r="J1465" s="4" t="s">
        <v>6063</v>
      </c>
      <c r="K1465" s="6" t="str">
        <f aca="false">HYPERLINK("https://www.google.com/search?q=Turner+Free+Library+Randolph+MA+library+website","Search")</f>
        <v>Search</v>
      </c>
      <c r="L1465" s="7"/>
      <c r="M1465" s="7"/>
    </row>
    <row r="1466" customFormat="false" ht="15" hidden="false" customHeight="true" outlineLevel="0" collapsed="false">
      <c r="A1466" s="4" t="s">
        <v>5469</v>
      </c>
      <c r="B1466" s="4" t="s">
        <v>6064</v>
      </c>
      <c r="C1466" s="4" t="s">
        <v>6065</v>
      </c>
      <c r="D1466" s="4" t="s">
        <v>1792</v>
      </c>
      <c r="E1466" s="5" t="n">
        <v>12380</v>
      </c>
      <c r="F1466" s="4" t="n">
        <v>1</v>
      </c>
      <c r="G1466" s="4" t="s">
        <v>6066</v>
      </c>
      <c r="H1466" s="4" t="n">
        <v>42.68062</v>
      </c>
      <c r="I1466" s="4" t="n">
        <v>-71.42872</v>
      </c>
      <c r="J1466" s="4" t="s">
        <v>6067</v>
      </c>
      <c r="K1466" s="6" t="str">
        <f aca="false">HYPERLINK("https://www.google.com/search?q=Tyngsborough+Public+Library+Tyngsborough+MA+library+website","Search")</f>
        <v>Search</v>
      </c>
      <c r="L1466" s="7"/>
      <c r="M1466" s="7"/>
    </row>
    <row r="1467" customFormat="false" ht="15" hidden="false" customHeight="true" outlineLevel="0" collapsed="false">
      <c r="A1467" s="4" t="s">
        <v>5469</v>
      </c>
      <c r="B1467" s="4" t="s">
        <v>6068</v>
      </c>
      <c r="C1467" s="4" t="s">
        <v>6069</v>
      </c>
      <c r="D1467" s="4" t="s">
        <v>5505</v>
      </c>
      <c r="E1467" s="5" t="n">
        <v>14162</v>
      </c>
      <c r="F1467" s="4" t="n">
        <v>1</v>
      </c>
      <c r="G1467" s="4" t="s">
        <v>6070</v>
      </c>
      <c r="H1467" s="4" t="n">
        <v>42.07744</v>
      </c>
      <c r="I1467" s="4" t="n">
        <v>-71.62993</v>
      </c>
      <c r="J1467" s="4" t="s">
        <v>6071</v>
      </c>
      <c r="K1467" s="6" t="str">
        <f aca="false">HYPERLINK("https://www.google.com/search?q=Uxbridge+Free+Public+Library+Uxbridge+MA+library+website","Search")</f>
        <v>Search</v>
      </c>
      <c r="L1467" s="7"/>
      <c r="M1467" s="7"/>
    </row>
    <row r="1468" customFormat="false" ht="15" hidden="false" customHeight="true" outlineLevel="0" collapsed="false">
      <c r="A1468" s="4" t="s">
        <v>5469</v>
      </c>
      <c r="B1468" s="4" t="s">
        <v>6072</v>
      </c>
      <c r="C1468" s="4" t="s">
        <v>6073</v>
      </c>
      <c r="D1468" s="4" t="s">
        <v>3038</v>
      </c>
      <c r="E1468" s="5" t="n">
        <v>25825</v>
      </c>
      <c r="F1468" s="4" t="n">
        <v>1</v>
      </c>
      <c r="G1468" s="4" t="s">
        <v>6074</v>
      </c>
      <c r="H1468" s="4" t="n">
        <v>42.09213</v>
      </c>
      <c r="I1468" s="4" t="n">
        <v>-70.70258</v>
      </c>
      <c r="J1468" s="4" t="s">
        <v>6075</v>
      </c>
      <c r="K1468" s="6" t="str">
        <f aca="false">HYPERLINK("https://www.google.com/search?q=Ventress+Memorial+Library+Marshfield+MA+library+website","Search")</f>
        <v>Search</v>
      </c>
      <c r="L1468" s="7"/>
      <c r="M1468" s="7"/>
    </row>
    <row r="1469" customFormat="false" ht="15" hidden="false" customHeight="true" outlineLevel="0" collapsed="false">
      <c r="A1469" s="4" t="s">
        <v>5469</v>
      </c>
      <c r="B1469" s="4" t="s">
        <v>6076</v>
      </c>
      <c r="C1469" s="4" t="s">
        <v>6077</v>
      </c>
      <c r="D1469" s="4" t="s">
        <v>5524</v>
      </c>
      <c r="E1469" s="5" t="n">
        <v>26383</v>
      </c>
      <c r="F1469" s="4" t="n">
        <v>1</v>
      </c>
      <c r="G1469" s="4" t="s">
        <v>6078</v>
      </c>
      <c r="H1469" s="4" t="n">
        <v>42.14475</v>
      </c>
      <c r="I1469" s="4" t="n">
        <v>-71.25024</v>
      </c>
      <c r="J1469" s="4" t="s">
        <v>6079</v>
      </c>
      <c r="K1469" s="6" t="str">
        <f aca="false">HYPERLINK("https://www.google.com/search?q=Walpole+Public+Library+Walpole+MA+library+website","Search")</f>
        <v>Search</v>
      </c>
      <c r="L1469" s="7"/>
      <c r="M1469" s="7"/>
    </row>
    <row r="1470" customFormat="false" ht="15" hidden="false" customHeight="true" outlineLevel="0" collapsed="false">
      <c r="A1470" s="4" t="s">
        <v>5469</v>
      </c>
      <c r="B1470" s="4" t="s">
        <v>6080</v>
      </c>
      <c r="C1470" s="4" t="s">
        <v>6081</v>
      </c>
      <c r="D1470" s="4" t="s">
        <v>1792</v>
      </c>
      <c r="E1470" s="5" t="n">
        <v>65218</v>
      </c>
      <c r="F1470" s="4" t="n">
        <v>1</v>
      </c>
      <c r="G1470" s="4" t="s">
        <v>6082</v>
      </c>
      <c r="H1470" s="4" t="n">
        <v>42.37668</v>
      </c>
      <c r="I1470" s="4" t="n">
        <v>-71.23955</v>
      </c>
      <c r="J1470" s="4" t="s">
        <v>6083</v>
      </c>
      <c r="K1470" s="6" t="str">
        <f aca="false">HYPERLINK("https://www.google.com/search?q=Waltham+Public+Library+Waltham+MA+library+website","Search")</f>
        <v>Search</v>
      </c>
      <c r="L1470" s="7"/>
      <c r="M1470" s="7"/>
    </row>
    <row r="1471" customFormat="false" ht="15" hidden="false" customHeight="true" outlineLevel="0" collapsed="false">
      <c r="A1471" s="4" t="s">
        <v>5469</v>
      </c>
      <c r="B1471" s="4" t="s">
        <v>6084</v>
      </c>
      <c r="C1471" s="4" t="s">
        <v>6085</v>
      </c>
      <c r="D1471" s="4" t="s">
        <v>3038</v>
      </c>
      <c r="E1471" s="5" t="n">
        <v>23303</v>
      </c>
      <c r="F1471" s="4" t="n">
        <v>2</v>
      </c>
      <c r="G1471" s="4" t="s">
        <v>6086</v>
      </c>
      <c r="H1471" s="4" t="n">
        <v>41.76077</v>
      </c>
      <c r="I1471" s="4" t="n">
        <v>-70.72466</v>
      </c>
      <c r="J1471" s="4" t="s">
        <v>6087</v>
      </c>
      <c r="K1471" s="6" t="str">
        <f aca="false">HYPERLINK("https://www.google.com/search?q=Wareham+Free+Library+Wareham+MA+library+website","Search")</f>
        <v>Search</v>
      </c>
      <c r="L1471" s="7"/>
      <c r="M1471" s="7"/>
    </row>
    <row r="1472" customFormat="false" ht="15" hidden="false" customHeight="true" outlineLevel="0" collapsed="false">
      <c r="A1472" s="4" t="s">
        <v>5469</v>
      </c>
      <c r="B1472" s="4" t="s">
        <v>6088</v>
      </c>
      <c r="C1472" s="4" t="s">
        <v>2158</v>
      </c>
      <c r="D1472" s="4" t="s">
        <v>1792</v>
      </c>
      <c r="E1472" s="5" t="n">
        <v>35329</v>
      </c>
      <c r="F1472" s="4" t="n">
        <v>1</v>
      </c>
      <c r="G1472" s="4" t="s">
        <v>6089</v>
      </c>
      <c r="H1472" s="4" t="n">
        <v>42.36755</v>
      </c>
      <c r="I1472" s="4" t="n">
        <v>-71.1868</v>
      </c>
      <c r="J1472" s="4" t="s">
        <v>6090</v>
      </c>
      <c r="K1472" s="6" t="str">
        <f aca="false">HYPERLINK("https://www.google.com/search?q=Watertown+Free+Public+Library+Watertown+MA+library+website","Search")</f>
        <v>Search</v>
      </c>
      <c r="L1472" s="7"/>
      <c r="M1472" s="7"/>
    </row>
    <row r="1473" customFormat="false" ht="15" hidden="false" customHeight="true" outlineLevel="0" collapsed="false">
      <c r="A1473" s="4" t="s">
        <v>5469</v>
      </c>
      <c r="B1473" s="4" t="s">
        <v>6091</v>
      </c>
      <c r="C1473" s="4" t="s">
        <v>6092</v>
      </c>
      <c r="D1473" s="4" t="s">
        <v>1792</v>
      </c>
      <c r="E1473" s="5" t="n">
        <v>13943</v>
      </c>
      <c r="F1473" s="4" t="n">
        <v>1</v>
      </c>
      <c r="G1473" s="4" t="s">
        <v>6093</v>
      </c>
      <c r="H1473" s="4" t="n">
        <v>42.36515</v>
      </c>
      <c r="I1473" s="4" t="n">
        <v>-71.36088</v>
      </c>
      <c r="J1473" s="4" t="s">
        <v>6094</v>
      </c>
      <c r="K1473" s="6" t="str">
        <f aca="false">HYPERLINK("https://www.google.com/search?q=Wayland+Free+Public+Library+Wayland+MA+library+website","Search")</f>
        <v>Search</v>
      </c>
      <c r="L1473" s="7"/>
      <c r="M1473" s="7"/>
    </row>
    <row r="1474" customFormat="false" ht="15" hidden="false" customHeight="true" outlineLevel="0" collapsed="false">
      <c r="A1474" s="4" t="s">
        <v>5469</v>
      </c>
      <c r="B1474" s="4" t="s">
        <v>6095</v>
      </c>
      <c r="C1474" s="4" t="s">
        <v>6096</v>
      </c>
      <c r="D1474" s="4" t="s">
        <v>5524</v>
      </c>
      <c r="E1474" s="5" t="n">
        <v>29550</v>
      </c>
      <c r="F1474" s="4" t="n">
        <v>3</v>
      </c>
      <c r="G1474" s="4" t="s">
        <v>6097</v>
      </c>
      <c r="H1474" s="4" t="n">
        <v>42.29688</v>
      </c>
      <c r="I1474" s="4" t="n">
        <v>-71.2907</v>
      </c>
      <c r="J1474" s="4" t="s">
        <v>6098</v>
      </c>
      <c r="K1474" s="6" t="str">
        <f aca="false">HYPERLINK("https://www.google.com/search?q=Wellesley+Free+Library+Wellesley+MA+library+website","Search")</f>
        <v>Search</v>
      </c>
      <c r="L1474" s="7"/>
      <c r="M1474" s="7"/>
    </row>
    <row r="1475" customFormat="false" ht="15" hidden="false" customHeight="true" outlineLevel="0" collapsed="false">
      <c r="A1475" s="4" t="s">
        <v>5469</v>
      </c>
      <c r="B1475" s="4" t="s">
        <v>6099</v>
      </c>
      <c r="C1475" s="4" t="s">
        <v>6100</v>
      </c>
      <c r="D1475" s="4" t="s">
        <v>5489</v>
      </c>
      <c r="E1475" s="5" t="n">
        <v>28835</v>
      </c>
      <c r="F1475" s="4" t="n">
        <v>1</v>
      </c>
      <c r="G1475" s="4" t="s">
        <v>6101</v>
      </c>
      <c r="H1475" s="4" t="n">
        <v>42.10514</v>
      </c>
      <c r="I1475" s="4" t="n">
        <v>-72.62203</v>
      </c>
      <c r="J1475" s="4" t="s">
        <v>6102</v>
      </c>
      <c r="K1475" s="6" t="str">
        <f aca="false">HYPERLINK("https://www.google.com/search?q=West+Springfield+Public+Library+West+Springfield+MA+library+website","Search")</f>
        <v>Search</v>
      </c>
      <c r="L1475" s="7"/>
      <c r="M1475" s="7"/>
    </row>
    <row r="1476" customFormat="false" ht="15" hidden="false" customHeight="true" outlineLevel="0" collapsed="false">
      <c r="A1476" s="4" t="s">
        <v>5469</v>
      </c>
      <c r="B1476" s="4" t="s">
        <v>6103</v>
      </c>
      <c r="C1476" s="4" t="s">
        <v>6104</v>
      </c>
      <c r="D1476" s="4" t="s">
        <v>5505</v>
      </c>
      <c r="E1476" s="5" t="n">
        <v>21567</v>
      </c>
      <c r="F1476" s="4" t="n">
        <v>1</v>
      </c>
      <c r="G1476" s="4" t="s">
        <v>6105</v>
      </c>
      <c r="H1476" s="4" t="n">
        <v>42.2679</v>
      </c>
      <c r="I1476" s="4" t="n">
        <v>-71.61551</v>
      </c>
      <c r="J1476" s="4" t="s">
        <v>6106</v>
      </c>
      <c r="K1476" s="6" t="str">
        <f aca="false">HYPERLINK("https://www.google.com/search?q=Westborough+Public+Library+Westborough+MA+library+website","Search")</f>
        <v>Search</v>
      </c>
      <c r="L1476" s="7"/>
      <c r="M1476" s="7"/>
    </row>
    <row r="1477" customFormat="false" ht="15" hidden="false" customHeight="true" outlineLevel="0" collapsed="false">
      <c r="A1477" s="4" t="s">
        <v>5469</v>
      </c>
      <c r="B1477" s="4" t="s">
        <v>6107</v>
      </c>
      <c r="C1477" s="4" t="s">
        <v>4664</v>
      </c>
      <c r="D1477" s="4" t="s">
        <v>5489</v>
      </c>
      <c r="E1477" s="5" t="n">
        <v>40834</v>
      </c>
      <c r="F1477" s="4" t="n">
        <v>1</v>
      </c>
      <c r="G1477" s="4" t="s">
        <v>6108</v>
      </c>
      <c r="H1477" s="4" t="n">
        <v>42.1206</v>
      </c>
      <c r="I1477" s="4" t="n">
        <v>-72.74994</v>
      </c>
      <c r="J1477" s="4" t="s">
        <v>6109</v>
      </c>
      <c r="K1477" s="6" t="str">
        <f aca="false">HYPERLINK("https://www.google.com/search?q=Westfield+Athenaeum+Westfield+MA+library+website","Search")</f>
        <v>Search</v>
      </c>
      <c r="L1477" s="7"/>
      <c r="M1477" s="7"/>
    </row>
    <row r="1478" customFormat="false" ht="15" hidden="false" customHeight="true" outlineLevel="0" collapsed="false">
      <c r="A1478" s="4" t="s">
        <v>5469</v>
      </c>
      <c r="B1478" s="4" t="s">
        <v>2173</v>
      </c>
      <c r="C1478" s="4" t="s">
        <v>2174</v>
      </c>
      <c r="D1478" s="4" t="s">
        <v>1792</v>
      </c>
      <c r="E1478" s="5" t="n">
        <v>11851</v>
      </c>
      <c r="F1478" s="4" t="n">
        <v>1</v>
      </c>
      <c r="G1478" s="4" t="s">
        <v>6110</v>
      </c>
      <c r="H1478" s="4" t="n">
        <v>42.36214</v>
      </c>
      <c r="I1478" s="4" t="n">
        <v>-71.29469</v>
      </c>
      <c r="J1478" s="4" t="s">
        <v>6111</v>
      </c>
      <c r="K1478" s="6" t="str">
        <f aca="false">HYPERLINK("https://www.google.com/search?q=Weston+Public+Library+Weston+MA+library+website","Search")</f>
        <v>Search</v>
      </c>
      <c r="L1478" s="7"/>
      <c r="M1478" s="7"/>
    </row>
    <row r="1479" customFormat="false" ht="15" hidden="false" customHeight="true" outlineLevel="0" collapsed="false">
      <c r="A1479" s="4" t="s">
        <v>5469</v>
      </c>
      <c r="B1479" s="4" t="s">
        <v>6112</v>
      </c>
      <c r="C1479" s="4" t="s">
        <v>2178</v>
      </c>
      <c r="D1479" s="4" t="s">
        <v>1845</v>
      </c>
      <c r="E1479" s="5" t="n">
        <v>16339</v>
      </c>
      <c r="F1479" s="4" t="n">
        <v>1</v>
      </c>
      <c r="G1479" s="4" t="s">
        <v>6113</v>
      </c>
      <c r="H1479" s="4" t="n">
        <v>41.62143</v>
      </c>
      <c r="I1479" s="4" t="n">
        <v>-71.0647</v>
      </c>
      <c r="J1479" s="4" t="s">
        <v>6114</v>
      </c>
      <c r="K1479" s="6" t="str">
        <f aca="false">HYPERLINK("https://www.google.com/search?q=Westport+Free+Public+Library+Westport+MA+library+website","Search")</f>
        <v>Search</v>
      </c>
      <c r="L1479" s="7"/>
      <c r="M1479" s="7"/>
    </row>
    <row r="1480" customFormat="false" ht="15" hidden="false" customHeight="true" outlineLevel="0" collapsed="false">
      <c r="A1480" s="4" t="s">
        <v>5469</v>
      </c>
      <c r="B1480" s="4" t="s">
        <v>6115</v>
      </c>
      <c r="C1480" s="4" t="s">
        <v>6116</v>
      </c>
      <c r="D1480" s="4" t="s">
        <v>5524</v>
      </c>
      <c r="E1480" s="5" t="n">
        <v>16266</v>
      </c>
      <c r="F1480" s="4" t="n">
        <v>2</v>
      </c>
      <c r="G1480" s="4" t="s">
        <v>6117</v>
      </c>
      <c r="H1480" s="4" t="n">
        <v>42.22583</v>
      </c>
      <c r="I1480" s="4" t="n">
        <v>-71.2217</v>
      </c>
      <c r="J1480" s="4" t="s">
        <v>6118</v>
      </c>
      <c r="K1480" s="6" t="str">
        <f aca="false">HYPERLINK("https://www.google.com/search?q=Westwood+Public+Library+Westwood+MA+library+website","Search")</f>
        <v>Search</v>
      </c>
      <c r="L1480" s="7"/>
      <c r="M1480" s="7"/>
    </row>
    <row r="1481" customFormat="false" ht="15" hidden="false" customHeight="true" outlineLevel="0" collapsed="false">
      <c r="A1481" s="4" t="s">
        <v>5469</v>
      </c>
      <c r="B1481" s="4" t="s">
        <v>6119</v>
      </c>
      <c r="C1481" s="4" t="s">
        <v>6120</v>
      </c>
      <c r="D1481" s="4" t="s">
        <v>5524</v>
      </c>
      <c r="E1481" s="5" t="n">
        <v>57437</v>
      </c>
      <c r="F1481" s="4" t="n">
        <v>2</v>
      </c>
      <c r="G1481" s="4" t="s">
        <v>6121</v>
      </c>
      <c r="H1481" s="4" t="n">
        <v>42.21569</v>
      </c>
      <c r="I1481" s="4" t="n">
        <v>-70.96531</v>
      </c>
      <c r="J1481" s="4" t="s">
        <v>6122</v>
      </c>
      <c r="K1481" s="6" t="str">
        <f aca="false">HYPERLINK("https://www.google.com/search?q=Weymouth+Public+Libraries+Weymouth+MA+library+website","Search")</f>
        <v>Search</v>
      </c>
      <c r="L1481" s="7"/>
      <c r="M1481" s="7"/>
    </row>
    <row r="1482" customFormat="false" ht="15" hidden="false" customHeight="true" outlineLevel="0" collapsed="false">
      <c r="A1482" s="4" t="s">
        <v>5469</v>
      </c>
      <c r="B1482" s="4" t="s">
        <v>6123</v>
      </c>
      <c r="C1482" s="4" t="s">
        <v>6124</v>
      </c>
      <c r="D1482" s="4" t="s">
        <v>5505</v>
      </c>
      <c r="E1482" s="5" t="n">
        <v>16335</v>
      </c>
      <c r="F1482" s="4" t="n">
        <v>1</v>
      </c>
      <c r="G1482" s="4" t="s">
        <v>6125</v>
      </c>
      <c r="H1482" s="4" t="n">
        <v>42.1113</v>
      </c>
      <c r="I1482" s="4" t="n">
        <v>-71.66359</v>
      </c>
      <c r="J1482" s="4" t="s">
        <v>6126</v>
      </c>
      <c r="K1482" s="6" t="str">
        <f aca="false">HYPERLINK("https://www.google.com/search?q=Whitinsville+Social+Library+Whitinsville+MA+library+website","Search")</f>
        <v>Search</v>
      </c>
      <c r="L1482" s="7"/>
      <c r="M1482" s="7"/>
    </row>
    <row r="1483" customFormat="false" ht="15" hidden="false" customHeight="true" outlineLevel="0" collapsed="false">
      <c r="A1483" s="4" t="s">
        <v>5469</v>
      </c>
      <c r="B1483" s="4" t="s">
        <v>6127</v>
      </c>
      <c r="C1483" s="4" t="s">
        <v>6128</v>
      </c>
      <c r="D1483" s="4" t="s">
        <v>3038</v>
      </c>
      <c r="E1483" s="5" t="n">
        <v>15121</v>
      </c>
      <c r="F1483" s="4" t="n">
        <v>1</v>
      </c>
      <c r="G1483" s="4" t="s">
        <v>6129</v>
      </c>
      <c r="H1483" s="4" t="n">
        <v>42.07791</v>
      </c>
      <c r="I1483" s="4" t="n">
        <v>-70.93814</v>
      </c>
      <c r="J1483" s="4" t="s">
        <v>6130</v>
      </c>
      <c r="K1483" s="6" t="str">
        <f aca="false">HYPERLINK("https://www.google.com/search?q=Whitman+Public+Library+Whitman+MA+library+website","Search")</f>
        <v>Search</v>
      </c>
      <c r="L1483" s="7"/>
      <c r="M1483" s="7"/>
    </row>
    <row r="1484" customFormat="false" ht="15" hidden="false" customHeight="true" outlineLevel="0" collapsed="false">
      <c r="A1484" s="4" t="s">
        <v>5469</v>
      </c>
      <c r="B1484" s="4" t="s">
        <v>6131</v>
      </c>
      <c r="C1484" s="4" t="s">
        <v>6132</v>
      </c>
      <c r="D1484" s="4" t="s">
        <v>5489</v>
      </c>
      <c r="E1484" s="5" t="n">
        <v>14613</v>
      </c>
      <c r="F1484" s="4" t="n">
        <v>1</v>
      </c>
      <c r="G1484" s="4" t="s">
        <v>6133</v>
      </c>
      <c r="H1484" s="4" t="n">
        <v>42.12187</v>
      </c>
      <c r="I1484" s="4" t="n">
        <v>-72.42861</v>
      </c>
      <c r="J1484" s="4" t="s">
        <v>6134</v>
      </c>
      <c r="K1484" s="6" t="str">
        <f aca="false">HYPERLINK("https://www.google.com/search?q=Wilbraham+Public+Library+Wilbraham+MA+library+website","Search")</f>
        <v>Search</v>
      </c>
      <c r="L1484" s="7"/>
      <c r="M1484" s="7"/>
    </row>
    <row r="1485" customFormat="false" ht="15" hidden="false" customHeight="true" outlineLevel="0" collapsed="false">
      <c r="A1485" s="4" t="s">
        <v>5469</v>
      </c>
      <c r="B1485" s="4" t="s">
        <v>6135</v>
      </c>
      <c r="C1485" s="4" t="s">
        <v>2278</v>
      </c>
      <c r="D1485" s="4" t="s">
        <v>1792</v>
      </c>
      <c r="E1485" s="5" t="n">
        <v>23349</v>
      </c>
      <c r="F1485" s="4" t="n">
        <v>1</v>
      </c>
      <c r="G1485" s="4" t="s">
        <v>6136</v>
      </c>
      <c r="H1485" s="4" t="n">
        <v>42.55752</v>
      </c>
      <c r="I1485" s="4" t="n">
        <v>-71.164</v>
      </c>
      <c r="J1485" s="4" t="s">
        <v>6137</v>
      </c>
      <c r="K1485" s="6" t="str">
        <f aca="false">HYPERLINK("https://www.google.com/search?q=Wilmington+Memorial+Library+Wilmington+MA+library+website","Search")</f>
        <v>Search</v>
      </c>
      <c r="L1485" s="7"/>
      <c r="M1485" s="7"/>
    </row>
    <row r="1486" customFormat="false" ht="15" hidden="false" customHeight="true" outlineLevel="0" collapsed="false">
      <c r="A1486" s="4" t="s">
        <v>5469</v>
      </c>
      <c r="B1486" s="4" t="s">
        <v>6138</v>
      </c>
      <c r="C1486" s="4" t="s">
        <v>1811</v>
      </c>
      <c r="D1486" s="4" t="s">
        <v>1792</v>
      </c>
      <c r="E1486" s="5" t="n">
        <v>22970</v>
      </c>
      <c r="F1486" s="4" t="n">
        <v>1</v>
      </c>
      <c r="G1486" s="4" t="s">
        <v>6139</v>
      </c>
      <c r="H1486" s="4" t="n">
        <v>42.45228</v>
      </c>
      <c r="I1486" s="4" t="n">
        <v>-71.13413</v>
      </c>
      <c r="J1486" s="4" t="s">
        <v>6140</v>
      </c>
      <c r="K1486" s="6" t="str">
        <f aca="false">HYPERLINK("https://www.google.com/search?q=Winchester+Public+Library+Winchester+MA+library+website","Search")</f>
        <v>Search</v>
      </c>
      <c r="L1486" s="7"/>
      <c r="M1486" s="7"/>
    </row>
    <row r="1487" customFormat="false" ht="15" hidden="false" customHeight="true" outlineLevel="0" collapsed="false">
      <c r="A1487" s="4" t="s">
        <v>5469</v>
      </c>
      <c r="B1487" s="4" t="s">
        <v>6141</v>
      </c>
      <c r="C1487" s="4" t="s">
        <v>6142</v>
      </c>
      <c r="D1487" s="4" t="s">
        <v>5553</v>
      </c>
      <c r="E1487" s="5" t="n">
        <v>19316</v>
      </c>
      <c r="F1487" s="4" t="n">
        <v>1</v>
      </c>
      <c r="G1487" s="4" t="s">
        <v>6143</v>
      </c>
      <c r="H1487" s="4" t="n">
        <v>42.37773</v>
      </c>
      <c r="I1487" s="4" t="n">
        <v>-70.98427</v>
      </c>
      <c r="J1487" s="4" t="s">
        <v>6144</v>
      </c>
      <c r="K1487" s="6" t="str">
        <f aca="false">HYPERLINK("https://www.google.com/search?q=Winthrop+Public+Library+%26+Museum+Winthrop+MA+library+website","Search")</f>
        <v>Search</v>
      </c>
      <c r="L1487" s="7"/>
      <c r="M1487" s="7"/>
    </row>
    <row r="1488" customFormat="false" ht="15" hidden="false" customHeight="true" outlineLevel="0" collapsed="false">
      <c r="A1488" s="4" t="s">
        <v>5469</v>
      </c>
      <c r="B1488" s="4" t="s">
        <v>6145</v>
      </c>
      <c r="C1488" s="4" t="s">
        <v>6146</v>
      </c>
      <c r="D1488" s="4" t="s">
        <v>1792</v>
      </c>
      <c r="E1488" s="5" t="n">
        <v>40876</v>
      </c>
      <c r="F1488" s="4" t="n">
        <v>1</v>
      </c>
      <c r="G1488" s="4" t="s">
        <v>6147</v>
      </c>
      <c r="H1488" s="4" t="n">
        <v>42.47932</v>
      </c>
      <c r="I1488" s="4" t="n">
        <v>-71.15452</v>
      </c>
      <c r="J1488" s="4" t="s">
        <v>6148</v>
      </c>
      <c r="K1488" s="6" t="str">
        <f aca="false">HYPERLINK("https://www.google.com/search?q=Woburn+Public+Library+Woburn+MA+library+website","Search")</f>
        <v>Search</v>
      </c>
      <c r="L1488" s="7"/>
      <c r="M1488" s="7"/>
    </row>
    <row r="1489" customFormat="false" ht="15" hidden="false" customHeight="true" outlineLevel="0" collapsed="false">
      <c r="A1489" s="4" t="s">
        <v>5469</v>
      </c>
      <c r="B1489" s="4" t="s">
        <v>6149</v>
      </c>
      <c r="C1489" s="4" t="s">
        <v>5505</v>
      </c>
      <c r="D1489" s="4" t="s">
        <v>5505</v>
      </c>
      <c r="E1489" s="5" t="n">
        <v>206518</v>
      </c>
      <c r="F1489" s="4" t="n">
        <v>7</v>
      </c>
      <c r="G1489" s="4" t="s">
        <v>6150</v>
      </c>
      <c r="H1489" s="4" t="n">
        <v>42.26045</v>
      </c>
      <c r="I1489" s="4" t="n">
        <v>-71.80034</v>
      </c>
      <c r="J1489" s="4" t="s">
        <v>6151</v>
      </c>
      <c r="K1489" s="6" t="str">
        <f aca="false">HYPERLINK("https://www.google.com/search?q=Worcester+Public+Library+Worcester+MA+library+website","Search")</f>
        <v>Search</v>
      </c>
      <c r="L1489" s="7"/>
      <c r="M1489" s="7"/>
    </row>
    <row r="1490" customFormat="false" ht="15" hidden="false" customHeight="true" outlineLevel="0" collapsed="false">
      <c r="A1490" s="4" t="s">
        <v>5469</v>
      </c>
      <c r="B1490" s="4" t="s">
        <v>6152</v>
      </c>
      <c r="C1490" s="4" t="s">
        <v>6153</v>
      </c>
      <c r="D1490" s="4" t="s">
        <v>5562</v>
      </c>
      <c r="E1490" s="5" t="n">
        <v>25023</v>
      </c>
      <c r="F1490" s="4" t="n">
        <v>2</v>
      </c>
      <c r="G1490" s="4" t="s">
        <v>6154</v>
      </c>
      <c r="H1490" s="4" t="n">
        <v>41.66608</v>
      </c>
      <c r="I1490" s="4" t="n">
        <v>-70.18597</v>
      </c>
      <c r="J1490" s="4" t="s">
        <v>6155</v>
      </c>
      <c r="K1490" s="6" t="str">
        <f aca="false">HYPERLINK("https://www.google.com/search?q=Yarmouth+Town+Libraries+South+Yarmouth+MA+library+website","Search")</f>
        <v>Search</v>
      </c>
      <c r="L1490" s="7"/>
      <c r="M1490" s="7"/>
    </row>
    <row r="1491" customFormat="false" ht="15" hidden="false" customHeight="true" outlineLevel="0" collapsed="false">
      <c r="A1491" s="4" t="s">
        <v>5469</v>
      </c>
      <c r="B1491" s="4" t="s">
        <v>6156</v>
      </c>
      <c r="C1491" s="4" t="s">
        <v>2792</v>
      </c>
      <c r="D1491" s="4" t="s">
        <v>3538</v>
      </c>
      <c r="E1491" s="5" t="n">
        <v>10066</v>
      </c>
      <c r="F1491" s="4" t="n">
        <v>1</v>
      </c>
      <c r="G1491" s="4" t="s">
        <v>6157</v>
      </c>
      <c r="H1491" s="4" t="n">
        <v>42.25996</v>
      </c>
      <c r="I1491" s="4" t="n">
        <v>-72.23978</v>
      </c>
      <c r="J1491" s="4" t="s">
        <v>6158</v>
      </c>
      <c r="K1491" s="6" t="str">
        <f aca="false">HYPERLINK("https://www.google.com/search?q=Young+Men%27S+Library+Association+Ware+MA+library+website","Search")</f>
        <v>Search</v>
      </c>
      <c r="L1491" s="7"/>
      <c r="M1491" s="7"/>
    </row>
    <row r="1492" customFormat="false" ht="15" hidden="false" customHeight="true" outlineLevel="0" collapsed="false">
      <c r="A1492" s="4" t="s">
        <v>6159</v>
      </c>
      <c r="B1492" s="4" t="s">
        <v>6160</v>
      </c>
      <c r="C1492" s="4" t="s">
        <v>6161</v>
      </c>
      <c r="D1492" s="4" t="s">
        <v>6162</v>
      </c>
      <c r="E1492" s="5" t="n">
        <v>70416</v>
      </c>
      <c r="F1492" s="4" t="n">
        <v>6</v>
      </c>
      <c r="G1492" s="4" t="s">
        <v>6163</v>
      </c>
      <c r="H1492" s="4" t="n">
        <v>39.65106</v>
      </c>
      <c r="I1492" s="4" t="n">
        <v>-78.76656</v>
      </c>
      <c r="J1492" s="4" t="s">
        <v>6164</v>
      </c>
      <c r="K1492" s="6" t="str">
        <f aca="false">HYPERLINK("https://www.google.com/search?q=Allegany+County+Library+System+Cumberland+MD+library+website","Search")</f>
        <v>Search</v>
      </c>
      <c r="L1492" s="7"/>
      <c r="M1492" s="7"/>
    </row>
    <row r="1493" customFormat="false" ht="15" hidden="false" customHeight="true" outlineLevel="0" collapsed="false">
      <c r="A1493" s="4" t="s">
        <v>6159</v>
      </c>
      <c r="B1493" s="4" t="s">
        <v>6165</v>
      </c>
      <c r="C1493" s="4" t="s">
        <v>6166</v>
      </c>
      <c r="D1493" s="4" t="s">
        <v>6167</v>
      </c>
      <c r="E1493" s="5" t="n">
        <v>579234</v>
      </c>
      <c r="F1493" s="4" t="n">
        <v>16</v>
      </c>
      <c r="G1493" s="4" t="s">
        <v>6168</v>
      </c>
      <c r="H1493" s="4" t="n">
        <v>38.98076</v>
      </c>
      <c r="I1493" s="4" t="n">
        <v>-76.56861</v>
      </c>
      <c r="J1493" s="4" t="s">
        <v>6169</v>
      </c>
      <c r="K1493" s="6" t="str">
        <f aca="false">HYPERLINK("https://www.google.com/search?q=Anne+Arundel+County+Public+Library+Annapolis+MD+library+website","Search")</f>
        <v>Search</v>
      </c>
      <c r="L1493" s="7"/>
      <c r="M1493" s="7"/>
    </row>
    <row r="1494" customFormat="false" ht="15" hidden="false" customHeight="true" outlineLevel="0" collapsed="false">
      <c r="A1494" s="4" t="s">
        <v>6159</v>
      </c>
      <c r="B1494" s="4" t="s">
        <v>6170</v>
      </c>
      <c r="C1494" s="4" t="s">
        <v>6171</v>
      </c>
      <c r="D1494" s="4" t="s">
        <v>6172</v>
      </c>
      <c r="E1494" s="5" t="n">
        <v>827370</v>
      </c>
      <c r="F1494" s="4" t="n">
        <v>19</v>
      </c>
      <c r="G1494" s="4" t="s">
        <v>6173</v>
      </c>
      <c r="H1494" s="4" t="n">
        <v>39.39908</v>
      </c>
      <c r="I1494" s="4" t="n">
        <v>-76.60276</v>
      </c>
      <c r="J1494" s="4" t="s">
        <v>6174</v>
      </c>
      <c r="K1494" s="6" t="str">
        <f aca="false">HYPERLINK("https://www.google.com/search?q=Baltimore+County+Public+Library+Towson+MD+library+website","Search")</f>
        <v>Search</v>
      </c>
      <c r="L1494" s="7"/>
      <c r="M1494" s="8" t="str">
        <f aca="false">HYPERLINK("https://bcplinfo.overdrive.com","https://bcplinfo.overdrive.com")</f>
        <v>https://bcplinfo.overdrive.com</v>
      </c>
    </row>
    <row r="1495" customFormat="false" ht="15" hidden="false" customHeight="true" outlineLevel="0" collapsed="false">
      <c r="A1495" s="4" t="s">
        <v>6159</v>
      </c>
      <c r="B1495" s="4" t="s">
        <v>6175</v>
      </c>
      <c r="C1495" s="4" t="s">
        <v>6176</v>
      </c>
      <c r="D1495" s="4" t="s">
        <v>6177</v>
      </c>
      <c r="E1495" s="5" t="n">
        <v>92525</v>
      </c>
      <c r="F1495" s="4" t="n">
        <v>4</v>
      </c>
      <c r="G1495" s="4" t="s">
        <v>6178</v>
      </c>
      <c r="H1495" s="4" t="n">
        <v>38.55629</v>
      </c>
      <c r="I1495" s="4" t="n">
        <v>-76.59902</v>
      </c>
      <c r="J1495" s="4" t="s">
        <v>6179</v>
      </c>
      <c r="K1495" s="6" t="str">
        <f aca="false">HYPERLINK("https://www.google.com/search?q=Calvert+Library+Prince+Frederick+MD+library+website","Search")</f>
        <v>Search</v>
      </c>
      <c r="L1495" s="7"/>
      <c r="M1495" s="7"/>
    </row>
    <row r="1496" customFormat="false" ht="15" hidden="false" customHeight="true" outlineLevel="0" collapsed="false">
      <c r="A1496" s="4" t="s">
        <v>6159</v>
      </c>
      <c r="B1496" s="4" t="s">
        <v>6180</v>
      </c>
      <c r="C1496" s="4" t="s">
        <v>6181</v>
      </c>
      <c r="D1496" s="4" t="s">
        <v>6182</v>
      </c>
      <c r="E1496" s="5" t="n">
        <v>33406</v>
      </c>
      <c r="F1496" s="4" t="n">
        <v>3</v>
      </c>
      <c r="G1496" s="4" t="s">
        <v>6183</v>
      </c>
      <c r="H1496" s="4" t="n">
        <v>38.88674</v>
      </c>
      <c r="I1496" s="4" t="n">
        <v>-75.83384</v>
      </c>
      <c r="J1496" s="4" t="s">
        <v>6184</v>
      </c>
      <c r="K1496" s="6" t="str">
        <f aca="false">HYPERLINK("https://www.google.com/search?q=Caroline+County+Public+Library+Denton+MD+library+website","Search")</f>
        <v>Search</v>
      </c>
      <c r="L1496" s="7"/>
      <c r="M1496" s="7"/>
    </row>
    <row r="1497" customFormat="false" ht="15" hidden="false" customHeight="true" outlineLevel="0" collapsed="false">
      <c r="A1497" s="4" t="s">
        <v>6159</v>
      </c>
      <c r="B1497" s="4" t="s">
        <v>6185</v>
      </c>
      <c r="C1497" s="4" t="s">
        <v>6186</v>
      </c>
      <c r="D1497" s="4" t="s">
        <v>491</v>
      </c>
      <c r="E1497" s="5" t="n">
        <v>168447</v>
      </c>
      <c r="F1497" s="4" t="n">
        <v>8</v>
      </c>
      <c r="G1497" s="4" t="s">
        <v>6187</v>
      </c>
      <c r="H1497" s="4" t="n">
        <v>39.54475</v>
      </c>
      <c r="I1497" s="4" t="n">
        <v>-77.10778</v>
      </c>
      <c r="J1497" s="4" t="s">
        <v>6188</v>
      </c>
      <c r="K1497" s="6" t="str">
        <f aca="false">HYPERLINK("https://www.google.com/search?q=Carroll+County+Public+Library+New+Windsor+MD+library+website","Search")</f>
        <v>Search</v>
      </c>
      <c r="L1497" s="7"/>
      <c r="M1497" s="7"/>
    </row>
    <row r="1498" customFormat="false" ht="15" hidden="false" customHeight="true" outlineLevel="0" collapsed="false">
      <c r="A1498" s="4" t="s">
        <v>6159</v>
      </c>
      <c r="B1498" s="4" t="s">
        <v>6189</v>
      </c>
      <c r="C1498" s="4" t="s">
        <v>6190</v>
      </c>
      <c r="D1498" s="4" t="s">
        <v>6191</v>
      </c>
      <c r="E1498" s="5" t="n">
        <v>102855</v>
      </c>
      <c r="F1498" s="4" t="n">
        <v>6</v>
      </c>
      <c r="G1498" s="4" t="s">
        <v>6192</v>
      </c>
      <c r="H1498" s="4" t="n">
        <v>39.60663</v>
      </c>
      <c r="I1498" s="4" t="n">
        <v>-75.94725</v>
      </c>
      <c r="J1498" s="4" t="s">
        <v>6193</v>
      </c>
      <c r="K1498" s="6" t="str">
        <f aca="false">HYPERLINK("https://www.google.com/search?q=Cecil+County+Public+Library+North+East+MD+library+website","Search")</f>
        <v>Search</v>
      </c>
      <c r="L1498" s="7"/>
      <c r="M1498" s="7"/>
    </row>
    <row r="1499" customFormat="false" ht="15" hidden="false" customHeight="true" outlineLevel="0" collapsed="false">
      <c r="A1499" s="4" t="s">
        <v>6159</v>
      </c>
      <c r="B1499" s="4" t="s">
        <v>6194</v>
      </c>
      <c r="C1499" s="4" t="s">
        <v>1632</v>
      </c>
      <c r="D1499" s="4" t="s">
        <v>6195</v>
      </c>
      <c r="E1499" s="5" t="n">
        <v>163257</v>
      </c>
      <c r="F1499" s="4" t="n">
        <v>4</v>
      </c>
      <c r="G1499" s="4" t="s">
        <v>6196</v>
      </c>
      <c r="H1499" s="4" t="n">
        <v>38.53053</v>
      </c>
      <c r="I1499" s="4" t="n">
        <v>-76.97179</v>
      </c>
      <c r="J1499" s="4" t="s">
        <v>6197</v>
      </c>
      <c r="K1499" s="6" t="str">
        <f aca="false">HYPERLINK("https://www.google.com/search?q=Charles+County+Public+Library+La+Plata+MD+library+website","Search")</f>
        <v>Search</v>
      </c>
      <c r="L1499" s="7"/>
      <c r="M1499" s="7"/>
    </row>
    <row r="1500" customFormat="false" ht="15" hidden="false" customHeight="true" outlineLevel="0" collapsed="false">
      <c r="A1500" s="4" t="s">
        <v>6159</v>
      </c>
      <c r="B1500" s="4" t="s">
        <v>6198</v>
      </c>
      <c r="C1500" s="4" t="s">
        <v>5584</v>
      </c>
      <c r="D1500" s="4" t="s">
        <v>6199</v>
      </c>
      <c r="E1500" s="5" t="n">
        <v>31929</v>
      </c>
      <c r="F1500" s="4" t="n">
        <v>2</v>
      </c>
      <c r="G1500" s="4" t="s">
        <v>6200</v>
      </c>
      <c r="H1500" s="4" t="n">
        <v>38.57096</v>
      </c>
      <c r="I1500" s="4" t="n">
        <v>-76.07592</v>
      </c>
      <c r="J1500" s="4" t="s">
        <v>6201</v>
      </c>
      <c r="K1500" s="6" t="str">
        <f aca="false">HYPERLINK("https://www.google.com/search?q=Dorchester+County+Public+Library+Cambridge+MD+library+website","Search")</f>
        <v>Search</v>
      </c>
      <c r="L1500" s="7"/>
      <c r="M1500" s="7"/>
    </row>
    <row r="1501" customFormat="false" ht="15" hidden="false" customHeight="true" outlineLevel="0" collapsed="false">
      <c r="A1501" s="4" t="s">
        <v>6159</v>
      </c>
      <c r="B1501" s="4" t="s">
        <v>6202</v>
      </c>
      <c r="C1501" s="4" t="s">
        <v>6172</v>
      </c>
      <c r="D1501" s="4" t="s">
        <v>6203</v>
      </c>
      <c r="E1501" s="5" t="n">
        <v>593490</v>
      </c>
      <c r="F1501" s="4" t="n">
        <v>22</v>
      </c>
      <c r="G1501" s="4" t="s">
        <v>6204</v>
      </c>
      <c r="H1501" s="4" t="n">
        <v>39.29455</v>
      </c>
      <c r="I1501" s="4" t="n">
        <v>-76.61686</v>
      </c>
      <c r="J1501" s="4" t="s">
        <v>6205</v>
      </c>
      <c r="K1501" s="6" t="str">
        <f aca="false">HYPERLINK("https://www.google.com/search?q=Enoch+Pratt+Free+Library+Baltimore+MD+library+website","Search")</f>
        <v>Search</v>
      </c>
      <c r="L1501" s="7"/>
      <c r="M1501" s="7"/>
    </row>
    <row r="1502" customFormat="false" ht="15" hidden="false" customHeight="true" outlineLevel="0" collapsed="false">
      <c r="A1502" s="4" t="s">
        <v>6159</v>
      </c>
      <c r="B1502" s="4" t="s">
        <v>6206</v>
      </c>
      <c r="C1502" s="4" t="s">
        <v>6207</v>
      </c>
      <c r="D1502" s="4" t="s">
        <v>6207</v>
      </c>
      <c r="E1502" s="5" t="n">
        <v>259547</v>
      </c>
      <c r="F1502" s="4" t="n">
        <v>9</v>
      </c>
      <c r="G1502" s="4" t="s">
        <v>6208</v>
      </c>
      <c r="H1502" s="4" t="n">
        <v>39.41401</v>
      </c>
      <c r="I1502" s="4" t="n">
        <v>-77.4086</v>
      </c>
      <c r="J1502" s="4" t="s">
        <v>6209</v>
      </c>
      <c r="K1502" s="6" t="str">
        <f aca="false">HYPERLINK("https://www.google.com/search?q=Frederick+County+Public+Libraries+Frederick+MD+library+website","Search")</f>
        <v>Search</v>
      </c>
      <c r="L1502" s="7"/>
      <c r="M1502" s="7"/>
    </row>
    <row r="1503" customFormat="false" ht="15" hidden="false" customHeight="true" outlineLevel="0" collapsed="false">
      <c r="A1503" s="4" t="s">
        <v>6159</v>
      </c>
      <c r="B1503" s="4" t="s">
        <v>6210</v>
      </c>
      <c r="C1503" s="4" t="s">
        <v>6211</v>
      </c>
      <c r="D1503" s="4" t="s">
        <v>6212</v>
      </c>
      <c r="E1503" s="5" t="n">
        <v>255441</v>
      </c>
      <c r="F1503" s="4" t="n">
        <v>11</v>
      </c>
      <c r="G1503" s="4" t="s">
        <v>6213</v>
      </c>
      <c r="H1503" s="4" t="n">
        <v>39.47753</v>
      </c>
      <c r="I1503" s="4" t="n">
        <v>-76.2357</v>
      </c>
      <c r="J1503" s="4" t="s">
        <v>6214</v>
      </c>
      <c r="K1503" s="6" t="str">
        <f aca="false">HYPERLINK("https://www.google.com/search?q=Harford+County+Public+Library+Belcamp+MD+library+website","Search")</f>
        <v>Search</v>
      </c>
      <c r="L1503" s="7"/>
      <c r="M1503" s="7"/>
    </row>
    <row r="1504" customFormat="false" ht="15" hidden="false" customHeight="true" outlineLevel="0" collapsed="false">
      <c r="A1504" s="4" t="s">
        <v>6159</v>
      </c>
      <c r="B1504" s="4" t="s">
        <v>6215</v>
      </c>
      <c r="C1504" s="4" t="s">
        <v>6216</v>
      </c>
      <c r="D1504" s="4" t="s">
        <v>4440</v>
      </c>
      <c r="E1504" s="5" t="n">
        <v>325690</v>
      </c>
      <c r="F1504" s="4" t="n">
        <v>6</v>
      </c>
      <c r="G1504" s="4" t="s">
        <v>6217</v>
      </c>
      <c r="H1504" s="4" t="n">
        <v>39.27322</v>
      </c>
      <c r="I1504" s="4" t="n">
        <v>-76.83829</v>
      </c>
      <c r="J1504" s="4" t="s">
        <v>6218</v>
      </c>
      <c r="K1504" s="6" t="str">
        <f aca="false">HYPERLINK("https://www.google.com/search?q=Howard+County+Library+System+Ellicott+City+MD+library+website","Search")</f>
        <v>Search</v>
      </c>
      <c r="L1504" s="7"/>
      <c r="M1504" s="7"/>
    </row>
    <row r="1505" customFormat="false" ht="15" hidden="false" customHeight="true" outlineLevel="0" collapsed="false">
      <c r="A1505" s="4" t="s">
        <v>6159</v>
      </c>
      <c r="B1505" s="4" t="s">
        <v>2242</v>
      </c>
      <c r="C1505" s="4" t="s">
        <v>6219</v>
      </c>
      <c r="D1505" s="4" t="s">
        <v>2230</v>
      </c>
      <c r="E1505" s="5" t="n">
        <v>19422</v>
      </c>
      <c r="F1505" s="4" t="n">
        <v>3</v>
      </c>
      <c r="G1505" s="4" t="s">
        <v>6220</v>
      </c>
      <c r="H1505" s="4" t="n">
        <v>39.21086</v>
      </c>
      <c r="I1505" s="4" t="n">
        <v>-76.06923</v>
      </c>
      <c r="J1505" s="4" t="s">
        <v>6221</v>
      </c>
      <c r="K1505" s="6" t="str">
        <f aca="false">HYPERLINK("https://www.google.com/search?q=Kent+County+Public+Library+Chestertown+MD+library+website","Search")</f>
        <v>Search</v>
      </c>
      <c r="L1505" s="7"/>
      <c r="M1505" s="7"/>
    </row>
    <row r="1506" customFormat="false" ht="15" hidden="false" customHeight="true" outlineLevel="0" collapsed="false">
      <c r="A1506" s="4" t="s">
        <v>6159</v>
      </c>
      <c r="B1506" s="4" t="s">
        <v>6222</v>
      </c>
      <c r="C1506" s="4" t="s">
        <v>4546</v>
      </c>
      <c r="D1506" s="4" t="s">
        <v>315</v>
      </c>
      <c r="E1506" s="5" t="n">
        <v>1032963</v>
      </c>
      <c r="F1506" s="4" t="n">
        <v>21</v>
      </c>
      <c r="G1506" s="4" t="s">
        <v>6223</v>
      </c>
      <c r="H1506" s="4" t="n">
        <v>39.08662</v>
      </c>
      <c r="I1506" s="4" t="n">
        <v>-77.15109</v>
      </c>
      <c r="J1506" s="4" t="s">
        <v>6224</v>
      </c>
      <c r="K1506" s="6" t="str">
        <f aca="false">HYPERLINK("https://www.google.com/search?q=Montgomery+County+Public+Libraries+Rockville+MD+library+website","Search")</f>
        <v>Search</v>
      </c>
      <c r="L1506" s="7"/>
      <c r="M1506" s="7"/>
    </row>
    <row r="1507" customFormat="false" ht="15" hidden="false" customHeight="true" outlineLevel="0" collapsed="false">
      <c r="A1507" s="4" t="s">
        <v>6159</v>
      </c>
      <c r="B1507" s="4" t="s">
        <v>6225</v>
      </c>
      <c r="C1507" s="4" t="s">
        <v>6226</v>
      </c>
      <c r="D1507" s="4" t="s">
        <v>6227</v>
      </c>
      <c r="E1507" s="5" t="n">
        <v>909327</v>
      </c>
      <c r="F1507" s="4" t="n">
        <v>19</v>
      </c>
      <c r="G1507" s="4" t="s">
        <v>6228</v>
      </c>
      <c r="H1507" s="4" t="n">
        <v>38.89147</v>
      </c>
      <c r="I1507" s="4" t="n">
        <v>-76.83867</v>
      </c>
      <c r="J1507" s="4" t="s">
        <v>6229</v>
      </c>
      <c r="K1507" s="6" t="str">
        <f aca="false">HYPERLINK("https://www.google.com/search?q=Prince+George%60S+County+Memorial+Library+Syste+Largo+MD+library+website","Search")</f>
        <v>Search</v>
      </c>
      <c r="L1507" s="7"/>
      <c r="M1507" s="7"/>
    </row>
    <row r="1508" customFormat="false" ht="15" hidden="false" customHeight="true" outlineLevel="0" collapsed="false">
      <c r="A1508" s="4" t="s">
        <v>6159</v>
      </c>
      <c r="B1508" s="4" t="s">
        <v>6230</v>
      </c>
      <c r="C1508" s="4" t="s">
        <v>111</v>
      </c>
      <c r="D1508" s="4" t="s">
        <v>6231</v>
      </c>
      <c r="E1508" s="5" t="n">
        <v>50381</v>
      </c>
      <c r="F1508" s="4" t="n">
        <v>2</v>
      </c>
      <c r="G1508" s="4" t="s">
        <v>6232</v>
      </c>
      <c r="H1508" s="4" t="n">
        <v>39.04359</v>
      </c>
      <c r="I1508" s="4" t="n">
        <v>-76.06583</v>
      </c>
      <c r="J1508" s="4" t="s">
        <v>6233</v>
      </c>
      <c r="K1508" s="6" t="str">
        <f aca="false">HYPERLINK("https://www.google.com/search?q=Queen+Anne%60S+County+Free+Library+Centreville+MD+library+website","Search")</f>
        <v>Search</v>
      </c>
      <c r="L1508" s="7"/>
      <c r="M1508" s="7"/>
    </row>
    <row r="1509" customFormat="false" ht="15" hidden="false" customHeight="true" outlineLevel="0" collapsed="false">
      <c r="A1509" s="4" t="s">
        <v>6159</v>
      </c>
      <c r="B1509" s="4" t="s">
        <v>6234</v>
      </c>
      <c r="C1509" s="4" t="s">
        <v>1246</v>
      </c>
      <c r="D1509" s="4" t="s">
        <v>6235</v>
      </c>
      <c r="E1509" s="5" t="n">
        <v>29014</v>
      </c>
      <c r="F1509" s="4" t="n">
        <v>5</v>
      </c>
      <c r="G1509" s="4" t="s">
        <v>6236</v>
      </c>
      <c r="H1509" s="4" t="n">
        <v>39.41106</v>
      </c>
      <c r="I1509" s="4" t="n">
        <v>-79.40681</v>
      </c>
      <c r="J1509" s="4" t="s">
        <v>6237</v>
      </c>
      <c r="K1509" s="6" t="str">
        <f aca="false">HYPERLINK("https://www.google.com/search?q=Ruth+Enlow+Library+Of+Garrett+County+Oakland+MD+library+website","Search")</f>
        <v>Search</v>
      </c>
      <c r="L1509" s="7"/>
      <c r="M1509" s="7"/>
    </row>
    <row r="1510" customFormat="false" ht="15" hidden="false" customHeight="true" outlineLevel="0" collapsed="false">
      <c r="A1510" s="4" t="s">
        <v>6159</v>
      </c>
      <c r="B1510" s="4" t="s">
        <v>6238</v>
      </c>
      <c r="C1510" s="4" t="s">
        <v>6239</v>
      </c>
      <c r="D1510" s="4" t="s">
        <v>5152</v>
      </c>
      <c r="E1510" s="5" t="n">
        <v>25616</v>
      </c>
      <c r="F1510" s="4" t="n">
        <v>3</v>
      </c>
      <c r="G1510" s="4" t="s">
        <v>6240</v>
      </c>
      <c r="H1510" s="4" t="n">
        <v>38.20439</v>
      </c>
      <c r="I1510" s="4" t="n">
        <v>-75.69239</v>
      </c>
      <c r="J1510" s="4" t="s">
        <v>6241</v>
      </c>
      <c r="K1510" s="6" t="str">
        <f aca="false">HYPERLINK("https://www.google.com/search?q=Somerset+County+Library+Princess+Anne+MD+library+website","Search")</f>
        <v>Search</v>
      </c>
      <c r="L1510" s="7"/>
      <c r="M1510" s="7"/>
    </row>
    <row r="1511" customFormat="false" ht="15" hidden="false" customHeight="true" outlineLevel="0" collapsed="false">
      <c r="A1511" s="4" t="s">
        <v>6159</v>
      </c>
      <c r="B1511" s="4" t="s">
        <v>6242</v>
      </c>
      <c r="C1511" s="4" t="s">
        <v>6243</v>
      </c>
      <c r="D1511" s="4" t="s">
        <v>6244</v>
      </c>
      <c r="E1511" s="5" t="n">
        <v>113510</v>
      </c>
      <c r="F1511" s="4" t="n">
        <v>3</v>
      </c>
      <c r="G1511" s="4" t="s">
        <v>6245</v>
      </c>
      <c r="H1511" s="4" t="n">
        <v>38.31537</v>
      </c>
      <c r="I1511" s="4" t="n">
        <v>-76.63548</v>
      </c>
      <c r="J1511" s="4" t="s">
        <v>6246</v>
      </c>
      <c r="K1511" s="6" t="str">
        <f aca="false">HYPERLINK("https://www.google.com/search?q=St.+Mary%60S+County+Library+Leonardtown+MD+library+website","Search")</f>
        <v>Search</v>
      </c>
      <c r="L1511" s="7"/>
      <c r="M1511" s="7"/>
    </row>
    <row r="1512" customFormat="false" ht="15" hidden="false" customHeight="true" outlineLevel="0" collapsed="false">
      <c r="A1512" s="4" t="s">
        <v>6159</v>
      </c>
      <c r="B1512" s="4" t="s">
        <v>6247</v>
      </c>
      <c r="C1512" s="4" t="s">
        <v>6248</v>
      </c>
      <c r="D1512" s="4" t="s">
        <v>315</v>
      </c>
      <c r="E1512" s="5" t="n">
        <v>17725</v>
      </c>
      <c r="F1512" s="4" t="n">
        <v>1</v>
      </c>
      <c r="G1512" s="4" t="s">
        <v>6249</v>
      </c>
      <c r="H1512" s="4" t="n">
        <v>38.98115</v>
      </c>
      <c r="I1512" s="4" t="n">
        <v>-77.01063</v>
      </c>
      <c r="J1512" s="4" t="s">
        <v>6250</v>
      </c>
      <c r="K1512" s="6" t="str">
        <f aca="false">HYPERLINK("https://www.google.com/search?q=Takoma+Park+Maryland+Library+Takoma+Park+MD+library+website","Search")</f>
        <v>Search</v>
      </c>
      <c r="L1512" s="7"/>
      <c r="M1512" s="7"/>
    </row>
    <row r="1513" customFormat="false" ht="15" hidden="false" customHeight="true" outlineLevel="0" collapsed="false">
      <c r="A1513" s="4" t="s">
        <v>6159</v>
      </c>
      <c r="B1513" s="4" t="s">
        <v>6251</v>
      </c>
      <c r="C1513" s="4" t="s">
        <v>6252</v>
      </c>
      <c r="D1513" s="4" t="s">
        <v>6253</v>
      </c>
      <c r="E1513" s="5" t="n">
        <v>37181</v>
      </c>
      <c r="F1513" s="4" t="n">
        <v>2</v>
      </c>
      <c r="G1513" s="4" t="s">
        <v>6254</v>
      </c>
      <c r="H1513" s="4" t="n">
        <v>38.77446</v>
      </c>
      <c r="I1513" s="4" t="n">
        <v>-76.07791</v>
      </c>
      <c r="J1513" s="4" t="s">
        <v>6255</v>
      </c>
      <c r="K1513" s="6" t="str">
        <f aca="false">HYPERLINK("https://www.google.com/search?q=Talbot+County+Free+Library+Easton+MD+library+website","Search")</f>
        <v>Search</v>
      </c>
      <c r="L1513" s="7"/>
      <c r="M1513" s="7"/>
    </row>
    <row r="1514" customFormat="false" ht="15" hidden="false" customHeight="true" outlineLevel="0" collapsed="false">
      <c r="A1514" s="4" t="s">
        <v>6159</v>
      </c>
      <c r="B1514" s="4" t="s">
        <v>6256</v>
      </c>
      <c r="C1514" s="4" t="s">
        <v>6257</v>
      </c>
      <c r="D1514" s="4" t="s">
        <v>441</v>
      </c>
      <c r="E1514" s="5" t="n">
        <v>151049</v>
      </c>
      <c r="F1514" s="4" t="n">
        <v>8</v>
      </c>
      <c r="G1514" s="4" t="s">
        <v>6258</v>
      </c>
      <c r="H1514" s="4" t="n">
        <v>39.64052</v>
      </c>
      <c r="I1514" s="4" t="n">
        <v>-77.72145</v>
      </c>
      <c r="J1514" s="4" t="s">
        <v>6259</v>
      </c>
      <c r="K1514" s="6" t="str">
        <f aca="false">HYPERLINK("https://www.google.com/search?q=Washington+County+Free+Library+Hagerstown+MD+library+website","Search")</f>
        <v>Search</v>
      </c>
      <c r="L1514" s="7"/>
      <c r="M1514" s="7"/>
    </row>
    <row r="1515" customFormat="false" ht="15" hidden="false" customHeight="true" outlineLevel="0" collapsed="false">
      <c r="A1515" s="4" t="s">
        <v>6159</v>
      </c>
      <c r="B1515" s="4" t="s">
        <v>6260</v>
      </c>
      <c r="C1515" s="4" t="s">
        <v>6261</v>
      </c>
      <c r="D1515" s="4" t="s">
        <v>6262</v>
      </c>
      <c r="E1515" s="5" t="n">
        <v>103609</v>
      </c>
      <c r="F1515" s="4" t="n">
        <v>3</v>
      </c>
      <c r="G1515" s="4" t="s">
        <v>6263</v>
      </c>
      <c r="H1515" s="4" t="n">
        <v>38.36427</v>
      </c>
      <c r="I1515" s="4" t="n">
        <v>-75.60058</v>
      </c>
      <c r="J1515" s="4" t="s">
        <v>6264</v>
      </c>
      <c r="K1515" s="6" t="str">
        <f aca="false">HYPERLINK("https://www.google.com/search?q=Wicomico+County+Free+Library+Salisbury+MD+library+website","Search")</f>
        <v>Search</v>
      </c>
      <c r="L1515" s="7"/>
      <c r="M1515" s="7"/>
    </row>
    <row r="1516" customFormat="false" ht="15" hidden="false" customHeight="true" outlineLevel="0" collapsed="false">
      <c r="A1516" s="4" t="s">
        <v>6159</v>
      </c>
      <c r="B1516" s="4" t="s">
        <v>6265</v>
      </c>
      <c r="C1516" s="4" t="s">
        <v>6266</v>
      </c>
      <c r="D1516" s="4" t="s">
        <v>5505</v>
      </c>
      <c r="E1516" s="5" t="n">
        <v>52276</v>
      </c>
      <c r="F1516" s="4" t="n">
        <v>5</v>
      </c>
      <c r="G1516" s="4" t="s">
        <v>6267</v>
      </c>
      <c r="H1516" s="4" t="n">
        <v>38.17842</v>
      </c>
      <c r="I1516" s="4" t="n">
        <v>-75.39403</v>
      </c>
      <c r="J1516" s="4" t="s">
        <v>6268</v>
      </c>
      <c r="K1516" s="6" t="str">
        <f aca="false">HYPERLINK("https://www.google.com/search?q=Worcester+County+Library+Snow+Hill+MD+library+website","Search")</f>
        <v>Search</v>
      </c>
      <c r="L1516" s="7"/>
      <c r="M1516" s="7"/>
    </row>
    <row r="1517" customFormat="false" ht="15" hidden="false" customHeight="true" outlineLevel="0" collapsed="false">
      <c r="A1517" s="4" t="s">
        <v>6269</v>
      </c>
      <c r="B1517" s="4" t="s">
        <v>81</v>
      </c>
      <c r="C1517" s="4" t="s">
        <v>82</v>
      </c>
      <c r="D1517" s="4" t="s">
        <v>6270</v>
      </c>
      <c r="E1517" s="5" t="n">
        <v>25996</v>
      </c>
      <c r="F1517" s="4" t="n">
        <v>1</v>
      </c>
      <c r="G1517" s="4" t="s">
        <v>6271</v>
      </c>
      <c r="H1517" s="4" t="n">
        <v>44.09803</v>
      </c>
      <c r="I1517" s="4" t="n">
        <v>-70.22883</v>
      </c>
      <c r="J1517" s="4" t="s">
        <v>6272</v>
      </c>
      <c r="K1517" s="6" t="str">
        <f aca="false">HYPERLINK("https://www.google.com/search?q=Auburn+Public+Library+Auburn+ME+library+website","Search")</f>
        <v>Search</v>
      </c>
      <c r="L1517" s="7"/>
      <c r="M1517" s="7"/>
    </row>
    <row r="1518" customFormat="false" ht="15" hidden="false" customHeight="true" outlineLevel="0" collapsed="false">
      <c r="A1518" s="4" t="s">
        <v>6269</v>
      </c>
      <c r="B1518" s="4" t="s">
        <v>6273</v>
      </c>
      <c r="C1518" s="4" t="s">
        <v>6274</v>
      </c>
      <c r="D1518" s="4" t="s">
        <v>6275</v>
      </c>
      <c r="E1518" s="5" t="n">
        <v>31998</v>
      </c>
      <c r="F1518" s="4" t="n">
        <v>1</v>
      </c>
      <c r="G1518" s="4" t="s">
        <v>6276</v>
      </c>
      <c r="H1518" s="4" t="n">
        <v>44.80412</v>
      </c>
      <c r="I1518" s="4" t="n">
        <v>-68.77187</v>
      </c>
      <c r="J1518" s="4" t="s">
        <v>6277</v>
      </c>
      <c r="K1518" s="6" t="str">
        <f aca="false">HYPERLINK("https://www.google.com/search?q=Bangor+Public+Library+Bangor+ME+library+website","Search")</f>
        <v>Search</v>
      </c>
      <c r="L1518" s="7"/>
      <c r="M1518" s="7"/>
    </row>
    <row r="1519" customFormat="false" ht="15" hidden="false" customHeight="true" outlineLevel="0" collapsed="false">
      <c r="A1519" s="4" t="s">
        <v>6269</v>
      </c>
      <c r="B1519" s="4" t="s">
        <v>6278</v>
      </c>
      <c r="C1519" s="4" t="s">
        <v>6279</v>
      </c>
      <c r="D1519" s="4" t="s">
        <v>6161</v>
      </c>
      <c r="E1519" s="5" t="n">
        <v>17962</v>
      </c>
      <c r="F1519" s="4" t="n">
        <v>1</v>
      </c>
      <c r="G1519" s="4" t="s">
        <v>6280</v>
      </c>
      <c r="H1519" s="4" t="n">
        <v>43.67734</v>
      </c>
      <c r="I1519" s="4" t="n">
        <v>-70.44165</v>
      </c>
      <c r="J1519" s="4" t="s">
        <v>6281</v>
      </c>
      <c r="K1519" s="6" t="str">
        <f aca="false">HYPERLINK("https://www.google.com/search?q=Baxter+Memorial+Library+Gorham+ME+library+website","Search")</f>
        <v>Search</v>
      </c>
      <c r="L1519" s="7"/>
      <c r="M1519" s="7"/>
    </row>
    <row r="1520" customFormat="false" ht="15" hidden="false" customHeight="true" outlineLevel="0" collapsed="false">
      <c r="A1520" s="4" t="s">
        <v>6269</v>
      </c>
      <c r="B1520" s="4" t="s">
        <v>6282</v>
      </c>
      <c r="C1520" s="4" t="s">
        <v>6283</v>
      </c>
      <c r="D1520" s="4" t="s">
        <v>6284</v>
      </c>
      <c r="E1520" s="5" t="n">
        <v>13565</v>
      </c>
      <c r="F1520" s="4" t="n">
        <v>1</v>
      </c>
      <c r="G1520" s="4" t="s">
        <v>6285</v>
      </c>
      <c r="H1520" s="4" t="n">
        <v>46.12564</v>
      </c>
      <c r="I1520" s="4" t="n">
        <v>-67.83758</v>
      </c>
      <c r="J1520" s="4" t="s">
        <v>6286</v>
      </c>
      <c r="K1520" s="6" t="str">
        <f aca="false">HYPERLINK("https://www.google.com/search?q=Cary+Library-Houlton+Houlton+ME+library+website","Search")</f>
        <v>Search</v>
      </c>
      <c r="L1520" s="7"/>
      <c r="M1520" s="7"/>
    </row>
    <row r="1521" customFormat="false" ht="15" hidden="false" customHeight="true" outlineLevel="0" collapsed="false">
      <c r="A1521" s="4" t="s">
        <v>6269</v>
      </c>
      <c r="B1521" s="4" t="s">
        <v>6287</v>
      </c>
      <c r="C1521" s="4" t="s">
        <v>2744</v>
      </c>
      <c r="D1521" s="4" t="s">
        <v>6161</v>
      </c>
      <c r="E1521" s="5" t="n">
        <v>25553</v>
      </c>
      <c r="F1521" s="4" t="n">
        <v>1</v>
      </c>
      <c r="G1521" s="4" t="s">
        <v>6288</v>
      </c>
      <c r="H1521" s="4" t="n">
        <v>43.91403</v>
      </c>
      <c r="I1521" s="4" t="n">
        <v>-69.96729</v>
      </c>
      <c r="J1521" s="4" t="s">
        <v>6289</v>
      </c>
      <c r="K1521" s="6" t="str">
        <f aca="false">HYPERLINK("https://www.google.com/search?q=Curtis+Memorial+Library+Brunswick+ME+library+website","Search")</f>
        <v>Search</v>
      </c>
      <c r="L1521" s="7"/>
      <c r="M1521" s="7"/>
    </row>
    <row r="1522" customFormat="false" ht="15" hidden="false" customHeight="true" outlineLevel="0" collapsed="false">
      <c r="A1522" s="4" t="s">
        <v>6269</v>
      </c>
      <c r="B1522" s="4" t="s">
        <v>6290</v>
      </c>
      <c r="C1522" s="4" t="s">
        <v>6291</v>
      </c>
      <c r="D1522" s="4" t="s">
        <v>6292</v>
      </c>
      <c r="E1522" s="5" t="n">
        <v>20121</v>
      </c>
      <c r="F1522" s="4" t="n">
        <v>1</v>
      </c>
      <c r="G1522" s="4" t="s">
        <v>6293</v>
      </c>
      <c r="H1522" s="4" t="n">
        <v>43.50167</v>
      </c>
      <c r="I1522" s="4" t="n">
        <v>-70.44213</v>
      </c>
      <c r="J1522" s="4" t="s">
        <v>6294</v>
      </c>
      <c r="K1522" s="6" t="str">
        <f aca="false">HYPERLINK("https://www.google.com/search?q=Dyer+Library+Saco+ME+library+website","Search")</f>
        <v>Search</v>
      </c>
      <c r="L1522" s="7"/>
      <c r="M1522" s="7"/>
    </row>
    <row r="1523" customFormat="false" ht="15" hidden="false" customHeight="true" outlineLevel="0" collapsed="false">
      <c r="A1523" s="4" t="s">
        <v>6269</v>
      </c>
      <c r="B1523" s="4" t="s">
        <v>6295</v>
      </c>
      <c r="C1523" s="4" t="s">
        <v>6296</v>
      </c>
      <c r="D1523" s="4" t="s">
        <v>4339</v>
      </c>
      <c r="E1523" s="5" t="n">
        <v>14497</v>
      </c>
      <c r="F1523" s="4" t="n">
        <v>1</v>
      </c>
      <c r="G1523" s="4" t="s">
        <v>6297</v>
      </c>
      <c r="H1523" s="4" t="n">
        <v>44.54208</v>
      </c>
      <c r="I1523" s="4" t="n">
        <v>-68.4251</v>
      </c>
      <c r="J1523" s="4" t="s">
        <v>6298</v>
      </c>
      <c r="K1523" s="6" t="str">
        <f aca="false">HYPERLINK("https://www.google.com/search?q=Ellsworth+Public+Library+Ellsworth+ME+library+website","Search")</f>
        <v>Search</v>
      </c>
      <c r="L1523" s="7"/>
      <c r="M1523" s="7"/>
    </row>
    <row r="1524" customFormat="false" ht="15" hidden="false" customHeight="true" outlineLevel="0" collapsed="false">
      <c r="A1524" s="4" t="s">
        <v>6269</v>
      </c>
      <c r="B1524" s="4" t="s">
        <v>6299</v>
      </c>
      <c r="C1524" s="4" t="s">
        <v>5136</v>
      </c>
      <c r="D1524" s="4" t="s">
        <v>6161</v>
      </c>
      <c r="E1524" s="5" t="n">
        <v>12440</v>
      </c>
      <c r="F1524" s="4" t="n">
        <v>1</v>
      </c>
      <c r="G1524" s="4" t="s">
        <v>6300</v>
      </c>
      <c r="H1524" s="4" t="n">
        <v>43.72299</v>
      </c>
      <c r="I1524" s="4" t="n">
        <v>-70.2361</v>
      </c>
      <c r="J1524" s="4" t="s">
        <v>6301</v>
      </c>
      <c r="K1524" s="6" t="str">
        <f aca="false">HYPERLINK("https://www.google.com/search?q=Falmouth+Memorial+Library+Falmouth+ME+library+website","Search")</f>
        <v>Search</v>
      </c>
      <c r="L1524" s="7"/>
      <c r="M1524" s="7"/>
    </row>
    <row r="1525" customFormat="false" ht="15" hidden="false" customHeight="true" outlineLevel="0" collapsed="false">
      <c r="A1525" s="4" t="s">
        <v>6269</v>
      </c>
      <c r="B1525" s="4" t="s">
        <v>6302</v>
      </c>
      <c r="C1525" s="4" t="s">
        <v>6303</v>
      </c>
      <c r="D1525" s="4" t="s">
        <v>6304</v>
      </c>
      <c r="E1525" s="5" t="n">
        <v>20198</v>
      </c>
      <c r="F1525" s="4" t="n">
        <v>1</v>
      </c>
      <c r="G1525" s="4" t="s">
        <v>6305</v>
      </c>
      <c r="H1525" s="4" t="n">
        <v>44.22885</v>
      </c>
      <c r="I1525" s="4" t="n">
        <v>-69.77082</v>
      </c>
      <c r="J1525" s="4" t="s">
        <v>6306</v>
      </c>
      <c r="K1525" s="6" t="str">
        <f aca="false">HYPERLINK("https://www.google.com/search?q=Gardiner+Public+Library+Gardiner+ME+library+website","Search")</f>
        <v>Search</v>
      </c>
      <c r="L1525" s="7"/>
      <c r="M1525" s="7"/>
    </row>
    <row r="1526" customFormat="false" ht="15" hidden="false" customHeight="true" outlineLevel="0" collapsed="false">
      <c r="A1526" s="4" t="s">
        <v>6269</v>
      </c>
      <c r="B1526" s="4" t="s">
        <v>6307</v>
      </c>
      <c r="C1526" s="4" t="s">
        <v>6308</v>
      </c>
      <c r="D1526" s="4" t="s">
        <v>6292</v>
      </c>
      <c r="E1526" s="5" t="n">
        <v>21253</v>
      </c>
      <c r="F1526" s="4" t="n">
        <v>1</v>
      </c>
      <c r="G1526" s="4" t="s">
        <v>6309</v>
      </c>
      <c r="H1526" s="4" t="n">
        <v>43.43621</v>
      </c>
      <c r="I1526" s="4" t="n">
        <v>-70.77312</v>
      </c>
      <c r="J1526" s="4" t="s">
        <v>6310</v>
      </c>
      <c r="K1526" s="6" t="str">
        <f aca="false">HYPERLINK("https://www.google.com/search?q=Goodall+Memorial+Library+Sanford+ME+library+website","Search")</f>
        <v>Search</v>
      </c>
      <c r="L1526" s="7"/>
      <c r="M1526" s="7"/>
    </row>
    <row r="1527" customFormat="false" ht="15" hidden="false" customHeight="true" outlineLevel="0" collapsed="false">
      <c r="A1527" s="4" t="s">
        <v>6269</v>
      </c>
      <c r="B1527" s="4" t="s">
        <v>6311</v>
      </c>
      <c r="C1527" s="4" t="s">
        <v>6312</v>
      </c>
      <c r="D1527" s="4" t="s">
        <v>6292</v>
      </c>
      <c r="E1527" s="5" t="n">
        <v>16163</v>
      </c>
      <c r="F1527" s="4" t="n">
        <v>1</v>
      </c>
      <c r="G1527" s="4" t="s">
        <v>6313</v>
      </c>
      <c r="H1527" s="4" t="n">
        <v>43.38753</v>
      </c>
      <c r="I1527" s="4" t="n">
        <v>-70.53764</v>
      </c>
      <c r="J1527" s="4" t="s">
        <v>6314</v>
      </c>
      <c r="K1527" s="6" t="str">
        <f aca="false">HYPERLINK("https://www.google.com/search?q=Kennebunk+Free+Library+Kennebunk+ME+library+website","Search")</f>
        <v>Search</v>
      </c>
      <c r="L1527" s="7"/>
      <c r="M1527" s="8" t="str">
        <f aca="false">HYPERLINK("https://kennebunklibrary.overdrive.com","https://kennebunklibrary.overdrive.com")</f>
        <v>https://kennebunklibrary.overdrive.com</v>
      </c>
    </row>
    <row r="1528" customFormat="false" ht="15" hidden="false" customHeight="true" outlineLevel="0" collapsed="false">
      <c r="A1528" s="4" t="s">
        <v>6269</v>
      </c>
      <c r="B1528" s="4" t="s">
        <v>6315</v>
      </c>
      <c r="C1528" s="4" t="s">
        <v>3240</v>
      </c>
      <c r="D1528" s="4" t="s">
        <v>6270</v>
      </c>
      <c r="E1528" s="5" t="n">
        <v>36226</v>
      </c>
      <c r="F1528" s="4" t="n">
        <v>1</v>
      </c>
      <c r="G1528" s="4" t="s">
        <v>6316</v>
      </c>
      <c r="H1528" s="4" t="n">
        <v>44.09532</v>
      </c>
      <c r="I1528" s="4" t="n">
        <v>-70.21644</v>
      </c>
      <c r="J1528" s="4" t="s">
        <v>6317</v>
      </c>
      <c r="K1528" s="6" t="str">
        <f aca="false">HYPERLINK("https://www.google.com/search?q=Lewiston+Public+Library+Lewiston+ME+library+website","Search")</f>
        <v>Search</v>
      </c>
      <c r="L1528" s="7"/>
      <c r="M1528" s="7"/>
    </row>
    <row r="1529" customFormat="false" ht="15" hidden="false" customHeight="true" outlineLevel="0" collapsed="false">
      <c r="A1529" s="4" t="s">
        <v>6269</v>
      </c>
      <c r="B1529" s="4" t="s">
        <v>6318</v>
      </c>
      <c r="C1529" s="4" t="s">
        <v>2601</v>
      </c>
      <c r="D1529" s="4" t="s">
        <v>6304</v>
      </c>
      <c r="E1529" s="5" t="n">
        <v>18747</v>
      </c>
      <c r="F1529" s="4" t="n">
        <v>1</v>
      </c>
      <c r="G1529" s="4" t="s">
        <v>6319</v>
      </c>
      <c r="H1529" s="4" t="n">
        <v>44.31519</v>
      </c>
      <c r="I1529" s="4" t="n">
        <v>-69.77784</v>
      </c>
      <c r="J1529" s="4" t="s">
        <v>6320</v>
      </c>
      <c r="K1529" s="6" t="str">
        <f aca="false">HYPERLINK("https://www.google.com/search?q=Lithgow+Public+Library+Augusta+ME+library+website","Search")</f>
        <v>Search</v>
      </c>
      <c r="L1529" s="7"/>
      <c r="M1529" s="7"/>
    </row>
    <row r="1530" customFormat="false" ht="15" hidden="false" customHeight="true" outlineLevel="0" collapsed="false">
      <c r="A1530" s="4" t="s">
        <v>6269</v>
      </c>
      <c r="B1530" s="4" t="s">
        <v>6321</v>
      </c>
      <c r="C1530" s="4" t="s">
        <v>6322</v>
      </c>
      <c r="D1530" s="4" t="s">
        <v>6292</v>
      </c>
      <c r="E1530" s="5" t="n">
        <v>21500</v>
      </c>
      <c r="F1530" s="4" t="n">
        <v>1</v>
      </c>
      <c r="G1530" s="4" t="s">
        <v>6323</v>
      </c>
      <c r="H1530" s="4" t="n">
        <v>43.49422</v>
      </c>
      <c r="I1530" s="4" t="n">
        <v>-70.45815</v>
      </c>
      <c r="J1530" s="4" t="s">
        <v>6324</v>
      </c>
      <c r="K1530" s="6" t="str">
        <f aca="false">HYPERLINK("https://www.google.com/search?q=Mcarthur+Public+Library+Biddeford+ME+library+website","Search")</f>
        <v>Search</v>
      </c>
      <c r="L1530" s="7"/>
      <c r="M1530" s="7"/>
    </row>
    <row r="1531" customFormat="false" ht="15" hidden="false" customHeight="true" outlineLevel="0" collapsed="false">
      <c r="A1531" s="4" t="s">
        <v>6269</v>
      </c>
      <c r="B1531" s="4" t="s">
        <v>6325</v>
      </c>
      <c r="C1531" s="4" t="s">
        <v>6279</v>
      </c>
      <c r="D1531" s="4" t="s">
        <v>6161</v>
      </c>
      <c r="E1531" s="5" t="n">
        <v>17962</v>
      </c>
      <c r="F1531" s="4" t="n">
        <v>1</v>
      </c>
      <c r="G1531" s="4" t="s">
        <v>6326</v>
      </c>
      <c r="H1531" s="4" t="n">
        <v>43.79872</v>
      </c>
      <c r="I1531" s="4" t="n">
        <v>-70.45516</v>
      </c>
      <c r="J1531" s="4" t="s">
        <v>6327</v>
      </c>
      <c r="K1531" s="6" t="str">
        <f aca="false">HYPERLINK("https://www.google.com/search?q=North+Gorham+Public+Library+Gorham+ME+library+website","Search")</f>
        <v>Search</v>
      </c>
      <c r="L1531" s="7"/>
      <c r="M1531" s="7"/>
    </row>
    <row r="1532" customFormat="false" ht="15" hidden="false" customHeight="true" outlineLevel="0" collapsed="false">
      <c r="A1532" s="4" t="s">
        <v>6269</v>
      </c>
      <c r="B1532" s="4" t="s">
        <v>6328</v>
      </c>
      <c r="C1532" s="4" t="s">
        <v>6329</v>
      </c>
      <c r="D1532" s="4" t="s">
        <v>6275</v>
      </c>
      <c r="E1532" s="5" t="n">
        <v>10377</v>
      </c>
      <c r="F1532" s="4" t="n">
        <v>1</v>
      </c>
      <c r="G1532" s="4" t="s">
        <v>6330</v>
      </c>
      <c r="H1532" s="4" t="n">
        <v>44.93563</v>
      </c>
      <c r="I1532" s="4" t="n">
        <v>-68.64815</v>
      </c>
      <c r="J1532" s="4" t="s">
        <v>6331</v>
      </c>
      <c r="K1532" s="6" t="str">
        <f aca="false">HYPERLINK("https://www.google.com/search?q=Old+Town+Public+Library+Old+Town+ME+library+website","Search")</f>
        <v>Search</v>
      </c>
      <c r="L1532" s="7"/>
      <c r="M1532" s="7"/>
    </row>
    <row r="1533" customFormat="false" ht="15" hidden="false" customHeight="true" outlineLevel="0" collapsed="false">
      <c r="A1533" s="4" t="s">
        <v>6269</v>
      </c>
      <c r="B1533" s="4" t="s">
        <v>6332</v>
      </c>
      <c r="C1533" s="4" t="s">
        <v>6333</v>
      </c>
      <c r="D1533" s="4" t="s">
        <v>6275</v>
      </c>
      <c r="E1533" s="5" t="n">
        <v>10636</v>
      </c>
      <c r="F1533" s="4" t="n">
        <v>1</v>
      </c>
      <c r="G1533" s="4" t="s">
        <v>6334</v>
      </c>
      <c r="H1533" s="4" t="n">
        <v>44.88178</v>
      </c>
      <c r="I1533" s="4" t="n">
        <v>-68.67011</v>
      </c>
      <c r="J1533" s="4" t="s">
        <v>6335</v>
      </c>
      <c r="K1533" s="6" t="str">
        <f aca="false">HYPERLINK("https://www.google.com/search?q=Orono+Public+Library+Orono+ME+library+website","Search")</f>
        <v>Search</v>
      </c>
      <c r="L1533" s="7"/>
      <c r="M1533" s="7"/>
    </row>
    <row r="1534" customFormat="false" ht="15" hidden="false" customHeight="true" outlineLevel="0" collapsed="false">
      <c r="A1534" s="4" t="s">
        <v>6269</v>
      </c>
      <c r="B1534" s="4" t="s">
        <v>6336</v>
      </c>
      <c r="C1534" s="4" t="s">
        <v>4823</v>
      </c>
      <c r="D1534" s="4" t="s">
        <v>6337</v>
      </c>
      <c r="E1534" s="5" t="n">
        <v>15029</v>
      </c>
      <c r="F1534" s="4" t="n">
        <v>1</v>
      </c>
      <c r="G1534" s="4" t="s">
        <v>6338</v>
      </c>
      <c r="H1534" s="4" t="n">
        <v>43.91534</v>
      </c>
      <c r="I1534" s="4" t="n">
        <v>-69.81481</v>
      </c>
      <c r="J1534" s="4" t="s">
        <v>6339</v>
      </c>
      <c r="K1534" s="6" t="str">
        <f aca="false">HYPERLINK("https://www.google.com/search?q=Patten+Free+Library+Bath+ME+library+website","Search")</f>
        <v>Search</v>
      </c>
      <c r="L1534" s="7"/>
      <c r="M1534" s="7"/>
    </row>
    <row r="1535" customFormat="false" ht="15" hidden="false" customHeight="true" outlineLevel="0" collapsed="false">
      <c r="A1535" s="4" t="s">
        <v>6269</v>
      </c>
      <c r="B1535" s="4" t="s">
        <v>6340</v>
      </c>
      <c r="C1535" s="4" t="s">
        <v>4411</v>
      </c>
      <c r="D1535" s="4" t="s">
        <v>6161</v>
      </c>
      <c r="E1535" s="5" t="n">
        <v>66803</v>
      </c>
      <c r="F1535" s="4" t="n">
        <v>4</v>
      </c>
      <c r="G1535" s="4" t="s">
        <v>6341</v>
      </c>
      <c r="H1535" s="4" t="n">
        <v>43.65773</v>
      </c>
      <c r="I1535" s="4" t="n">
        <v>-70.25882</v>
      </c>
      <c r="J1535" s="4" t="s">
        <v>6342</v>
      </c>
      <c r="K1535" s="6" t="str">
        <f aca="false">HYPERLINK("https://www.google.com/search?q=Portland+Public+Library+Portland+ME+library+website","Search")</f>
        <v>Search</v>
      </c>
      <c r="L1535" s="7"/>
      <c r="M1535" s="7"/>
    </row>
    <row r="1536" customFormat="false" ht="15" hidden="false" customHeight="true" outlineLevel="0" collapsed="false">
      <c r="A1536" s="4" t="s">
        <v>6269</v>
      </c>
      <c r="B1536" s="4" t="s">
        <v>6343</v>
      </c>
      <c r="C1536" s="4" t="s">
        <v>6161</v>
      </c>
      <c r="D1536" s="4" t="s">
        <v>6161</v>
      </c>
      <c r="E1536" s="5" t="n">
        <v>13319</v>
      </c>
      <c r="F1536" s="4" t="n">
        <v>1</v>
      </c>
      <c r="G1536" s="4" t="s">
        <v>6344</v>
      </c>
      <c r="H1536" s="4" t="n">
        <v>43.79351</v>
      </c>
      <c r="I1536" s="4" t="n">
        <v>-70.2585</v>
      </c>
      <c r="J1536" s="4" t="s">
        <v>6345</v>
      </c>
      <c r="K1536" s="6" t="str">
        <f aca="false">HYPERLINK("https://www.google.com/search?q=Prince+Memorial+Library+Cumberland+ME+library+website","Search")</f>
        <v>Search</v>
      </c>
      <c r="L1536" s="7"/>
      <c r="M1536" s="7"/>
    </row>
    <row r="1537" customFormat="false" ht="15" hidden="false" customHeight="true" outlineLevel="0" collapsed="false">
      <c r="A1537" s="4" t="s">
        <v>6269</v>
      </c>
      <c r="B1537" s="4" t="s">
        <v>6346</v>
      </c>
      <c r="C1537" s="4" t="s">
        <v>6347</v>
      </c>
      <c r="D1537" s="4" t="s">
        <v>6161</v>
      </c>
      <c r="E1537" s="5" t="n">
        <v>21527</v>
      </c>
      <c r="F1537" s="4" t="n">
        <v>1</v>
      </c>
      <c r="G1537" s="4" t="s">
        <v>6348</v>
      </c>
      <c r="H1537" s="4" t="n">
        <v>43.59775</v>
      </c>
      <c r="I1537" s="4" t="n">
        <v>-70.33621</v>
      </c>
      <c r="J1537" s="4" t="s">
        <v>6349</v>
      </c>
      <c r="K1537" s="6" t="str">
        <f aca="false">HYPERLINK("https://www.google.com/search?q=Scarborough+Public+Library+Scarborough+ME+library+website","Search")</f>
        <v>Search</v>
      </c>
      <c r="L1537" s="7"/>
      <c r="M1537" s="8" t="str">
        <f aca="false">HYPERLINK("https://scarborough.overdrive.com","https://scarborough.overdrive.com")</f>
        <v>https://scarborough.overdrive.com</v>
      </c>
    </row>
    <row r="1538" customFormat="false" ht="15" hidden="false" customHeight="true" outlineLevel="0" collapsed="false">
      <c r="A1538" s="4" t="s">
        <v>6269</v>
      </c>
      <c r="B1538" s="4" t="s">
        <v>6350</v>
      </c>
      <c r="C1538" s="4" t="s">
        <v>6351</v>
      </c>
      <c r="D1538" s="4" t="s">
        <v>6161</v>
      </c>
      <c r="E1538" s="5" t="n">
        <v>25950</v>
      </c>
      <c r="F1538" s="4" t="n">
        <v>2</v>
      </c>
      <c r="G1538" s="4" t="s">
        <v>6352</v>
      </c>
      <c r="H1538" s="4" t="n">
        <v>43.63578</v>
      </c>
      <c r="I1538" s="4" t="n">
        <v>-70.24859</v>
      </c>
      <c r="J1538" s="4" t="s">
        <v>6353</v>
      </c>
      <c r="K1538" s="6" t="str">
        <f aca="false">HYPERLINK("https://www.google.com/search?q=South+Portland+Public+Library+South+Portland+ME+library+website","Search")</f>
        <v>Search</v>
      </c>
      <c r="L1538" s="7"/>
      <c r="M1538" s="7"/>
    </row>
    <row r="1539" customFormat="false" ht="15" hidden="false" customHeight="true" outlineLevel="0" collapsed="false">
      <c r="A1539" s="4" t="s">
        <v>6269</v>
      </c>
      <c r="B1539" s="4" t="s">
        <v>6354</v>
      </c>
      <c r="C1539" s="4" t="s">
        <v>6355</v>
      </c>
      <c r="D1539" s="4" t="s">
        <v>6292</v>
      </c>
      <c r="E1539" s="5" t="n">
        <v>21253</v>
      </c>
      <c r="F1539" s="4" t="n">
        <v>1</v>
      </c>
      <c r="G1539" s="4" t="s">
        <v>6356</v>
      </c>
      <c r="H1539" s="4" t="n">
        <v>43.46715</v>
      </c>
      <c r="I1539" s="4" t="n">
        <v>-70.79857</v>
      </c>
      <c r="J1539" s="4" t="s">
        <v>6357</v>
      </c>
      <c r="K1539" s="6" t="str">
        <f aca="false">HYPERLINK("https://www.google.com/search?q=Springvale+Public+Library+Springvale+ME+library+website","Search")</f>
        <v>Search</v>
      </c>
      <c r="L1539" s="7"/>
      <c r="M1539" s="7"/>
    </row>
    <row r="1540" customFormat="false" ht="15" hidden="false" customHeight="true" outlineLevel="0" collapsed="false">
      <c r="A1540" s="4" t="s">
        <v>6269</v>
      </c>
      <c r="B1540" s="4" t="s">
        <v>6358</v>
      </c>
      <c r="C1540" s="4" t="s">
        <v>6359</v>
      </c>
      <c r="D1540" s="4" t="s">
        <v>6161</v>
      </c>
      <c r="E1540" s="5" t="n">
        <v>19267</v>
      </c>
      <c r="F1540" s="4" t="n">
        <v>1</v>
      </c>
      <c r="G1540" s="4" t="s">
        <v>6360</v>
      </c>
      <c r="H1540" s="4" t="n">
        <v>43.67636</v>
      </c>
      <c r="I1540" s="4" t="n">
        <v>-70.36369</v>
      </c>
      <c r="J1540" s="4" t="s">
        <v>6361</v>
      </c>
      <c r="K1540" s="6" t="str">
        <f aca="false">HYPERLINK("https://www.google.com/search?q=Walker+Memorial+Library+Westbrook+ME+library+website","Search")</f>
        <v>Search</v>
      </c>
      <c r="L1540" s="7"/>
      <c r="M1540" s="7"/>
    </row>
    <row r="1541" customFormat="false" ht="15" hidden="false" customHeight="true" outlineLevel="0" collapsed="false">
      <c r="A1541" s="4" t="s">
        <v>6269</v>
      </c>
      <c r="B1541" s="4" t="s">
        <v>6362</v>
      </c>
      <c r="C1541" s="4" t="s">
        <v>6363</v>
      </c>
      <c r="D1541" s="4" t="s">
        <v>6304</v>
      </c>
      <c r="E1541" s="5" t="n">
        <v>16579</v>
      </c>
      <c r="F1541" s="4" t="n">
        <v>1</v>
      </c>
      <c r="G1541" s="4" t="s">
        <v>6364</v>
      </c>
      <c r="H1541" s="4" t="n">
        <v>44.55148</v>
      </c>
      <c r="I1541" s="4" t="n">
        <v>-69.63225</v>
      </c>
      <c r="J1541" s="4" t="s">
        <v>6365</v>
      </c>
      <c r="K1541" s="6" t="str">
        <f aca="false">HYPERLINK("https://www.google.com/search?q=Waterville+Public+Library+Waterville+ME+library+website","Search")</f>
        <v>Search</v>
      </c>
      <c r="L1541" s="7"/>
      <c r="M1541" s="7"/>
    </row>
    <row r="1542" customFormat="false" ht="15" hidden="false" customHeight="true" outlineLevel="0" collapsed="false">
      <c r="A1542" s="4" t="s">
        <v>6269</v>
      </c>
      <c r="B1542" s="4" t="s">
        <v>6366</v>
      </c>
      <c r="C1542" s="4" t="s">
        <v>4653</v>
      </c>
      <c r="D1542" s="4" t="s">
        <v>6292</v>
      </c>
      <c r="E1542" s="5" t="n">
        <v>10819</v>
      </c>
      <c r="F1542" s="4" t="n">
        <v>1</v>
      </c>
      <c r="G1542" s="4" t="s">
        <v>6367</v>
      </c>
      <c r="H1542" s="4" t="n">
        <v>43.31814</v>
      </c>
      <c r="I1542" s="4" t="n">
        <v>-70.58277</v>
      </c>
      <c r="J1542" s="4" t="s">
        <v>6368</v>
      </c>
      <c r="K1542" s="6" t="str">
        <f aca="false">HYPERLINK("https://www.google.com/search?q=Wells+Public+Library+Wells+ME+library+website","Search")</f>
        <v>Search</v>
      </c>
      <c r="L1542" s="7"/>
      <c r="M1542" s="7"/>
    </row>
    <row r="1543" customFormat="false" ht="15" hidden="false" customHeight="true" outlineLevel="0" collapsed="false">
      <c r="A1543" s="4" t="s">
        <v>6269</v>
      </c>
      <c r="B1543" s="4" t="s">
        <v>6369</v>
      </c>
      <c r="C1543" s="4" t="s">
        <v>1797</v>
      </c>
      <c r="D1543" s="4" t="s">
        <v>6161</v>
      </c>
      <c r="E1543" s="5" t="n">
        <v>18915</v>
      </c>
      <c r="F1543" s="4" t="n">
        <v>1</v>
      </c>
      <c r="G1543" s="4" t="s">
        <v>6370</v>
      </c>
      <c r="H1543" s="4" t="n">
        <v>43.79096</v>
      </c>
      <c r="I1543" s="4" t="n">
        <v>-70.41144</v>
      </c>
      <c r="J1543" s="4" t="s">
        <v>6371</v>
      </c>
      <c r="K1543" s="6" t="str">
        <f aca="false">HYPERLINK("https://www.google.com/search?q=Windham+Public+Library+Windham+ME+library+website","Search")</f>
        <v>Search</v>
      </c>
      <c r="L1543" s="7"/>
      <c r="M1543" s="7"/>
    </row>
    <row r="1544" customFormat="false" ht="15" hidden="false" customHeight="true" outlineLevel="0" collapsed="false">
      <c r="A1544" s="4" t="s">
        <v>6269</v>
      </c>
      <c r="B1544" s="4" t="s">
        <v>6372</v>
      </c>
      <c r="C1544" s="4" t="s">
        <v>6292</v>
      </c>
      <c r="D1544" s="4" t="s">
        <v>6292</v>
      </c>
      <c r="E1544" s="5" t="n">
        <v>13329</v>
      </c>
      <c r="F1544" s="4" t="n">
        <v>1</v>
      </c>
      <c r="G1544" s="4" t="s">
        <v>6373</v>
      </c>
      <c r="H1544" s="4" t="n">
        <v>43.1446</v>
      </c>
      <c r="I1544" s="4" t="n">
        <v>-70.64939</v>
      </c>
      <c r="J1544" s="4" t="s">
        <v>6374</v>
      </c>
      <c r="K1544" s="6" t="str">
        <f aca="false">HYPERLINK("https://www.google.com/search?q=York+Public+Library+York+ME+library+website","Search")</f>
        <v>Search</v>
      </c>
      <c r="L1544" s="7"/>
      <c r="M1544" s="7"/>
    </row>
    <row r="1545" customFormat="false" ht="15" hidden="false" customHeight="true" outlineLevel="0" collapsed="false">
      <c r="A1545" s="4" t="s">
        <v>6375</v>
      </c>
      <c r="B1545" s="4" t="s">
        <v>6376</v>
      </c>
      <c r="C1545" s="4" t="s">
        <v>6377</v>
      </c>
      <c r="D1545" s="4" t="s">
        <v>6378</v>
      </c>
      <c r="E1545" s="5" t="n">
        <v>20645</v>
      </c>
      <c r="F1545" s="4" t="n">
        <v>1</v>
      </c>
      <c r="G1545" s="4" t="s">
        <v>6379</v>
      </c>
      <c r="H1545" s="4" t="n">
        <v>41.89855</v>
      </c>
      <c r="I1545" s="4" t="n">
        <v>-84.03542</v>
      </c>
      <c r="J1545" s="4" t="s">
        <v>6380</v>
      </c>
      <c r="K1545" s="6" t="str">
        <f aca="false">HYPERLINK("https://www.google.com/search?q=Adrian+District+Library+Adrian+MI+library+website","Search")</f>
        <v>Search</v>
      </c>
      <c r="L1545" s="7"/>
      <c r="M1545" s="7"/>
    </row>
    <row r="1546" customFormat="false" ht="15" hidden="false" customHeight="true" outlineLevel="0" collapsed="false">
      <c r="A1546" s="4" t="s">
        <v>6375</v>
      </c>
      <c r="B1546" s="4" t="s">
        <v>6381</v>
      </c>
      <c r="C1546" s="4" t="s">
        <v>6382</v>
      </c>
      <c r="D1546" s="4" t="s">
        <v>6383</v>
      </c>
      <c r="E1546" s="5" t="n">
        <v>11331</v>
      </c>
      <c r="F1546" s="4" t="n">
        <v>1</v>
      </c>
      <c r="G1546" s="4" t="s">
        <v>6384</v>
      </c>
      <c r="H1546" s="4" t="n">
        <v>45.44032</v>
      </c>
      <c r="I1546" s="4" t="n">
        <v>-84.78992</v>
      </c>
      <c r="J1546" s="4" t="s">
        <v>6385</v>
      </c>
      <c r="K1546" s="6" t="str">
        <f aca="false">HYPERLINK("https://www.google.com/search?q=Alanson+Area+Public+Library+Alanson+MI+library+website","Search")</f>
        <v>Search</v>
      </c>
      <c r="L1546" s="7"/>
      <c r="M1546" s="7"/>
    </row>
    <row r="1547" customFormat="false" ht="15" hidden="false" customHeight="true" outlineLevel="0" collapsed="false">
      <c r="A1547" s="4" t="s">
        <v>6375</v>
      </c>
      <c r="B1547" s="4" t="s">
        <v>6386</v>
      </c>
      <c r="C1547" s="4" t="s">
        <v>4530</v>
      </c>
      <c r="D1547" s="4" t="s">
        <v>73</v>
      </c>
      <c r="E1547" s="5" t="n">
        <v>10460</v>
      </c>
      <c r="F1547" s="4" t="n">
        <v>1</v>
      </c>
      <c r="G1547" s="4" t="s">
        <v>6387</v>
      </c>
      <c r="H1547" s="4" t="n">
        <v>42.24194</v>
      </c>
      <c r="I1547" s="4" t="n">
        <v>-84.75304</v>
      </c>
      <c r="J1547" s="4" t="s">
        <v>6388</v>
      </c>
      <c r="K1547" s="6" t="str">
        <f aca="false">HYPERLINK("https://www.google.com/search?q=Albion+District+Library+Albion+MI+library+website","Search")</f>
        <v>Search</v>
      </c>
      <c r="L1547" s="7"/>
      <c r="M1547" s="7"/>
    </row>
    <row r="1548" customFormat="false" ht="15" hidden="false" customHeight="true" outlineLevel="0" collapsed="false">
      <c r="A1548" s="4" t="s">
        <v>6375</v>
      </c>
      <c r="B1548" s="4" t="s">
        <v>6389</v>
      </c>
      <c r="C1548" s="4" t="s">
        <v>6390</v>
      </c>
      <c r="D1548" s="4" t="s">
        <v>6390</v>
      </c>
      <c r="E1548" s="5" t="n">
        <v>18279</v>
      </c>
      <c r="F1548" s="4" t="n">
        <v>1</v>
      </c>
      <c r="G1548" s="4" t="s">
        <v>6391</v>
      </c>
      <c r="H1548" s="4" t="n">
        <v>42.52778</v>
      </c>
      <c r="I1548" s="4" t="n">
        <v>-85.85235</v>
      </c>
      <c r="J1548" s="4" t="s">
        <v>6392</v>
      </c>
      <c r="K1548" s="6" t="str">
        <f aca="false">HYPERLINK("https://www.google.com/search?q=Allegan+District+Library+Allegan+MI+library+website","Search")</f>
        <v>Search</v>
      </c>
      <c r="L1548" s="7"/>
      <c r="M1548" s="7"/>
    </row>
    <row r="1549" customFormat="false" ht="15" hidden="false" customHeight="true" outlineLevel="0" collapsed="false">
      <c r="A1549" s="4" t="s">
        <v>6375</v>
      </c>
      <c r="B1549" s="4" t="s">
        <v>6393</v>
      </c>
      <c r="C1549" s="4" t="s">
        <v>6394</v>
      </c>
      <c r="D1549" s="4" t="s">
        <v>2849</v>
      </c>
      <c r="E1549" s="5" t="n">
        <v>28638</v>
      </c>
      <c r="F1549" s="4" t="n">
        <v>1</v>
      </c>
      <c r="G1549" s="4" t="s">
        <v>6395</v>
      </c>
      <c r="H1549" s="4" t="n">
        <v>42.24948</v>
      </c>
      <c r="I1549" s="4" t="n">
        <v>-83.21806</v>
      </c>
      <c r="J1549" s="4" t="s">
        <v>6396</v>
      </c>
      <c r="K1549" s="6" t="str">
        <f aca="false">HYPERLINK("https://www.google.com/search?q=Allen+Park+Public+Library+Allen+Park+MI+library+website","Search")</f>
        <v>Search</v>
      </c>
      <c r="L1549" s="7"/>
      <c r="M1549" s="7"/>
    </row>
    <row r="1550" customFormat="false" ht="15" hidden="false" customHeight="true" outlineLevel="0" collapsed="false">
      <c r="A1550" s="4" t="s">
        <v>6375</v>
      </c>
      <c r="B1550" s="4" t="s">
        <v>6397</v>
      </c>
      <c r="C1550" s="4" t="s">
        <v>6398</v>
      </c>
      <c r="D1550" s="4" t="s">
        <v>4001</v>
      </c>
      <c r="E1550" s="5" t="n">
        <v>35384</v>
      </c>
      <c r="F1550" s="4" t="n">
        <v>1</v>
      </c>
      <c r="G1550" s="4" t="s">
        <v>6399</v>
      </c>
      <c r="H1550" s="4" t="n">
        <v>42.97374</v>
      </c>
      <c r="I1550" s="4" t="n">
        <v>-85.93832</v>
      </c>
      <c r="J1550" s="4" t="s">
        <v>6400</v>
      </c>
      <c r="K1550" s="6" t="str">
        <f aca="false">HYPERLINK("https://www.google.com/search?q=Allendale+Township+Library+Allendale+MI+library+website","Search")</f>
        <v>Search</v>
      </c>
      <c r="L1550" s="7"/>
      <c r="M1550" s="7"/>
    </row>
    <row r="1551" customFormat="false" ht="15" hidden="false" customHeight="true" outlineLevel="0" collapsed="false">
      <c r="A1551" s="4" t="s">
        <v>6375</v>
      </c>
      <c r="B1551" s="4" t="s">
        <v>6401</v>
      </c>
      <c r="C1551" s="4" t="s">
        <v>6402</v>
      </c>
      <c r="D1551" s="4" t="s">
        <v>6403</v>
      </c>
      <c r="E1551" s="5" t="n">
        <v>12022</v>
      </c>
      <c r="F1551" s="4" t="n">
        <v>1</v>
      </c>
      <c r="G1551" s="4" t="s">
        <v>6404</v>
      </c>
      <c r="H1551" s="4" t="n">
        <v>43.37891</v>
      </c>
      <c r="I1551" s="4" t="n">
        <v>-84.6548</v>
      </c>
      <c r="J1551" s="4" t="s">
        <v>6405</v>
      </c>
      <c r="K1551" s="6" t="str">
        <f aca="false">HYPERLINK("https://www.google.com/search?q=Alma+Public+Library+Alma+MI+library+website","Search")</f>
        <v>Search</v>
      </c>
      <c r="L1551" s="7"/>
      <c r="M1551" s="7"/>
    </row>
    <row r="1552" customFormat="false" ht="15" hidden="false" customHeight="true" outlineLevel="0" collapsed="false">
      <c r="A1552" s="4" t="s">
        <v>6375</v>
      </c>
      <c r="B1552" s="4" t="s">
        <v>6406</v>
      </c>
      <c r="C1552" s="4" t="s">
        <v>6407</v>
      </c>
      <c r="D1552" s="4" t="s">
        <v>6407</v>
      </c>
      <c r="E1552" s="5" t="n">
        <v>28907</v>
      </c>
      <c r="F1552" s="4" t="n">
        <v>1</v>
      </c>
      <c r="G1552" s="4" t="s">
        <v>6408</v>
      </c>
      <c r="H1552" s="4" t="n">
        <v>45.06209</v>
      </c>
      <c r="I1552" s="4" t="n">
        <v>-83.43096</v>
      </c>
      <c r="J1552" s="4" t="s">
        <v>6409</v>
      </c>
      <c r="K1552" s="6" t="str">
        <f aca="false">HYPERLINK("https://www.google.com/search?q=Alpena+County+Library+Alpena+MI+library+website","Search")</f>
        <v>Search</v>
      </c>
      <c r="L1552" s="7"/>
      <c r="M1552" s="7"/>
    </row>
    <row r="1553" customFormat="false" ht="15" hidden="false" customHeight="true" outlineLevel="0" collapsed="false">
      <c r="A1553" s="4" t="s">
        <v>6375</v>
      </c>
      <c r="B1553" s="4" t="s">
        <v>6410</v>
      </c>
      <c r="C1553" s="4" t="s">
        <v>6411</v>
      </c>
      <c r="D1553" s="4" t="s">
        <v>6412</v>
      </c>
      <c r="E1553" s="5" t="n">
        <v>11087</v>
      </c>
      <c r="F1553" s="4" t="n">
        <v>1</v>
      </c>
      <c r="G1553" s="4" t="s">
        <v>6413</v>
      </c>
      <c r="H1553" s="4" t="n">
        <v>43.09785</v>
      </c>
      <c r="I1553" s="4" t="n">
        <v>-85.22628</v>
      </c>
      <c r="J1553" s="4" t="s">
        <v>6414</v>
      </c>
      <c r="K1553" s="6" t="str">
        <f aca="false">HYPERLINK("https://www.google.com/search?q=Alvah+N.+Belding+Memorial+Library+Belding+MI+library+website","Search")</f>
        <v>Search</v>
      </c>
      <c r="L1553" s="7"/>
      <c r="M1553" s="7"/>
    </row>
    <row r="1554" customFormat="false" ht="15" hidden="false" customHeight="true" outlineLevel="0" collapsed="false">
      <c r="A1554" s="4" t="s">
        <v>6375</v>
      </c>
      <c r="B1554" s="4" t="s">
        <v>6415</v>
      </c>
      <c r="C1554" s="4" t="s">
        <v>6416</v>
      </c>
      <c r="D1554" s="4" t="s">
        <v>6417</v>
      </c>
      <c r="E1554" s="5" t="n">
        <v>177696</v>
      </c>
      <c r="F1554" s="4" t="n">
        <v>5</v>
      </c>
      <c r="G1554" s="4" t="s">
        <v>6418</v>
      </c>
      <c r="H1554" s="4" t="n">
        <v>42.27827</v>
      </c>
      <c r="I1554" s="4" t="n">
        <v>-83.74621</v>
      </c>
      <c r="J1554" s="4" t="s">
        <v>6419</v>
      </c>
      <c r="K1554" s="6" t="str">
        <f aca="false">HYPERLINK("https://www.google.com/search?q=Ann+Arbor+District+Library+Ann+Arbor+MI+library+website","Search")</f>
        <v>Search</v>
      </c>
      <c r="L1554" s="7"/>
      <c r="M1554" s="7"/>
    </row>
    <row r="1555" customFormat="false" ht="15" hidden="false" customHeight="true" outlineLevel="0" collapsed="false">
      <c r="A1555" s="4" t="s">
        <v>6375</v>
      </c>
      <c r="B1555" s="4" t="s">
        <v>6420</v>
      </c>
      <c r="C1555" s="4" t="s">
        <v>6421</v>
      </c>
      <c r="D1555" s="4" t="s">
        <v>1246</v>
      </c>
      <c r="E1555" s="5" t="n">
        <v>24360</v>
      </c>
      <c r="F1555" s="4" t="n">
        <v>1</v>
      </c>
      <c r="G1555" s="4" t="s">
        <v>6422</v>
      </c>
      <c r="H1555" s="4" t="n">
        <v>42.67095</v>
      </c>
      <c r="I1555" s="4" t="n">
        <v>-83.22234</v>
      </c>
      <c r="J1555" s="4" t="s">
        <v>6423</v>
      </c>
      <c r="K1555" s="6" t="str">
        <f aca="false">HYPERLINK("https://www.google.com/search?q=Auburn+Hills+Public+Library+Auburn+Hills+MI+library+website","Search")</f>
        <v>Search</v>
      </c>
      <c r="L1555" s="7"/>
      <c r="M1555" s="7"/>
    </row>
    <row r="1556" customFormat="false" ht="15" hidden="false" customHeight="true" outlineLevel="0" collapsed="false">
      <c r="A1556" s="4" t="s">
        <v>6375</v>
      </c>
      <c r="B1556" s="4" t="s">
        <v>6424</v>
      </c>
      <c r="C1556" s="4" t="s">
        <v>4745</v>
      </c>
      <c r="D1556" s="4" t="s">
        <v>2849</v>
      </c>
      <c r="E1556" s="5" t="n">
        <v>25058</v>
      </c>
      <c r="F1556" s="4" t="n">
        <v>1</v>
      </c>
      <c r="G1556" s="4" t="s">
        <v>6425</v>
      </c>
      <c r="H1556" s="4" t="n">
        <v>42.20764</v>
      </c>
      <c r="I1556" s="4" t="n">
        <v>-83.14773</v>
      </c>
      <c r="J1556" s="4" t="s">
        <v>6426</v>
      </c>
      <c r="K1556" s="6" t="str">
        <f aca="false">HYPERLINK("https://www.google.com/search?q=Bacon+Memorial+District+Library+Wyandotte+MI+library+website","Search")</f>
        <v>Search</v>
      </c>
      <c r="L1556" s="7"/>
      <c r="M1556" s="7"/>
    </row>
    <row r="1557" customFormat="false" ht="15" hidden="false" customHeight="true" outlineLevel="0" collapsed="false">
      <c r="A1557" s="4" t="s">
        <v>6375</v>
      </c>
      <c r="B1557" s="4" t="s">
        <v>6427</v>
      </c>
      <c r="C1557" s="4" t="s">
        <v>102</v>
      </c>
      <c r="D1557" s="4" t="s">
        <v>1246</v>
      </c>
      <c r="E1557" s="5" t="n">
        <v>37981</v>
      </c>
      <c r="F1557" s="4" t="n">
        <v>1</v>
      </c>
      <c r="G1557" s="4" t="s">
        <v>6428</v>
      </c>
      <c r="H1557" s="4" t="n">
        <v>42.54517</v>
      </c>
      <c r="I1557" s="4" t="n">
        <v>-83.21772</v>
      </c>
      <c r="J1557" s="4" t="s">
        <v>6429</v>
      </c>
      <c r="K1557" s="6" t="str">
        <f aca="false">HYPERLINK("https://www.google.com/search?q=Baldwin+Public+Library+Birmingham+MI+library+website","Search")</f>
        <v>Search</v>
      </c>
      <c r="L1557" s="7"/>
      <c r="M1557" s="7"/>
    </row>
    <row r="1558" customFormat="false" ht="15" hidden="false" customHeight="true" outlineLevel="0" collapsed="false">
      <c r="A1558" s="4" t="s">
        <v>6375</v>
      </c>
      <c r="B1558" s="4" t="s">
        <v>6430</v>
      </c>
      <c r="C1558" s="4" t="s">
        <v>4823</v>
      </c>
      <c r="D1558" s="4" t="s">
        <v>1964</v>
      </c>
      <c r="E1558" s="5" t="n">
        <v>13292</v>
      </c>
      <c r="F1558" s="4" t="n">
        <v>1</v>
      </c>
      <c r="G1558" s="4" t="s">
        <v>6431</v>
      </c>
      <c r="H1558" s="4" t="n">
        <v>42.81242</v>
      </c>
      <c r="I1558" s="4" t="n">
        <v>-84.44829</v>
      </c>
      <c r="J1558" s="4" t="s">
        <v>6432</v>
      </c>
      <c r="K1558" s="6" t="str">
        <f aca="false">HYPERLINK("https://www.google.com/search?q=Bath+Township+Public+Library+Bath+MI+library+website","Search")</f>
        <v>Search</v>
      </c>
      <c r="L1558" s="7"/>
      <c r="M1558" s="7"/>
    </row>
    <row r="1559" customFormat="false" ht="15" hidden="false" customHeight="true" outlineLevel="0" collapsed="false">
      <c r="A1559" s="4" t="s">
        <v>6375</v>
      </c>
      <c r="B1559" s="4" t="s">
        <v>6433</v>
      </c>
      <c r="C1559" s="4" t="s">
        <v>6434</v>
      </c>
      <c r="D1559" s="4" t="s">
        <v>2477</v>
      </c>
      <c r="E1559" s="5" t="n">
        <v>103758</v>
      </c>
      <c r="F1559" s="4" t="n">
        <v>4</v>
      </c>
      <c r="G1559" s="4" t="s">
        <v>6435</v>
      </c>
      <c r="H1559" s="4" t="n">
        <v>43.59783</v>
      </c>
      <c r="I1559" s="4" t="n">
        <v>-83.88564</v>
      </c>
      <c r="J1559" s="4" t="s">
        <v>6436</v>
      </c>
      <c r="K1559" s="6" t="str">
        <f aca="false">HYPERLINK("https://www.google.com/search?q=Bay+County+Library+System+Bay+City+MI+library+website","Search")</f>
        <v>Search</v>
      </c>
      <c r="L1559" s="7"/>
      <c r="M1559" s="8" t="str">
        <f aca="false">HYPERLINK("https://baycountylibrary.overdrive.com","https://baycountylibrary.overdrive.com")</f>
        <v>https://baycountylibrary.overdrive.com</v>
      </c>
    </row>
    <row r="1560" customFormat="false" ht="15" hidden="false" customHeight="true" outlineLevel="0" collapsed="false">
      <c r="A1560" s="4" t="s">
        <v>6375</v>
      </c>
      <c r="B1560" s="4" t="s">
        <v>6437</v>
      </c>
      <c r="C1560" s="4" t="s">
        <v>3343</v>
      </c>
      <c r="D1560" s="4" t="s">
        <v>2849</v>
      </c>
      <c r="E1560" s="5" t="n">
        <v>44043</v>
      </c>
      <c r="F1560" s="4" t="n">
        <v>2</v>
      </c>
      <c r="G1560" s="4" t="s">
        <v>6438</v>
      </c>
      <c r="H1560" s="4" t="n">
        <v>42.20766</v>
      </c>
      <c r="I1560" s="4" t="n">
        <v>-83.49133</v>
      </c>
      <c r="J1560" s="4" t="s">
        <v>6439</v>
      </c>
      <c r="K1560" s="6" t="str">
        <f aca="false">HYPERLINK("https://www.google.com/search?q=Belleville+Area+District+Library+Belleville+MI+library+website","Search")</f>
        <v>Search</v>
      </c>
      <c r="L1560" s="7"/>
      <c r="M1560" s="7"/>
    </row>
    <row r="1561" customFormat="false" ht="15" hidden="false" customHeight="true" outlineLevel="0" collapsed="false">
      <c r="A1561" s="4" t="s">
        <v>6375</v>
      </c>
      <c r="B1561" s="4" t="s">
        <v>6440</v>
      </c>
      <c r="C1561" s="4" t="s">
        <v>6441</v>
      </c>
      <c r="D1561" s="4" t="s">
        <v>6442</v>
      </c>
      <c r="E1561" s="5" t="n">
        <v>23477</v>
      </c>
      <c r="F1561" s="4" t="n">
        <v>1</v>
      </c>
      <c r="G1561" s="4" t="s">
        <v>6443</v>
      </c>
      <c r="H1561" s="4" t="n">
        <v>42.1156</v>
      </c>
      <c r="I1561" s="4" t="n">
        <v>-86.45314</v>
      </c>
      <c r="J1561" s="4" t="s">
        <v>6444</v>
      </c>
      <c r="K1561" s="6" t="str">
        <f aca="false">HYPERLINK("https://www.google.com/search?q=Benton+Harbor+Public+Library+Benton+Harbor+MI+library+website","Search")</f>
        <v>Search</v>
      </c>
      <c r="L1561" s="7"/>
      <c r="M1561" s="7"/>
    </row>
    <row r="1562" customFormat="false" ht="15" hidden="false" customHeight="true" outlineLevel="0" collapsed="false">
      <c r="A1562" s="4" t="s">
        <v>6375</v>
      </c>
      <c r="B1562" s="4" t="s">
        <v>6445</v>
      </c>
      <c r="C1562" s="4" t="s">
        <v>6446</v>
      </c>
      <c r="D1562" s="4" t="s">
        <v>1246</v>
      </c>
      <c r="E1562" s="5" t="n">
        <v>15194</v>
      </c>
      <c r="F1562" s="4" t="n">
        <v>1</v>
      </c>
      <c r="G1562" s="4" t="s">
        <v>6447</v>
      </c>
      <c r="H1562" s="4" t="n">
        <v>42.50104</v>
      </c>
      <c r="I1562" s="4" t="n">
        <v>-83.18386</v>
      </c>
      <c r="J1562" s="4" t="s">
        <v>6448</v>
      </c>
      <c r="K1562" s="6" t="str">
        <f aca="false">HYPERLINK("https://www.google.com/search?q=Berkley+Public+Library+Berkley+MI+library+website","Search")</f>
        <v>Search</v>
      </c>
      <c r="L1562" s="7"/>
      <c r="M1562" s="7"/>
    </row>
    <row r="1563" customFormat="false" ht="15" hidden="false" customHeight="true" outlineLevel="0" collapsed="false">
      <c r="A1563" s="4" t="s">
        <v>6375</v>
      </c>
      <c r="B1563" s="4" t="s">
        <v>6449</v>
      </c>
      <c r="C1563" s="4" t="s">
        <v>6450</v>
      </c>
      <c r="D1563" s="4" t="s">
        <v>6451</v>
      </c>
      <c r="E1563" s="5" t="n">
        <v>16795</v>
      </c>
      <c r="F1563" s="4" t="n">
        <v>1</v>
      </c>
      <c r="G1563" s="4" t="s">
        <v>6452</v>
      </c>
      <c r="H1563" s="4" t="n">
        <v>43.69344</v>
      </c>
      <c r="I1563" s="4" t="n">
        <v>-85.48192</v>
      </c>
      <c r="J1563" s="4" t="s">
        <v>6453</v>
      </c>
      <c r="K1563" s="6" t="str">
        <f aca="false">HYPERLINK("https://www.google.com/search?q=Big+Rapids+Community+Library+Big+Rapids+MI+library+website","Search")</f>
        <v>Search</v>
      </c>
      <c r="L1563" s="7"/>
      <c r="M1563" s="7"/>
    </row>
    <row r="1564" customFormat="false" ht="15" hidden="false" customHeight="true" outlineLevel="0" collapsed="false">
      <c r="A1564" s="4" t="s">
        <v>6375</v>
      </c>
      <c r="B1564" s="4" t="s">
        <v>6454</v>
      </c>
      <c r="C1564" s="4" t="s">
        <v>6455</v>
      </c>
      <c r="D1564" s="4" t="s">
        <v>1246</v>
      </c>
      <c r="E1564" s="5" t="n">
        <v>11389</v>
      </c>
      <c r="F1564" s="4" t="n">
        <v>1</v>
      </c>
      <c r="G1564" s="4" t="s">
        <v>6456</v>
      </c>
      <c r="H1564" s="4" t="n">
        <v>42.5368</v>
      </c>
      <c r="I1564" s="4" t="n">
        <v>-83.14646</v>
      </c>
      <c r="J1564" s="4" t="s">
        <v>6457</v>
      </c>
      <c r="K1564" s="6" t="str">
        <f aca="false">HYPERLINK("https://www.google.com/search?q=Blair+Memorial+Library+Clawson+MI+library+website","Search")</f>
        <v>Search</v>
      </c>
      <c r="L1564" s="7"/>
      <c r="M1564" s="7"/>
    </row>
    <row r="1565" customFormat="false" ht="15" hidden="false" customHeight="true" outlineLevel="0" collapsed="false">
      <c r="A1565" s="4" t="s">
        <v>6375</v>
      </c>
      <c r="B1565" s="4" t="s">
        <v>6458</v>
      </c>
      <c r="C1565" s="4" t="s">
        <v>6459</v>
      </c>
      <c r="D1565" s="4" t="s">
        <v>1246</v>
      </c>
      <c r="E1565" s="5" t="n">
        <v>44253</v>
      </c>
      <c r="F1565" s="4" t="n">
        <v>1</v>
      </c>
      <c r="G1565" s="4" t="s">
        <v>6460</v>
      </c>
      <c r="H1565" s="4" t="n">
        <v>42.56671</v>
      </c>
      <c r="I1565" s="4" t="n">
        <v>-83.28165</v>
      </c>
      <c r="J1565" s="4" t="s">
        <v>6461</v>
      </c>
      <c r="K1565" s="6" t="str">
        <f aca="false">HYPERLINK("https://www.google.com/search?q=Bloomfield+Township+Public+Library+Bloomfield+Township+MI+library+website","Search")</f>
        <v>Search</v>
      </c>
      <c r="L1565" s="7"/>
      <c r="M1565" s="7"/>
    </row>
    <row r="1566" customFormat="false" ht="15" hidden="false" customHeight="true" outlineLevel="0" collapsed="false">
      <c r="A1566" s="4" t="s">
        <v>6375</v>
      </c>
      <c r="B1566" s="4" t="s">
        <v>6462</v>
      </c>
      <c r="C1566" s="4" t="s">
        <v>6463</v>
      </c>
      <c r="D1566" s="4" t="s">
        <v>6464</v>
      </c>
      <c r="E1566" s="5" t="n">
        <v>46464</v>
      </c>
      <c r="F1566" s="4" t="n">
        <v>6</v>
      </c>
      <c r="G1566" s="4" t="s">
        <v>6465</v>
      </c>
      <c r="H1566" s="4" t="n">
        <v>41.94052</v>
      </c>
      <c r="I1566" s="4" t="n">
        <v>-85.00016</v>
      </c>
      <c r="J1566" s="4" t="s">
        <v>6466</v>
      </c>
      <c r="K1566" s="6" t="str">
        <f aca="false">HYPERLINK("https://www.google.com/search?q=Branch+District+Library+Coldwater+MI+library+website","Search")</f>
        <v>Search</v>
      </c>
      <c r="L1566" s="7"/>
      <c r="M1566" s="7"/>
    </row>
    <row r="1567" customFormat="false" ht="15" hidden="false" customHeight="true" outlineLevel="0" collapsed="false">
      <c r="A1567" s="4" t="s">
        <v>6375</v>
      </c>
      <c r="B1567" s="4" t="s">
        <v>6467</v>
      </c>
      <c r="C1567" s="4" t="s">
        <v>6468</v>
      </c>
      <c r="D1567" s="4" t="s">
        <v>1246</v>
      </c>
      <c r="E1567" s="5" t="n">
        <v>15384</v>
      </c>
      <c r="F1567" s="4" t="n">
        <v>1</v>
      </c>
      <c r="G1567" s="4" t="s">
        <v>6469</v>
      </c>
      <c r="H1567" s="4" t="n">
        <v>42.84784</v>
      </c>
      <c r="I1567" s="4" t="n">
        <v>-83.44807</v>
      </c>
      <c r="J1567" s="4" t="s">
        <v>6470</v>
      </c>
      <c r="K1567" s="6" t="str">
        <f aca="false">HYPERLINK("https://www.google.com/search?q=Brandon+Township+Public+Library+Ortonville+MI+library+website","Search")</f>
        <v>Search</v>
      </c>
      <c r="L1567" s="7"/>
      <c r="M1567" s="7"/>
    </row>
    <row r="1568" customFormat="false" ht="15" hidden="false" customHeight="true" outlineLevel="0" collapsed="false">
      <c r="A1568" s="4" t="s">
        <v>6375</v>
      </c>
      <c r="B1568" s="4" t="s">
        <v>1840</v>
      </c>
      <c r="C1568" s="4" t="s">
        <v>6471</v>
      </c>
      <c r="D1568" s="4" t="s">
        <v>6471</v>
      </c>
      <c r="E1568" s="5" t="n">
        <v>12079</v>
      </c>
      <c r="F1568" s="4" t="n">
        <v>1</v>
      </c>
      <c r="G1568" s="4" t="s">
        <v>6472</v>
      </c>
      <c r="H1568" s="4" t="n">
        <v>43.37299</v>
      </c>
      <c r="I1568" s="4" t="n">
        <v>-83.90663</v>
      </c>
      <c r="J1568" s="4" t="s">
        <v>6473</v>
      </c>
      <c r="K1568" s="6" t="str">
        <f aca="false">HYPERLINK("https://www.google.com/search?q=Bridgeport+Public+Library+Saginaw+MI+library+website","Search")</f>
        <v>Search</v>
      </c>
      <c r="L1568" s="7"/>
      <c r="M1568" s="7"/>
    </row>
    <row r="1569" customFormat="false" ht="15" hidden="false" customHeight="true" outlineLevel="0" collapsed="false">
      <c r="A1569" s="4" t="s">
        <v>6375</v>
      </c>
      <c r="B1569" s="4" t="s">
        <v>6474</v>
      </c>
      <c r="C1569" s="4" t="s">
        <v>6475</v>
      </c>
      <c r="D1569" s="4" t="s">
        <v>1964</v>
      </c>
      <c r="E1569" s="5" t="n">
        <v>19114</v>
      </c>
      <c r="F1569" s="4" t="n">
        <v>1</v>
      </c>
      <c r="G1569" s="4" t="s">
        <v>6476</v>
      </c>
      <c r="H1569" s="4" t="n">
        <v>43.00441</v>
      </c>
      <c r="I1569" s="4" t="n">
        <v>-84.55748</v>
      </c>
      <c r="J1569" s="4" t="s">
        <v>6477</v>
      </c>
      <c r="K1569" s="6" t="str">
        <f aca="false">HYPERLINK("https://www.google.com/search?q=Briggs+District+Library+Saint+Johns+MI+library+website","Search")</f>
        <v>Search</v>
      </c>
      <c r="L1569" s="7"/>
      <c r="M1569" s="7"/>
    </row>
    <row r="1570" customFormat="false" ht="15" hidden="false" customHeight="true" outlineLevel="0" collapsed="false">
      <c r="A1570" s="4" t="s">
        <v>6375</v>
      </c>
      <c r="B1570" s="4" t="s">
        <v>6478</v>
      </c>
      <c r="C1570" s="4" t="s">
        <v>6479</v>
      </c>
      <c r="D1570" s="4" t="s">
        <v>3979</v>
      </c>
      <c r="E1570" s="5" t="n">
        <v>45844</v>
      </c>
      <c r="F1570" s="4" t="n">
        <v>1</v>
      </c>
      <c r="G1570" s="4" t="s">
        <v>6480</v>
      </c>
      <c r="H1570" s="4" t="n">
        <v>42.541</v>
      </c>
      <c r="I1570" s="4" t="n">
        <v>-83.79039</v>
      </c>
      <c r="J1570" s="4" t="s">
        <v>6481</v>
      </c>
      <c r="K1570" s="6" t="str">
        <f aca="false">HYPERLINK("https://www.google.com/search?q=Brighton+District+Library+Brighton+MI+library+website","Search")</f>
        <v>Search</v>
      </c>
      <c r="L1570" s="7"/>
      <c r="M1570" s="7"/>
    </row>
    <row r="1571" customFormat="false" ht="15" hidden="false" customHeight="true" outlineLevel="0" collapsed="false">
      <c r="A1571" s="4" t="s">
        <v>6375</v>
      </c>
      <c r="B1571" s="4" t="s">
        <v>6482</v>
      </c>
      <c r="C1571" s="4" t="s">
        <v>3007</v>
      </c>
      <c r="D1571" s="4" t="s">
        <v>6442</v>
      </c>
      <c r="E1571" s="5" t="n">
        <v>10797</v>
      </c>
      <c r="F1571" s="4" t="n">
        <v>1</v>
      </c>
      <c r="G1571" s="4" t="s">
        <v>6483</v>
      </c>
      <c r="H1571" s="4" t="n">
        <v>41.82734</v>
      </c>
      <c r="I1571" s="4" t="n">
        <v>-86.35988</v>
      </c>
      <c r="J1571" s="4" t="s">
        <v>6484</v>
      </c>
      <c r="K1571" s="6" t="str">
        <f aca="false">HYPERLINK("https://www.google.com/search?q=Buchanan+District+Library+Buchanan+MI+library+website","Search")</f>
        <v>Search</v>
      </c>
      <c r="L1571" s="7"/>
      <c r="M1571" s="7"/>
    </row>
    <row r="1572" customFormat="false" ht="15" hidden="false" customHeight="true" outlineLevel="0" collapsed="false">
      <c r="A1572" s="4" t="s">
        <v>6375</v>
      </c>
      <c r="B1572" s="4" t="s">
        <v>6485</v>
      </c>
      <c r="C1572" s="4" t="s">
        <v>6486</v>
      </c>
      <c r="D1572" s="4" t="s">
        <v>6487</v>
      </c>
      <c r="E1572" s="5" t="n">
        <v>36060</v>
      </c>
      <c r="F1572" s="4" t="n">
        <v>5</v>
      </c>
      <c r="G1572" s="4" t="s">
        <v>6488</v>
      </c>
      <c r="H1572" s="4" t="n">
        <v>44.24697</v>
      </c>
      <c r="I1572" s="4" t="n">
        <v>-85.39977</v>
      </c>
      <c r="J1572" s="4" t="s">
        <v>6489</v>
      </c>
      <c r="K1572" s="6" t="str">
        <f aca="false">HYPERLINK("https://www.google.com/search?q=Cadillac+Wexford+Public+Library+Cadillac+MI+library+website","Search")</f>
        <v>Search</v>
      </c>
      <c r="L1572" s="7"/>
      <c r="M1572" s="7"/>
    </row>
    <row r="1573" customFormat="false" ht="15" hidden="false" customHeight="true" outlineLevel="0" collapsed="false">
      <c r="A1573" s="4" t="s">
        <v>6375</v>
      </c>
      <c r="B1573" s="4" t="s">
        <v>1852</v>
      </c>
      <c r="C1573" s="4" t="s">
        <v>1853</v>
      </c>
      <c r="D1573" s="4" t="s">
        <v>2849</v>
      </c>
      <c r="E1573" s="5" t="n">
        <v>98659</v>
      </c>
      <c r="F1573" s="4" t="n">
        <v>1</v>
      </c>
      <c r="G1573" s="4" t="s">
        <v>6490</v>
      </c>
      <c r="H1573" s="4" t="n">
        <v>42.29687</v>
      </c>
      <c r="I1573" s="4" t="n">
        <v>-83.4867</v>
      </c>
      <c r="J1573" s="4" t="s">
        <v>6491</v>
      </c>
      <c r="K1573" s="6" t="str">
        <f aca="false">HYPERLINK("https://www.google.com/search?q=Canton+Public+Library+Canton+MI+library+website","Search")</f>
        <v>Search</v>
      </c>
      <c r="L1573" s="7"/>
      <c r="M1573" s="7"/>
    </row>
    <row r="1574" customFormat="false" ht="15" hidden="false" customHeight="true" outlineLevel="0" collapsed="false">
      <c r="A1574" s="4" t="s">
        <v>6375</v>
      </c>
      <c r="B1574" s="4" t="s">
        <v>6492</v>
      </c>
      <c r="C1574" s="4" t="s">
        <v>3759</v>
      </c>
      <c r="D1574" s="4" t="s">
        <v>6493</v>
      </c>
      <c r="E1574" s="5" t="n">
        <v>244451</v>
      </c>
      <c r="F1574" s="4" t="n">
        <v>13</v>
      </c>
      <c r="G1574" s="4" t="s">
        <v>6494</v>
      </c>
      <c r="H1574" s="4" t="n">
        <v>42.72992</v>
      </c>
      <c r="I1574" s="4" t="n">
        <v>-84.55386</v>
      </c>
      <c r="J1574" s="4" t="s">
        <v>6495</v>
      </c>
      <c r="K1574" s="6" t="str">
        <f aca="false">HYPERLINK("https://www.google.com/search?q=Capital+Area+District+Library+Lansing+MI+library+website","Search")</f>
        <v>Search</v>
      </c>
      <c r="L1574" s="7"/>
      <c r="M1574" s="8" t="str">
        <f aca="false">HYPERLINK("https://capitalarealibrary.overdrive.com","https://capitalarealibrary.overdrive.com")</f>
        <v>https://capitalarealibrary.overdrive.com</v>
      </c>
    </row>
    <row r="1575" customFormat="false" ht="15" hidden="false" customHeight="true" outlineLevel="0" collapsed="false">
      <c r="A1575" s="4" t="s">
        <v>6375</v>
      </c>
      <c r="B1575" s="4" t="s">
        <v>6496</v>
      </c>
      <c r="C1575" s="4" t="s">
        <v>6497</v>
      </c>
      <c r="D1575" s="4" t="s">
        <v>6498</v>
      </c>
      <c r="E1575" s="5" t="n">
        <v>11411</v>
      </c>
      <c r="F1575" s="4" t="n">
        <v>1</v>
      </c>
      <c r="G1575" s="4" t="s">
        <v>6499</v>
      </c>
      <c r="H1575" s="4" t="n">
        <v>43.48872</v>
      </c>
      <c r="I1575" s="4" t="n">
        <v>-83.40532</v>
      </c>
      <c r="J1575" s="4" t="s">
        <v>6500</v>
      </c>
      <c r="K1575" s="6" t="str">
        <f aca="false">HYPERLINK("https://www.google.com/search?q=Caro+Area+District+Library+Caro+MI+library+website","Search")</f>
        <v>Search</v>
      </c>
      <c r="L1575" s="7"/>
      <c r="M1575" s="7"/>
    </row>
    <row r="1576" customFormat="false" ht="15" hidden="false" customHeight="true" outlineLevel="0" collapsed="false">
      <c r="A1576" s="4" t="s">
        <v>6375</v>
      </c>
      <c r="B1576" s="4" t="s">
        <v>6501</v>
      </c>
      <c r="C1576" s="4" t="s">
        <v>6502</v>
      </c>
      <c r="D1576" s="4" t="s">
        <v>6503</v>
      </c>
      <c r="E1576" s="5" t="n">
        <v>13145</v>
      </c>
      <c r="F1576" s="4" t="n">
        <v>2</v>
      </c>
      <c r="G1576" s="4" t="s">
        <v>6504</v>
      </c>
      <c r="H1576" s="4" t="n">
        <v>43.17704</v>
      </c>
      <c r="I1576" s="4" t="n">
        <v>-84.84661</v>
      </c>
      <c r="J1576" s="4" t="s">
        <v>6505</v>
      </c>
      <c r="K1576" s="6" t="str">
        <f aca="false">HYPERLINK("https://www.google.com/search?q=Carson+City+Public+Library+Carson+City+MI+library+website","Search")</f>
        <v>Search</v>
      </c>
      <c r="L1576" s="7"/>
      <c r="M1576" s="7"/>
    </row>
    <row r="1577" customFormat="false" ht="15" hidden="false" customHeight="true" outlineLevel="0" collapsed="false">
      <c r="A1577" s="4" t="s">
        <v>6375</v>
      </c>
      <c r="B1577" s="4" t="s">
        <v>6506</v>
      </c>
      <c r="C1577" s="4" t="s">
        <v>6507</v>
      </c>
      <c r="D1577" s="4" t="s">
        <v>4467</v>
      </c>
      <c r="E1577" s="5" t="n">
        <v>37840</v>
      </c>
      <c r="F1577" s="4" t="n">
        <v>5</v>
      </c>
      <c r="G1577" s="4" t="s">
        <v>6508</v>
      </c>
      <c r="H1577" s="4" t="n">
        <v>41.91307</v>
      </c>
      <c r="I1577" s="4" t="n">
        <v>-86.01255</v>
      </c>
      <c r="J1577" s="4" t="s">
        <v>6509</v>
      </c>
      <c r="K1577" s="6" t="str">
        <f aca="false">HYPERLINK("https://www.google.com/search?q=Cass+District+Library+Cassopolis+MI+library+website","Search")</f>
        <v>Search</v>
      </c>
      <c r="L1577" s="7"/>
      <c r="M1577" s="7"/>
    </row>
    <row r="1578" customFormat="false" ht="15" hidden="false" customHeight="true" outlineLevel="0" collapsed="false">
      <c r="A1578" s="4" t="s">
        <v>6375</v>
      </c>
      <c r="B1578" s="4" t="s">
        <v>6510</v>
      </c>
      <c r="C1578" s="4" t="s">
        <v>6511</v>
      </c>
      <c r="D1578" s="4" t="s">
        <v>2230</v>
      </c>
      <c r="E1578" s="5" t="n">
        <v>10123</v>
      </c>
      <c r="F1578" s="4" t="n">
        <v>1</v>
      </c>
      <c r="G1578" s="4" t="s">
        <v>6512</v>
      </c>
      <c r="H1578" s="4" t="n">
        <v>43.22556</v>
      </c>
      <c r="I1578" s="4" t="n">
        <v>-85.55129</v>
      </c>
      <c r="J1578" s="4" t="s">
        <v>6513</v>
      </c>
      <c r="K1578" s="6" t="str">
        <f aca="false">HYPERLINK("https://www.google.com/search?q=Cedar+Springs+Public+Library+Cedar+Springs+MI+library+website","Search")</f>
        <v>Search</v>
      </c>
      <c r="L1578" s="7"/>
      <c r="M1578" s="7"/>
    </row>
    <row r="1579" customFormat="false" ht="15" hidden="false" customHeight="true" outlineLevel="0" collapsed="false">
      <c r="A1579" s="4" t="s">
        <v>6375</v>
      </c>
      <c r="B1579" s="4" t="s">
        <v>6514</v>
      </c>
      <c r="C1579" s="4" t="s">
        <v>6515</v>
      </c>
      <c r="D1579" s="4" t="s">
        <v>6390</v>
      </c>
      <c r="E1579" s="5" t="n">
        <v>15489</v>
      </c>
      <c r="F1579" s="4" t="n">
        <v>1</v>
      </c>
      <c r="G1579" s="4" t="s">
        <v>6516</v>
      </c>
      <c r="H1579" s="4" t="n">
        <v>42.44216</v>
      </c>
      <c r="I1579" s="4" t="n">
        <v>-85.63468</v>
      </c>
      <c r="J1579" s="4" t="s">
        <v>6517</v>
      </c>
      <c r="K1579" s="6" t="str">
        <f aca="false">HYPERLINK("https://www.google.com/search?q=Charles+A.+Ransom+District+Library+Plainwell+MI+library+website","Search")</f>
        <v>Search</v>
      </c>
      <c r="L1579" s="7"/>
      <c r="M1579" s="7"/>
    </row>
    <row r="1580" customFormat="false" ht="15" hidden="false" customHeight="true" outlineLevel="0" collapsed="false">
      <c r="A1580" s="4" t="s">
        <v>6375</v>
      </c>
      <c r="B1580" s="4" t="s">
        <v>6518</v>
      </c>
      <c r="C1580" s="4" t="s">
        <v>2313</v>
      </c>
      <c r="D1580" s="4" t="s">
        <v>6519</v>
      </c>
      <c r="E1580" s="5" t="n">
        <v>24246</v>
      </c>
      <c r="F1580" s="4" t="n">
        <v>1</v>
      </c>
      <c r="G1580" s="4" t="s">
        <v>6520</v>
      </c>
      <c r="H1580" s="4" t="n">
        <v>42.56121</v>
      </c>
      <c r="I1580" s="4" t="n">
        <v>-84.83736</v>
      </c>
      <c r="J1580" s="4" t="s">
        <v>6521</v>
      </c>
      <c r="K1580" s="6" t="str">
        <f aca="false">HYPERLINK("https://www.google.com/search?q=Charlotte+Community+Library+Charlotte+MI+library+website","Search")</f>
        <v>Search</v>
      </c>
      <c r="L1580" s="7"/>
      <c r="M1580" s="7"/>
    </row>
    <row r="1581" customFormat="false" ht="15" hidden="false" customHeight="true" outlineLevel="0" collapsed="false">
      <c r="A1581" s="4" t="s">
        <v>6375</v>
      </c>
      <c r="B1581" s="4" t="s">
        <v>6522</v>
      </c>
      <c r="C1581" s="4" t="s">
        <v>6523</v>
      </c>
      <c r="D1581" s="4" t="s">
        <v>6523</v>
      </c>
      <c r="E1581" s="5" t="n">
        <v>13525</v>
      </c>
      <c r="F1581" s="4" t="n">
        <v>1</v>
      </c>
      <c r="G1581" s="4" t="s">
        <v>6524</v>
      </c>
      <c r="H1581" s="4" t="n">
        <v>45.64355</v>
      </c>
      <c r="I1581" s="4" t="n">
        <v>-84.48044</v>
      </c>
      <c r="J1581" s="4" t="s">
        <v>6525</v>
      </c>
      <c r="K1581" s="6" t="str">
        <f aca="false">HYPERLINK("https://www.google.com/search?q=Cheboygan+Area+Public+Library+Cheboygan+MI+library+website","Search")</f>
        <v>Search</v>
      </c>
      <c r="L1581" s="7"/>
      <c r="M1581" s="7"/>
    </row>
    <row r="1582" customFormat="false" ht="15" hidden="false" customHeight="true" outlineLevel="0" collapsed="false">
      <c r="A1582" s="4" t="s">
        <v>6375</v>
      </c>
      <c r="B1582" s="4" t="s">
        <v>6526</v>
      </c>
      <c r="C1582" s="4" t="s">
        <v>129</v>
      </c>
      <c r="D1582" s="4" t="s">
        <v>6417</v>
      </c>
      <c r="E1582" s="5" t="n">
        <v>16126</v>
      </c>
      <c r="F1582" s="4" t="n">
        <v>1</v>
      </c>
      <c r="G1582" s="4" t="s">
        <v>6527</v>
      </c>
      <c r="H1582" s="4" t="n">
        <v>42.31655</v>
      </c>
      <c r="I1582" s="4" t="n">
        <v>-84.02043</v>
      </c>
      <c r="J1582" s="4" t="s">
        <v>6528</v>
      </c>
      <c r="K1582" s="6" t="str">
        <f aca="false">HYPERLINK("https://www.google.com/search?q=Chelsea+District+Library+Chelsea+MI+library+website","Search")</f>
        <v>Search</v>
      </c>
      <c r="L1582" s="7"/>
      <c r="M1582" s="7"/>
    </row>
    <row r="1583" customFormat="false" ht="15" hidden="false" customHeight="true" outlineLevel="0" collapsed="false">
      <c r="A1583" s="4" t="s">
        <v>6375</v>
      </c>
      <c r="B1583" s="4" t="s">
        <v>6529</v>
      </c>
      <c r="C1583" s="4" t="s">
        <v>6530</v>
      </c>
      <c r="D1583" s="4" t="s">
        <v>3792</v>
      </c>
      <c r="E1583" s="5" t="n">
        <v>45376</v>
      </c>
      <c r="F1583" s="4" t="n">
        <v>1</v>
      </c>
      <c r="G1583" s="4" t="s">
        <v>6531</v>
      </c>
      <c r="H1583" s="4" t="n">
        <v>42.67061</v>
      </c>
      <c r="I1583" s="4" t="n">
        <v>-82.83975</v>
      </c>
      <c r="J1583" s="4" t="s">
        <v>6532</v>
      </c>
      <c r="K1583" s="6" t="str">
        <f aca="false">HYPERLINK("https://www.google.com/search?q=Chesterfield+Township+Library+Chesterfield+MI+library+website","Search")</f>
        <v>Search</v>
      </c>
      <c r="L1583" s="7"/>
      <c r="M1583" s="7"/>
    </row>
    <row r="1584" customFormat="false" ht="15" hidden="false" customHeight="true" outlineLevel="0" collapsed="false">
      <c r="A1584" s="4" t="s">
        <v>6375</v>
      </c>
      <c r="B1584" s="4" t="s">
        <v>6533</v>
      </c>
      <c r="C1584" s="4" t="s">
        <v>3064</v>
      </c>
      <c r="D1584" s="4" t="s">
        <v>6534</v>
      </c>
      <c r="E1584" s="5" t="n">
        <v>46057</v>
      </c>
      <c r="F1584" s="4" t="n">
        <v>5</v>
      </c>
      <c r="G1584" s="4" t="s">
        <v>6535</v>
      </c>
      <c r="H1584" s="4" t="n">
        <v>43.60229</v>
      </c>
      <c r="I1584" s="4" t="n">
        <v>-84.77538</v>
      </c>
      <c r="J1584" s="4" t="s">
        <v>6536</v>
      </c>
      <c r="K1584" s="6" t="str">
        <f aca="false">HYPERLINK("https://www.google.com/search?q=Chippewa+River+District+Library+System+Mount+Pleasant+MI+library+website","Search")</f>
        <v>Search</v>
      </c>
      <c r="L1584" s="7"/>
      <c r="M1584" s="7"/>
    </row>
    <row r="1585" customFormat="false" ht="15" hidden="false" customHeight="true" outlineLevel="0" collapsed="false">
      <c r="A1585" s="4" t="s">
        <v>6375</v>
      </c>
      <c r="B1585" s="4" t="s">
        <v>6537</v>
      </c>
      <c r="C1585" s="4" t="s">
        <v>6538</v>
      </c>
      <c r="D1585" s="4" t="s">
        <v>1246</v>
      </c>
      <c r="E1585" s="5" t="n">
        <v>37614</v>
      </c>
      <c r="F1585" s="4" t="n">
        <v>1</v>
      </c>
      <c r="G1585" s="4" t="s">
        <v>6539</v>
      </c>
      <c r="H1585" s="4" t="n">
        <v>42.74015</v>
      </c>
      <c r="I1585" s="4" t="n">
        <v>-83.40883</v>
      </c>
      <c r="J1585" s="4" t="s">
        <v>6540</v>
      </c>
      <c r="K1585" s="6" t="str">
        <f aca="false">HYPERLINK("https://www.google.com/search?q=Clarkston+Independence+District+Library+Clarkston+MI+library+website","Search")</f>
        <v>Search</v>
      </c>
      <c r="L1585" s="7"/>
      <c r="M1585" s="7"/>
    </row>
    <row r="1586" customFormat="false" ht="15" hidden="false" customHeight="true" outlineLevel="0" collapsed="false">
      <c r="A1586" s="4" t="s">
        <v>6375</v>
      </c>
      <c r="B1586" s="4" t="s">
        <v>6541</v>
      </c>
      <c r="C1586" s="4" t="s">
        <v>6542</v>
      </c>
      <c r="D1586" s="4" t="s">
        <v>3792</v>
      </c>
      <c r="E1586" s="5" t="n">
        <v>184879</v>
      </c>
      <c r="F1586" s="4" t="n">
        <v>3</v>
      </c>
      <c r="G1586" s="4" t="s">
        <v>6543</v>
      </c>
      <c r="H1586" s="4" t="n">
        <v>42.59877</v>
      </c>
      <c r="I1586" s="4" t="n">
        <v>-82.93216</v>
      </c>
      <c r="J1586" s="4" t="s">
        <v>6544</v>
      </c>
      <c r="K1586" s="6" t="str">
        <f aca="false">HYPERLINK("https://www.google.com/search?q=Clinton-Macomb+Public+Library+Clinton+Township+MI+library+website","Search")</f>
        <v>Search</v>
      </c>
      <c r="L1586" s="7"/>
      <c r="M1586" s="8" t="str">
        <f aca="false">HYPERLINK("https://cmpl.overdrive.com","https://cmpl.overdrive.com")</f>
        <v>https://cmpl.overdrive.com</v>
      </c>
    </row>
    <row r="1587" customFormat="false" ht="15" hidden="false" customHeight="true" outlineLevel="0" collapsed="false">
      <c r="A1587" s="4" t="s">
        <v>6375</v>
      </c>
      <c r="B1587" s="4" t="s">
        <v>6545</v>
      </c>
      <c r="C1587" s="4" t="s">
        <v>6546</v>
      </c>
      <c r="D1587" s="4" t="s">
        <v>6442</v>
      </c>
      <c r="E1587" s="5" t="n">
        <v>12441</v>
      </c>
      <c r="F1587" s="4" t="n">
        <v>1</v>
      </c>
      <c r="G1587" s="4" t="s">
        <v>6547</v>
      </c>
      <c r="H1587" s="4" t="n">
        <v>42.18616</v>
      </c>
      <c r="I1587" s="4" t="n">
        <v>-86.30736</v>
      </c>
      <c r="J1587" s="4" t="s">
        <v>6548</v>
      </c>
      <c r="K1587" s="6" t="str">
        <f aca="false">HYPERLINK("https://www.google.com/search?q=Coloma+Public+Library+Coloma+MI+library+website","Search")</f>
        <v>Search</v>
      </c>
      <c r="L1587" s="7"/>
      <c r="M1587" s="7"/>
    </row>
    <row r="1588" customFormat="false" ht="15" hidden="false" customHeight="true" outlineLevel="0" collapsed="false">
      <c r="A1588" s="4" t="s">
        <v>6375</v>
      </c>
      <c r="B1588" s="4" t="s">
        <v>6549</v>
      </c>
      <c r="C1588" s="4" t="s">
        <v>6550</v>
      </c>
      <c r="D1588" s="4" t="s">
        <v>1246</v>
      </c>
      <c r="E1588" s="5" t="n">
        <v>43058</v>
      </c>
      <c r="F1588" s="4" t="n">
        <v>1</v>
      </c>
      <c r="G1588" s="4" t="s">
        <v>6551</v>
      </c>
      <c r="H1588" s="4" t="n">
        <v>42.58917</v>
      </c>
      <c r="I1588" s="4" t="n">
        <v>-83.4776</v>
      </c>
      <c r="J1588" s="4" t="s">
        <v>6552</v>
      </c>
      <c r="K1588" s="6" t="str">
        <f aca="false">HYPERLINK("https://www.google.com/search?q=Commerce+Township+Community+Library+Commerce+Township+MI+library+website","Search")</f>
        <v>Search</v>
      </c>
      <c r="L1588" s="7"/>
      <c r="M1588" s="7"/>
    </row>
    <row r="1589" customFormat="false" ht="15" hidden="false" customHeight="true" outlineLevel="0" collapsed="false">
      <c r="A1589" s="4" t="s">
        <v>6375</v>
      </c>
      <c r="B1589" s="4" t="s">
        <v>6553</v>
      </c>
      <c r="C1589" s="4" t="s">
        <v>6554</v>
      </c>
      <c r="D1589" s="4" t="s">
        <v>6555</v>
      </c>
      <c r="E1589" s="5" t="n">
        <v>26969</v>
      </c>
      <c r="F1589" s="4" t="n">
        <v>7</v>
      </c>
      <c r="G1589" s="4" t="s">
        <v>6556</v>
      </c>
      <c r="H1589" s="4" t="n">
        <v>42.98185</v>
      </c>
      <c r="I1589" s="4" t="n">
        <v>-84.11634</v>
      </c>
      <c r="J1589" s="4" t="s">
        <v>6557</v>
      </c>
      <c r="K1589" s="6" t="str">
        <f aca="false">HYPERLINK("https://www.google.com/search?q=Community+District+Library+Corunna+MI+library+website","Search")</f>
        <v>Search</v>
      </c>
      <c r="L1589" s="7"/>
      <c r="M1589" s="7"/>
    </row>
    <row r="1590" customFormat="false" ht="15" hidden="false" customHeight="true" outlineLevel="0" collapsed="false">
      <c r="A1590" s="4" t="s">
        <v>6375</v>
      </c>
      <c r="B1590" s="4" t="s">
        <v>6558</v>
      </c>
      <c r="C1590" s="4" t="s">
        <v>6559</v>
      </c>
      <c r="D1590" s="4" t="s">
        <v>6560</v>
      </c>
      <c r="E1590" s="5" t="n">
        <v>15231</v>
      </c>
      <c r="F1590" s="4" t="n">
        <v>1</v>
      </c>
      <c r="G1590" s="4" t="s">
        <v>6561</v>
      </c>
      <c r="H1590" s="4" t="n">
        <v>42.28671</v>
      </c>
      <c r="I1590" s="4" t="n">
        <v>-85.5096</v>
      </c>
      <c r="J1590" s="4" t="s">
        <v>6562</v>
      </c>
      <c r="K1590" s="6" t="str">
        <f aca="false">HYPERLINK("https://www.google.com/search?q=Comstock+Township+Library+Comstock+MI+library+website","Search")</f>
        <v>Search</v>
      </c>
      <c r="L1590" s="7"/>
      <c r="M1590" s="7"/>
    </row>
    <row r="1591" customFormat="false" ht="15" hidden="false" customHeight="true" outlineLevel="0" collapsed="false">
      <c r="A1591" s="4" t="s">
        <v>6375</v>
      </c>
      <c r="B1591" s="4" t="s">
        <v>6563</v>
      </c>
      <c r="C1591" s="4" t="s">
        <v>6564</v>
      </c>
      <c r="D1591" s="4" t="s">
        <v>4001</v>
      </c>
      <c r="E1591" s="5" t="n">
        <v>12679</v>
      </c>
      <c r="F1591" s="4" t="n">
        <v>1</v>
      </c>
      <c r="G1591" s="4" t="s">
        <v>6565</v>
      </c>
      <c r="H1591" s="4" t="n">
        <v>43.06573</v>
      </c>
      <c r="I1591" s="4" t="n">
        <v>-85.93576</v>
      </c>
      <c r="J1591" s="4" t="s">
        <v>6566</v>
      </c>
      <c r="K1591" s="6" t="str">
        <f aca="false">HYPERLINK("https://www.google.com/search?q=Coopersville+Area+District+Library+Coopersville+MI+library+website","Search")</f>
        <v>Search</v>
      </c>
      <c r="L1591" s="7"/>
      <c r="M1591" s="7"/>
    </row>
    <row r="1592" customFormat="false" ht="15" hidden="false" customHeight="true" outlineLevel="0" collapsed="false">
      <c r="A1592" s="4" t="s">
        <v>6375</v>
      </c>
      <c r="B1592" s="4" t="s">
        <v>6567</v>
      </c>
      <c r="C1592" s="4" t="s">
        <v>6568</v>
      </c>
      <c r="D1592" s="4" t="s">
        <v>516</v>
      </c>
      <c r="E1592" s="5" t="n">
        <v>12988</v>
      </c>
      <c r="F1592" s="4" t="n">
        <v>2</v>
      </c>
      <c r="G1592" s="4" t="s">
        <v>6569</v>
      </c>
      <c r="H1592" s="4" t="n">
        <v>44.66452</v>
      </c>
      <c r="I1592" s="4" t="n">
        <v>-84.70712</v>
      </c>
      <c r="J1592" s="4" t="s">
        <v>6570</v>
      </c>
      <c r="K1592" s="6" t="str">
        <f aca="false">HYPERLINK("https://www.google.com/search?q=Crawford+County+Library+Grayling+MI+library+website","Search")</f>
        <v>Search</v>
      </c>
      <c r="L1592" s="7"/>
      <c r="M1592" s="7"/>
    </row>
    <row r="1593" customFormat="false" ht="15" hidden="false" customHeight="true" outlineLevel="0" collapsed="false">
      <c r="A1593" s="4" t="s">
        <v>6375</v>
      </c>
      <c r="B1593" s="4" t="s">
        <v>6571</v>
      </c>
      <c r="C1593" s="4" t="s">
        <v>6572</v>
      </c>
      <c r="D1593" s="4" t="s">
        <v>3979</v>
      </c>
      <c r="E1593" s="5" t="n">
        <v>29699</v>
      </c>
      <c r="F1593" s="4" t="n">
        <v>1</v>
      </c>
      <c r="G1593" s="4" t="s">
        <v>6573</v>
      </c>
      <c r="H1593" s="4" t="n">
        <v>42.65871</v>
      </c>
      <c r="I1593" s="4" t="n">
        <v>-83.75446</v>
      </c>
      <c r="J1593" s="4" t="s">
        <v>6574</v>
      </c>
      <c r="K1593" s="6" t="str">
        <f aca="false">HYPERLINK("https://www.google.com/search?q=Cromaine+District+Library+Hartland+MI+library+website","Search")</f>
        <v>Search</v>
      </c>
      <c r="L1593" s="7"/>
      <c r="M1593" s="7"/>
    </row>
    <row r="1594" customFormat="false" ht="15" hidden="false" customHeight="true" outlineLevel="0" collapsed="false">
      <c r="A1594" s="4" t="s">
        <v>6375</v>
      </c>
      <c r="B1594" s="4" t="s">
        <v>6575</v>
      </c>
      <c r="C1594" s="4" t="s">
        <v>6576</v>
      </c>
      <c r="D1594" s="4" t="s">
        <v>2849</v>
      </c>
      <c r="E1594" s="5" t="n">
        <v>63292</v>
      </c>
      <c r="F1594" s="4" t="n">
        <v>2</v>
      </c>
      <c r="G1594" s="4" t="s">
        <v>6577</v>
      </c>
      <c r="H1594" s="4" t="n">
        <v>42.33176</v>
      </c>
      <c r="I1594" s="4" t="n">
        <v>-83.27799</v>
      </c>
      <c r="J1594" s="4" t="s">
        <v>6578</v>
      </c>
      <c r="K1594" s="6" t="str">
        <f aca="false">HYPERLINK("https://www.google.com/search?q=Dearborn+Heights+City+Libraries+Dearborn+Heights+MI+library+website","Search")</f>
        <v>Search</v>
      </c>
      <c r="L1594" s="7"/>
      <c r="M1594" s="7"/>
    </row>
    <row r="1595" customFormat="false" ht="15" hidden="false" customHeight="true" outlineLevel="0" collapsed="false">
      <c r="A1595" s="4" t="s">
        <v>6375</v>
      </c>
      <c r="B1595" s="4" t="s">
        <v>6579</v>
      </c>
      <c r="C1595" s="4" t="s">
        <v>4253</v>
      </c>
      <c r="D1595" s="4" t="s">
        <v>2849</v>
      </c>
      <c r="E1595" s="5" t="n">
        <v>109976</v>
      </c>
      <c r="F1595" s="4" t="n">
        <v>3</v>
      </c>
      <c r="G1595" s="4" t="s">
        <v>6580</v>
      </c>
      <c r="H1595" s="4" t="n">
        <v>42.31374</v>
      </c>
      <c r="I1595" s="4" t="n">
        <v>-83.20296</v>
      </c>
      <c r="J1595" s="4" t="s">
        <v>6581</v>
      </c>
      <c r="K1595" s="6" t="str">
        <f aca="false">HYPERLINK("https://www.google.com/search?q=Dearborn+Public+Library+Dearborn+MI+library+website","Search")</f>
        <v>Search</v>
      </c>
      <c r="L1595" s="7"/>
      <c r="M1595" s="7"/>
    </row>
    <row r="1596" customFormat="false" ht="15" hidden="false" customHeight="true" outlineLevel="0" collapsed="false">
      <c r="A1596" s="4" t="s">
        <v>6375</v>
      </c>
      <c r="B1596" s="4" t="s">
        <v>6582</v>
      </c>
      <c r="C1596" s="4" t="s">
        <v>3759</v>
      </c>
      <c r="D1596" s="4" t="s">
        <v>6519</v>
      </c>
      <c r="E1596" s="5" t="n">
        <v>33620</v>
      </c>
      <c r="F1596" s="4" t="n">
        <v>1</v>
      </c>
      <c r="G1596" s="4" t="s">
        <v>6583</v>
      </c>
      <c r="H1596" s="4" t="n">
        <v>42.74673</v>
      </c>
      <c r="I1596" s="4" t="n">
        <v>-84.6207</v>
      </c>
      <c r="J1596" s="4" t="s">
        <v>6584</v>
      </c>
      <c r="K1596" s="6" t="str">
        <f aca="false">HYPERLINK("https://www.google.com/search?q=Delta+Township+District+Library+Lansing+MI+library+website","Search")</f>
        <v>Search</v>
      </c>
      <c r="L1596" s="7"/>
      <c r="M1596" s="7"/>
    </row>
    <row r="1597" customFormat="false" ht="15" hidden="false" customHeight="true" outlineLevel="0" collapsed="false">
      <c r="A1597" s="4" t="s">
        <v>6375</v>
      </c>
      <c r="B1597" s="4" t="s">
        <v>6585</v>
      </c>
      <c r="C1597" s="4" t="s">
        <v>6586</v>
      </c>
      <c r="D1597" s="4" t="s">
        <v>2849</v>
      </c>
      <c r="E1597" s="5" t="n">
        <v>639111</v>
      </c>
      <c r="F1597" s="4" t="n">
        <v>22</v>
      </c>
      <c r="G1597" s="4" t="s">
        <v>6587</v>
      </c>
      <c r="H1597" s="4" t="n">
        <v>42.35909</v>
      </c>
      <c r="I1597" s="4" t="n">
        <v>-83.06581</v>
      </c>
      <c r="J1597" s="4" t="s">
        <v>6588</v>
      </c>
      <c r="K1597" s="6" t="str">
        <f aca="false">HYPERLINK("https://www.google.com/search?q=Detroit+Public+Library+Detroit+MI+library+website","Search")</f>
        <v>Search</v>
      </c>
      <c r="L1597" s="7"/>
      <c r="M1597" s="8" t="str">
        <f aca="false">HYPERLINK("https://detroitpubliclibrary.overdrive.com","https://detroitpubliclibrary.overdrive.com")</f>
        <v>https://detroitpubliclibrary.overdrive.com</v>
      </c>
    </row>
    <row r="1598" customFormat="false" ht="15" hidden="false" customHeight="true" outlineLevel="0" collapsed="false">
      <c r="A1598" s="4" t="s">
        <v>6375</v>
      </c>
      <c r="B1598" s="4" t="s">
        <v>6589</v>
      </c>
      <c r="C1598" s="4" t="s">
        <v>2963</v>
      </c>
      <c r="D1598" s="4" t="s">
        <v>1964</v>
      </c>
      <c r="E1598" s="5" t="n">
        <v>21900</v>
      </c>
      <c r="F1598" s="4" t="n">
        <v>1</v>
      </c>
      <c r="G1598" s="4" t="s">
        <v>6590</v>
      </c>
      <c r="H1598" s="4" t="n">
        <v>42.82548</v>
      </c>
      <c r="I1598" s="4" t="n">
        <v>-84.5887</v>
      </c>
      <c r="J1598" s="4" t="s">
        <v>6591</v>
      </c>
      <c r="K1598" s="6" t="str">
        <f aca="false">HYPERLINK("https://www.google.com/search?q=Dewitt+District+Library+Dewitt+MI+library+website","Search")</f>
        <v>Search</v>
      </c>
      <c r="L1598" s="7"/>
      <c r="M1598" s="7"/>
    </row>
    <row r="1599" customFormat="false" ht="15" hidden="false" customHeight="true" outlineLevel="0" collapsed="false">
      <c r="A1599" s="4" t="s">
        <v>6375</v>
      </c>
      <c r="B1599" s="4" t="s">
        <v>6592</v>
      </c>
      <c r="C1599" s="4" t="s">
        <v>6593</v>
      </c>
      <c r="D1599" s="4" t="s">
        <v>6417</v>
      </c>
      <c r="E1599" s="5" t="n">
        <v>21616</v>
      </c>
      <c r="F1599" s="4" t="n">
        <v>1</v>
      </c>
      <c r="G1599" s="4" t="s">
        <v>6594</v>
      </c>
      <c r="H1599" s="4" t="n">
        <v>42.33997</v>
      </c>
      <c r="I1599" s="4" t="n">
        <v>-83.88902</v>
      </c>
      <c r="J1599" s="4" t="s">
        <v>6595</v>
      </c>
      <c r="K1599" s="6" t="str">
        <f aca="false">HYPERLINK("https://www.google.com/search?q=Dexter+District+Library+Dexter+MI+library+website","Search")</f>
        <v>Search</v>
      </c>
      <c r="L1599" s="7"/>
      <c r="M1599" s="7"/>
    </row>
    <row r="1600" customFormat="false" ht="15" hidden="false" customHeight="true" outlineLevel="0" collapsed="false">
      <c r="A1600" s="4" t="s">
        <v>6375</v>
      </c>
      <c r="B1600" s="4" t="s">
        <v>6596</v>
      </c>
      <c r="C1600" s="4" t="s">
        <v>6597</v>
      </c>
      <c r="D1600" s="4" t="s">
        <v>3123</v>
      </c>
      <c r="E1600" s="5" t="n">
        <v>25947</v>
      </c>
      <c r="F1600" s="4" t="n">
        <v>3</v>
      </c>
      <c r="G1600" s="4" t="s">
        <v>6598</v>
      </c>
      <c r="H1600" s="4" t="n">
        <v>45.81929</v>
      </c>
      <c r="I1600" s="4" t="n">
        <v>-88.06372</v>
      </c>
      <c r="J1600" s="4" t="s">
        <v>6599</v>
      </c>
      <c r="K1600" s="6" t="str">
        <f aca="false">HYPERLINK("https://www.google.com/search?q=Dickinson+County+Library+Iron+Mountain+MI+library+website","Search")</f>
        <v>Search</v>
      </c>
      <c r="L1600" s="7"/>
      <c r="M1600" s="7"/>
    </row>
    <row r="1601" customFormat="false" ht="15" hidden="false" customHeight="true" outlineLevel="0" collapsed="false">
      <c r="A1601" s="4" t="s">
        <v>6375</v>
      </c>
      <c r="B1601" s="4" t="s">
        <v>6600</v>
      </c>
      <c r="C1601" s="4" t="s">
        <v>6601</v>
      </c>
      <c r="D1601" s="4" t="s">
        <v>4467</v>
      </c>
      <c r="E1601" s="5" t="n">
        <v>12694</v>
      </c>
      <c r="F1601" s="4" t="n">
        <v>1</v>
      </c>
      <c r="G1601" s="4" t="s">
        <v>6602</v>
      </c>
      <c r="H1601" s="4" t="n">
        <v>41.98323</v>
      </c>
      <c r="I1601" s="4" t="n">
        <v>-86.11047</v>
      </c>
      <c r="J1601" s="4" t="s">
        <v>6603</v>
      </c>
      <c r="K1601" s="6" t="str">
        <f aca="false">HYPERLINK("https://www.google.com/search?q=Dowagiac+District+Library+Dowagiac+MI+library+website","Search")</f>
        <v>Search</v>
      </c>
      <c r="L1601" s="7"/>
      <c r="M1601" s="7"/>
    </row>
    <row r="1602" customFormat="false" ht="15" hidden="false" customHeight="true" outlineLevel="0" collapsed="false">
      <c r="A1602" s="4" t="s">
        <v>6375</v>
      </c>
      <c r="B1602" s="4" t="s">
        <v>6604</v>
      </c>
      <c r="C1602" s="4" t="s">
        <v>6605</v>
      </c>
      <c r="D1602" s="4" t="s">
        <v>6493</v>
      </c>
      <c r="E1602" s="5" t="n">
        <v>47741</v>
      </c>
      <c r="F1602" s="4" t="n">
        <v>1</v>
      </c>
      <c r="G1602" s="4" t="s">
        <v>6606</v>
      </c>
      <c r="H1602" s="4" t="n">
        <v>42.74366</v>
      </c>
      <c r="I1602" s="4" t="n">
        <v>-84.48377</v>
      </c>
      <c r="J1602" s="4" t="s">
        <v>6607</v>
      </c>
      <c r="K1602" s="6" t="str">
        <f aca="false">HYPERLINK("https://www.google.com/search?q=East+Lansing+Public+Library+East+Lansing+MI+library+website","Search")</f>
        <v>Search</v>
      </c>
      <c r="L1602" s="7"/>
      <c r="M1602" s="7"/>
    </row>
    <row r="1603" customFormat="false" ht="15" hidden="false" customHeight="true" outlineLevel="0" collapsed="false">
      <c r="A1603" s="4" t="s">
        <v>6375</v>
      </c>
      <c r="B1603" s="4" t="s">
        <v>6608</v>
      </c>
      <c r="C1603" s="4" t="s">
        <v>6609</v>
      </c>
      <c r="D1603" s="4" t="s">
        <v>3792</v>
      </c>
      <c r="E1603" s="5" t="n">
        <v>34318</v>
      </c>
      <c r="F1603" s="4" t="n">
        <v>1</v>
      </c>
      <c r="G1603" s="4" t="s">
        <v>6610</v>
      </c>
      <c r="H1603" s="4" t="n">
        <v>42.46262</v>
      </c>
      <c r="I1603" s="4" t="n">
        <v>-82.95723</v>
      </c>
      <c r="J1603" s="4" t="s">
        <v>6611</v>
      </c>
      <c r="K1603" s="6" t="str">
        <f aca="false">HYPERLINK("https://www.google.com/search?q=Eastpointe+Memorial+Library+Eastpointe+MI+library+website","Search")</f>
        <v>Search</v>
      </c>
      <c r="L1603" s="7"/>
      <c r="M1603" s="7"/>
    </row>
    <row r="1604" customFormat="false" ht="15" hidden="false" customHeight="true" outlineLevel="0" collapsed="false">
      <c r="A1604" s="4" t="s">
        <v>6375</v>
      </c>
      <c r="B1604" s="4" t="s">
        <v>6612</v>
      </c>
      <c r="C1604" s="4" t="s">
        <v>6613</v>
      </c>
      <c r="D1604" s="4" t="s">
        <v>6519</v>
      </c>
      <c r="E1604" s="5" t="n">
        <v>12421</v>
      </c>
      <c r="F1604" s="4" t="n">
        <v>1</v>
      </c>
      <c r="G1604" s="4" t="s">
        <v>6614</v>
      </c>
      <c r="H1604" s="4" t="n">
        <v>42.51106</v>
      </c>
      <c r="I1604" s="4" t="n">
        <v>-84.65592</v>
      </c>
      <c r="J1604" s="4" t="s">
        <v>6615</v>
      </c>
      <c r="K1604" s="6" t="str">
        <f aca="false">HYPERLINK("https://www.google.com/search?q=Eaton+Rapids+Area+District+Library+Eaton+Rapids+MI+library+website","Search")</f>
        <v>Search</v>
      </c>
      <c r="L1604" s="7"/>
      <c r="M1604" s="7"/>
    </row>
    <row r="1605" customFormat="false" ht="15" hidden="false" customHeight="true" outlineLevel="0" collapsed="false">
      <c r="A1605" s="4" t="s">
        <v>6375</v>
      </c>
      <c r="B1605" s="4" t="s">
        <v>6616</v>
      </c>
      <c r="C1605" s="4" t="s">
        <v>6617</v>
      </c>
      <c r="D1605" s="4" t="s">
        <v>1619</v>
      </c>
      <c r="E1605" s="5" t="n">
        <v>25482</v>
      </c>
      <c r="F1605" s="4" t="n">
        <v>1</v>
      </c>
      <c r="G1605" s="4" t="s">
        <v>6618</v>
      </c>
      <c r="H1605" s="4" t="n">
        <v>45.74578</v>
      </c>
      <c r="I1605" s="4" t="n">
        <v>-87.05217</v>
      </c>
      <c r="J1605" s="4" t="s">
        <v>6619</v>
      </c>
      <c r="K1605" s="6" t="str">
        <f aca="false">HYPERLINK("https://www.google.com/search?q=Escanaba+Public+Library+Escanaba+MI+library+website","Search")</f>
        <v>Search</v>
      </c>
      <c r="L1605" s="7"/>
      <c r="M1605" s="7"/>
    </row>
    <row r="1606" customFormat="false" ht="15" hidden="false" customHeight="true" outlineLevel="0" collapsed="false">
      <c r="A1606" s="4" t="s">
        <v>6375</v>
      </c>
      <c r="B1606" s="4" t="s">
        <v>6620</v>
      </c>
      <c r="C1606" s="4" t="s">
        <v>6621</v>
      </c>
      <c r="D1606" s="4" t="s">
        <v>1246</v>
      </c>
      <c r="E1606" s="5" t="n">
        <v>95583</v>
      </c>
      <c r="F1606" s="4" t="n">
        <v>2</v>
      </c>
      <c r="G1606" s="4" t="s">
        <v>6622</v>
      </c>
      <c r="H1606" s="4" t="n">
        <v>42.49886</v>
      </c>
      <c r="I1606" s="4" t="n">
        <v>-83.37094</v>
      </c>
      <c r="J1606" s="4" t="s">
        <v>6623</v>
      </c>
      <c r="K1606" s="6" t="str">
        <f aca="false">HYPERLINK("https://www.google.com/search?q=Farmington+Community+Library+Farmington+Hills+MI+library+website","Search")</f>
        <v>Search</v>
      </c>
      <c r="L1606" s="7"/>
      <c r="M1606" s="7"/>
    </row>
    <row r="1607" customFormat="false" ht="15" hidden="false" customHeight="true" outlineLevel="0" collapsed="false">
      <c r="A1607" s="4" t="s">
        <v>6375</v>
      </c>
      <c r="B1607" s="4" t="s">
        <v>6624</v>
      </c>
      <c r="C1607" s="4" t="s">
        <v>6625</v>
      </c>
      <c r="D1607" s="4" t="s">
        <v>6390</v>
      </c>
      <c r="E1607" s="5" t="n">
        <v>14496</v>
      </c>
      <c r="F1607" s="4" t="n">
        <v>1</v>
      </c>
      <c r="G1607" s="4" t="s">
        <v>6626</v>
      </c>
      <c r="H1607" s="4" t="n">
        <v>42.5943</v>
      </c>
      <c r="I1607" s="4" t="n">
        <v>-86.10807</v>
      </c>
      <c r="J1607" s="4" t="s">
        <v>6627</v>
      </c>
      <c r="K1607" s="6" t="str">
        <f aca="false">HYPERLINK("https://www.google.com/search?q=Fennville+District+Library+Fennville+MI+library+website","Search")</f>
        <v>Search</v>
      </c>
      <c r="L1607" s="7"/>
      <c r="M1607" s="7"/>
    </row>
    <row r="1608" customFormat="false" ht="15" hidden="false" customHeight="true" outlineLevel="0" collapsed="false">
      <c r="A1608" s="4" t="s">
        <v>6375</v>
      </c>
      <c r="B1608" s="4" t="s">
        <v>6628</v>
      </c>
      <c r="C1608" s="4" t="s">
        <v>6629</v>
      </c>
      <c r="D1608" s="4" t="s">
        <v>1246</v>
      </c>
      <c r="E1608" s="5" t="n">
        <v>19190</v>
      </c>
      <c r="F1608" s="4" t="n">
        <v>1</v>
      </c>
      <c r="G1608" s="4" t="s">
        <v>6630</v>
      </c>
      <c r="H1608" s="4" t="n">
        <v>42.46061</v>
      </c>
      <c r="I1608" s="4" t="n">
        <v>-83.13235</v>
      </c>
      <c r="J1608" s="4" t="s">
        <v>6631</v>
      </c>
      <c r="K1608" s="6" t="str">
        <f aca="false">HYPERLINK("https://www.google.com/search?q=Ferndale+Area+District+Library+Ferndale+MI+library+website","Search")</f>
        <v>Search</v>
      </c>
      <c r="L1608" s="7"/>
      <c r="M1608" s="7"/>
    </row>
    <row r="1609" customFormat="false" ht="15" hidden="false" customHeight="true" outlineLevel="0" collapsed="false">
      <c r="A1609" s="4" t="s">
        <v>6375</v>
      </c>
      <c r="B1609" s="4" t="s">
        <v>6632</v>
      </c>
      <c r="C1609" s="4" t="s">
        <v>224</v>
      </c>
      <c r="D1609" s="4" t="s">
        <v>6503</v>
      </c>
      <c r="E1609" s="5" t="n">
        <v>18223</v>
      </c>
      <c r="F1609" s="4" t="n">
        <v>1</v>
      </c>
      <c r="G1609" s="4" t="s">
        <v>6633</v>
      </c>
      <c r="H1609" s="4" t="n">
        <v>43.17382</v>
      </c>
      <c r="I1609" s="4" t="n">
        <v>-85.25481</v>
      </c>
      <c r="J1609" s="4" t="s">
        <v>6634</v>
      </c>
      <c r="K1609" s="6" t="str">
        <f aca="false">HYPERLINK("https://www.google.com/search?q=Flat+River+Community+Library+Greenville+MI+library+website","Search")</f>
        <v>Search</v>
      </c>
      <c r="L1609" s="7"/>
      <c r="M1609" s="7"/>
    </row>
    <row r="1610" customFormat="false" ht="15" hidden="false" customHeight="true" outlineLevel="0" collapsed="false">
      <c r="A1610" s="4" t="s">
        <v>6375</v>
      </c>
      <c r="B1610" s="4" t="s">
        <v>6635</v>
      </c>
      <c r="C1610" s="4" t="s">
        <v>6636</v>
      </c>
      <c r="D1610" s="4" t="s">
        <v>2849</v>
      </c>
      <c r="E1610" s="5" t="n">
        <v>18778</v>
      </c>
      <c r="F1610" s="4" t="n">
        <v>1</v>
      </c>
      <c r="G1610" s="4" t="s">
        <v>6637</v>
      </c>
      <c r="H1610" s="4" t="n">
        <v>42.09457</v>
      </c>
      <c r="I1610" s="4" t="n">
        <v>-83.2778</v>
      </c>
      <c r="J1610" s="4" t="s">
        <v>6638</v>
      </c>
      <c r="K1610" s="6" t="str">
        <f aca="false">HYPERLINK("https://www.google.com/search?q=Flat+Rock+Public+Library+Flat+Rock+MI+library+website","Search")</f>
        <v>Search</v>
      </c>
      <c r="L1610" s="7"/>
      <c r="M1610" s="7"/>
    </row>
    <row r="1611" customFormat="false" ht="15" hidden="false" customHeight="true" outlineLevel="0" collapsed="false">
      <c r="A1611" s="4" t="s">
        <v>6375</v>
      </c>
      <c r="B1611" s="4" t="s">
        <v>6639</v>
      </c>
      <c r="C1611" s="4" t="s">
        <v>6640</v>
      </c>
      <c r="D1611" s="4" t="s">
        <v>6641</v>
      </c>
      <c r="E1611" s="5" t="n">
        <v>81252</v>
      </c>
      <c r="F1611" s="4" t="n">
        <v>1</v>
      </c>
      <c r="G1611" s="4" t="s">
        <v>6642</v>
      </c>
      <c r="H1611" s="4" t="n">
        <v>43.02217</v>
      </c>
      <c r="I1611" s="4" t="n">
        <v>-83.67974</v>
      </c>
      <c r="J1611" s="4" t="s">
        <v>6643</v>
      </c>
      <c r="K1611" s="6" t="str">
        <f aca="false">HYPERLINK("https://www.google.com/search?q=Flint+Public+Library+Flint+MI+library+website","Search")</f>
        <v>Search</v>
      </c>
      <c r="L1611" s="7"/>
      <c r="M1611" s="7"/>
    </row>
    <row r="1612" customFormat="false" ht="15" hidden="false" customHeight="true" outlineLevel="0" collapsed="false">
      <c r="A1612" s="4" t="s">
        <v>6375</v>
      </c>
      <c r="B1612" s="4" t="s">
        <v>6644</v>
      </c>
      <c r="C1612" s="4" t="s">
        <v>6645</v>
      </c>
      <c r="D1612" s="4" t="s">
        <v>3979</v>
      </c>
      <c r="E1612" s="5" t="n">
        <v>17796</v>
      </c>
      <c r="F1612" s="4" t="n">
        <v>1</v>
      </c>
      <c r="G1612" s="4" t="s">
        <v>6646</v>
      </c>
      <c r="H1612" s="4" t="n">
        <v>42.65989</v>
      </c>
      <c r="I1612" s="4" t="n">
        <v>-84.07316</v>
      </c>
      <c r="J1612" s="4" t="s">
        <v>6647</v>
      </c>
      <c r="K1612" s="6" t="str">
        <f aca="false">HYPERLINK("https://www.google.com/search?q=Fowlerville+District+Library+Fowlerville+MI+library+website","Search")</f>
        <v>Search</v>
      </c>
      <c r="L1612" s="7"/>
      <c r="M1612" s="7"/>
    </row>
    <row r="1613" customFormat="false" ht="15" hidden="false" customHeight="true" outlineLevel="0" collapsed="false">
      <c r="A1613" s="4" t="s">
        <v>6375</v>
      </c>
      <c r="B1613" s="4" t="s">
        <v>6648</v>
      </c>
      <c r="C1613" s="4" t="s">
        <v>6649</v>
      </c>
      <c r="D1613" s="4" t="s">
        <v>3792</v>
      </c>
      <c r="E1613" s="5" t="n">
        <v>14726</v>
      </c>
      <c r="F1613" s="4" t="n">
        <v>1</v>
      </c>
      <c r="G1613" s="4" t="s">
        <v>6650</v>
      </c>
      <c r="H1613" s="4" t="n">
        <v>42.53878</v>
      </c>
      <c r="I1613" s="4" t="n">
        <v>-82.95527</v>
      </c>
      <c r="J1613" s="4" t="s">
        <v>6651</v>
      </c>
      <c r="K1613" s="6" t="str">
        <f aca="false">HYPERLINK("https://www.google.com/search?q=Fraser+Public+Library+Fraser+MI+library+website","Search")</f>
        <v>Search</v>
      </c>
      <c r="L1613" s="7"/>
      <c r="M1613" s="7"/>
    </row>
    <row r="1614" customFormat="false" ht="15" hidden="false" customHeight="true" outlineLevel="0" collapsed="false">
      <c r="A1614" s="4" t="s">
        <v>6375</v>
      </c>
      <c r="B1614" s="4" t="s">
        <v>6652</v>
      </c>
      <c r="C1614" s="4" t="s">
        <v>863</v>
      </c>
      <c r="D1614" s="4" t="s">
        <v>6653</v>
      </c>
      <c r="E1614" s="5" t="n">
        <v>13885</v>
      </c>
      <c r="F1614" s="4" t="n">
        <v>1</v>
      </c>
      <c r="G1614" s="4" t="s">
        <v>6654</v>
      </c>
      <c r="H1614" s="4" t="n">
        <v>43.4671</v>
      </c>
      <c r="I1614" s="4" t="n">
        <v>-85.94243</v>
      </c>
      <c r="J1614" s="4" t="s">
        <v>6655</v>
      </c>
      <c r="K1614" s="6" t="str">
        <f aca="false">HYPERLINK("https://www.google.com/search?q=Fremont+Area+District+Library+Fremont+MI+library+website","Search")</f>
        <v>Search</v>
      </c>
      <c r="L1614" s="7"/>
      <c r="M1614" s="7"/>
    </row>
    <row r="1615" customFormat="false" ht="15" hidden="false" customHeight="true" outlineLevel="0" collapsed="false">
      <c r="A1615" s="4" t="s">
        <v>6375</v>
      </c>
      <c r="B1615" s="4" t="s">
        <v>6656</v>
      </c>
      <c r="C1615" s="4" t="s">
        <v>6657</v>
      </c>
      <c r="D1615" s="4" t="s">
        <v>6658</v>
      </c>
      <c r="E1615" s="5" t="n">
        <v>14575</v>
      </c>
      <c r="F1615" s="4" t="n">
        <v>1</v>
      </c>
      <c r="G1615" s="4" t="s">
        <v>6659</v>
      </c>
      <c r="H1615" s="4" t="n">
        <v>43.12436</v>
      </c>
      <c r="I1615" s="4" t="n">
        <v>-86.1554</v>
      </c>
      <c r="J1615" s="4" t="s">
        <v>6660</v>
      </c>
      <c r="K1615" s="6" t="str">
        <f aca="false">HYPERLINK("https://www.google.com/search?q=Fruitport+District+Library+Fruitport+MI+library+website","Search")</f>
        <v>Search</v>
      </c>
      <c r="L1615" s="7"/>
      <c r="M1615" s="7"/>
    </row>
    <row r="1616" customFormat="false" ht="15" hidden="false" customHeight="true" outlineLevel="0" collapsed="false">
      <c r="A1616" s="4" t="s">
        <v>6375</v>
      </c>
      <c r="B1616" s="4" t="s">
        <v>6661</v>
      </c>
      <c r="C1616" s="4" t="s">
        <v>3214</v>
      </c>
      <c r="D1616" s="4" t="s">
        <v>2849</v>
      </c>
      <c r="E1616" s="5" t="n">
        <v>27380</v>
      </c>
      <c r="F1616" s="4" t="n">
        <v>1</v>
      </c>
      <c r="G1616" s="4" t="s">
        <v>6662</v>
      </c>
      <c r="H1616" s="4" t="n">
        <v>42.33228</v>
      </c>
      <c r="I1616" s="4" t="n">
        <v>-83.35432</v>
      </c>
      <c r="J1616" s="4" t="s">
        <v>6663</v>
      </c>
      <c r="K1616" s="6" t="str">
        <f aca="false">HYPERLINK("https://www.google.com/search?q=Garden+City+Public+Library+Garden+City+MI+library+website","Search")</f>
        <v>Search</v>
      </c>
      <c r="L1616" s="7"/>
      <c r="M1616" s="7"/>
    </row>
    <row r="1617" customFormat="false" ht="15" hidden="false" customHeight="true" outlineLevel="0" collapsed="false">
      <c r="A1617" s="4" t="s">
        <v>6375</v>
      </c>
      <c r="B1617" s="4" t="s">
        <v>6664</v>
      </c>
      <c r="C1617" s="4" t="s">
        <v>6665</v>
      </c>
      <c r="D1617" s="4" t="s">
        <v>4001</v>
      </c>
      <c r="E1617" s="5" t="n">
        <v>12374</v>
      </c>
      <c r="F1617" s="4" t="n">
        <v>1</v>
      </c>
      <c r="G1617" s="4" t="s">
        <v>6666</v>
      </c>
      <c r="H1617" s="4" t="n">
        <v>42.87085</v>
      </c>
      <c r="I1617" s="4" t="n">
        <v>-85.86437</v>
      </c>
      <c r="J1617" s="4" t="s">
        <v>6667</v>
      </c>
      <c r="K1617" s="6" t="str">
        <f aca="false">HYPERLINK("https://www.google.com/search?q=Gary+Byker+Memorial+Library+Of+Hudsonville+Hudsonville+MI+library+website","Search")</f>
        <v>Search</v>
      </c>
      <c r="L1617" s="7"/>
      <c r="M1617" s="7"/>
    </row>
    <row r="1618" customFormat="false" ht="15" hidden="false" customHeight="true" outlineLevel="0" collapsed="false">
      <c r="A1618" s="4" t="s">
        <v>6375</v>
      </c>
      <c r="B1618" s="4" t="s">
        <v>6668</v>
      </c>
      <c r="C1618" s="4" t="s">
        <v>6640</v>
      </c>
      <c r="D1618" s="4" t="s">
        <v>6641</v>
      </c>
      <c r="E1618" s="5" t="n">
        <v>334645</v>
      </c>
      <c r="F1618" s="4" t="n">
        <v>19</v>
      </c>
      <c r="G1618" s="4" t="s">
        <v>6669</v>
      </c>
      <c r="H1618" s="4" t="n">
        <v>43.046</v>
      </c>
      <c r="I1618" s="4" t="n">
        <v>-83.76026</v>
      </c>
      <c r="J1618" s="4" t="s">
        <v>6670</v>
      </c>
      <c r="K1618" s="6" t="str">
        <f aca="false">HYPERLINK("https://www.google.com/search?q=Genesee+District+Library+Flint+MI+library+website","Search")</f>
        <v>Search</v>
      </c>
      <c r="L1618" s="7"/>
      <c r="M1618" s="8" t="str">
        <f aca="false">HYPERLINK("https://thegdl.overdrive.com","https://thegdl.overdrive.com")</f>
        <v>https://thegdl.overdrive.com</v>
      </c>
    </row>
    <row r="1619" customFormat="false" ht="15" hidden="false" customHeight="true" outlineLevel="0" collapsed="false">
      <c r="A1619" s="4" t="s">
        <v>6375</v>
      </c>
      <c r="B1619" s="4" t="s">
        <v>6671</v>
      </c>
      <c r="C1619" s="4" t="s">
        <v>6672</v>
      </c>
      <c r="D1619" s="4" t="s">
        <v>4001</v>
      </c>
      <c r="E1619" s="5" t="n">
        <v>54091</v>
      </c>
      <c r="F1619" s="4" t="n">
        <v>1</v>
      </c>
      <c r="G1619" s="4" t="s">
        <v>6673</v>
      </c>
      <c r="H1619" s="4" t="n">
        <v>42.90718</v>
      </c>
      <c r="I1619" s="4" t="n">
        <v>-85.8199</v>
      </c>
      <c r="J1619" s="4" t="s">
        <v>6674</v>
      </c>
      <c r="K1619" s="6" t="str">
        <f aca="false">HYPERLINK("https://www.google.com/search?q=Georgetown+Township+Public+Library+Jenison+MI+library+website","Search")</f>
        <v>Search</v>
      </c>
      <c r="L1619" s="7"/>
      <c r="M1619" s="7"/>
    </row>
    <row r="1620" customFormat="false" ht="15" hidden="false" customHeight="true" outlineLevel="0" collapsed="false">
      <c r="A1620" s="4" t="s">
        <v>6375</v>
      </c>
      <c r="B1620" s="4" t="s">
        <v>6675</v>
      </c>
      <c r="C1620" s="4" t="s">
        <v>6676</v>
      </c>
      <c r="D1620" s="4" t="s">
        <v>1619</v>
      </c>
      <c r="E1620" s="5" t="n">
        <v>11421</v>
      </c>
      <c r="F1620" s="4" t="n">
        <v>1</v>
      </c>
      <c r="G1620" s="4" t="s">
        <v>6677</v>
      </c>
      <c r="H1620" s="4" t="n">
        <v>45.84423</v>
      </c>
      <c r="I1620" s="4" t="n">
        <v>-87.0211</v>
      </c>
      <c r="J1620" s="4" t="s">
        <v>6678</v>
      </c>
      <c r="K1620" s="6" t="str">
        <f aca="false">HYPERLINK("https://www.google.com/search?q=Gladstone+Area+School+%26+Public+Library+Gladstone+MI+library+website","Search")</f>
        <v>Search</v>
      </c>
      <c r="L1620" s="7"/>
      <c r="M1620" s="7"/>
    </row>
    <row r="1621" customFormat="false" ht="15" hidden="false" customHeight="true" outlineLevel="0" collapsed="false">
      <c r="A1621" s="4" t="s">
        <v>6375</v>
      </c>
      <c r="B1621" s="4" t="s">
        <v>6679</v>
      </c>
      <c r="C1621" s="4" t="s">
        <v>6680</v>
      </c>
      <c r="D1621" s="4" t="s">
        <v>6680</v>
      </c>
      <c r="E1621" s="5" t="n">
        <v>25386</v>
      </c>
      <c r="F1621" s="4" t="n">
        <v>2</v>
      </c>
      <c r="G1621" s="4" t="s">
        <v>6681</v>
      </c>
      <c r="H1621" s="4" t="n">
        <v>43.98446</v>
      </c>
      <c r="I1621" s="4" t="n">
        <v>-84.47041</v>
      </c>
      <c r="J1621" s="4" t="s">
        <v>6682</v>
      </c>
      <c r="K1621" s="6" t="str">
        <f aca="false">HYPERLINK("https://www.google.com/search?q=Gladwin+County+District+Library+Gladwin+MI+library+website","Search")</f>
        <v>Search</v>
      </c>
      <c r="L1621" s="7"/>
      <c r="M1621" s="7"/>
    </row>
    <row r="1622" customFormat="false" ht="15" hidden="false" customHeight="true" outlineLevel="0" collapsed="false">
      <c r="A1622" s="4" t="s">
        <v>6375</v>
      </c>
      <c r="B1622" s="4" t="s">
        <v>6683</v>
      </c>
      <c r="C1622" s="4" t="s">
        <v>6684</v>
      </c>
      <c r="D1622" s="4" t="s">
        <v>6684</v>
      </c>
      <c r="E1622" s="5" t="n">
        <v>76758</v>
      </c>
      <c r="F1622" s="4" t="n">
        <v>1</v>
      </c>
      <c r="G1622" s="4" t="s">
        <v>6685</v>
      </c>
      <c r="H1622" s="4" t="n">
        <v>43.62522</v>
      </c>
      <c r="I1622" s="4" t="n">
        <v>-84.24817</v>
      </c>
      <c r="J1622" s="4" t="s">
        <v>6686</v>
      </c>
      <c r="K1622" s="6" t="str">
        <f aca="false">HYPERLINK("https://www.google.com/search?q=Grace+A.+Dow+Memorial+Library+Midland+MI+library+website","Search")</f>
        <v>Search</v>
      </c>
      <c r="L1622" s="7"/>
      <c r="M1622" s="8" t="str">
        <f aca="false">HYPERLINK("https://midland-mi.overdrive.com","https://midland-mi.overdrive.com")</f>
        <v>https://midland-mi.overdrive.com</v>
      </c>
    </row>
    <row r="1623" customFormat="false" ht="15" hidden="false" customHeight="true" outlineLevel="0" collapsed="false">
      <c r="A1623" s="4" t="s">
        <v>6375</v>
      </c>
      <c r="B1623" s="4" t="s">
        <v>6687</v>
      </c>
      <c r="C1623" s="4" t="s">
        <v>6688</v>
      </c>
      <c r="D1623" s="4" t="s">
        <v>6519</v>
      </c>
      <c r="E1623" s="5" t="n">
        <v>16280</v>
      </c>
      <c r="F1623" s="4" t="n">
        <v>1</v>
      </c>
      <c r="G1623" s="4" t="s">
        <v>6689</v>
      </c>
      <c r="H1623" s="4" t="n">
        <v>42.75252</v>
      </c>
      <c r="I1623" s="4" t="n">
        <v>-84.74531</v>
      </c>
      <c r="J1623" s="4" t="s">
        <v>6690</v>
      </c>
      <c r="K1623" s="6" t="str">
        <f aca="false">HYPERLINK("https://www.google.com/search?q=Grand+Ledge+Area+District+Library+Grand+Ledge+MI+library+website","Search")</f>
        <v>Search</v>
      </c>
      <c r="L1623" s="7"/>
      <c r="M1623" s="7"/>
    </row>
    <row r="1624" customFormat="false" ht="15" hidden="false" customHeight="true" outlineLevel="0" collapsed="false">
      <c r="A1624" s="4" t="s">
        <v>6375</v>
      </c>
      <c r="B1624" s="4" t="s">
        <v>6691</v>
      </c>
      <c r="C1624" s="4" t="s">
        <v>6692</v>
      </c>
      <c r="D1624" s="4" t="s">
        <v>2230</v>
      </c>
      <c r="E1624" s="5" t="n">
        <v>198917</v>
      </c>
      <c r="F1624" s="4" t="n">
        <v>8</v>
      </c>
      <c r="G1624" s="4" t="s">
        <v>6693</v>
      </c>
      <c r="H1624" s="4" t="n">
        <v>42.96492</v>
      </c>
      <c r="I1624" s="4" t="n">
        <v>-85.66639</v>
      </c>
      <c r="J1624" s="4" t="s">
        <v>6694</v>
      </c>
      <c r="K1624" s="6" t="str">
        <f aca="false">HYPERLINK("https://www.google.com/search?q=Grand+Rapids+Public+Library+Grand+Rapids+MI+library+website","Search")</f>
        <v>Search</v>
      </c>
      <c r="L1624" s="7"/>
      <c r="M1624" s="8" t="str">
        <f aca="false">HYPERLINK("https://grpl.overdrive.com","https://grpl.overdrive.com")</f>
        <v>https://grpl.overdrive.com</v>
      </c>
    </row>
    <row r="1625" customFormat="false" ht="15" hidden="false" customHeight="true" outlineLevel="0" collapsed="false">
      <c r="A1625" s="4" t="s">
        <v>6375</v>
      </c>
      <c r="B1625" s="4" t="s">
        <v>6695</v>
      </c>
      <c r="C1625" s="4" t="s">
        <v>6696</v>
      </c>
      <c r="D1625" s="4" t="s">
        <v>2849</v>
      </c>
      <c r="E1625" s="5" t="n">
        <v>52496</v>
      </c>
      <c r="F1625" s="4" t="n">
        <v>3</v>
      </c>
      <c r="G1625" s="4" t="s">
        <v>6697</v>
      </c>
      <c r="H1625" s="4" t="n">
        <v>42.39397</v>
      </c>
      <c r="I1625" s="4" t="n">
        <v>-82.90542</v>
      </c>
      <c r="J1625" s="4" t="s">
        <v>6698</v>
      </c>
      <c r="K1625" s="6" t="str">
        <f aca="false">HYPERLINK("https://www.google.com/search?q=Grosse+Pointe+Public+Library+Grosse+Pointe+Farms+MI+library+website","Search")</f>
        <v>Search</v>
      </c>
      <c r="L1625" s="7"/>
      <c r="M1625" s="7"/>
    </row>
    <row r="1626" customFormat="false" ht="15" hidden="false" customHeight="true" outlineLevel="0" collapsed="false">
      <c r="A1626" s="4" t="s">
        <v>6375</v>
      </c>
      <c r="B1626" s="4" t="s">
        <v>6699</v>
      </c>
      <c r="C1626" s="4" t="s">
        <v>6658</v>
      </c>
      <c r="D1626" s="4" t="s">
        <v>6658</v>
      </c>
      <c r="E1626" s="5" t="n">
        <v>40907</v>
      </c>
      <c r="F1626" s="4" t="n">
        <v>1</v>
      </c>
      <c r="G1626" s="4" t="s">
        <v>6700</v>
      </c>
      <c r="H1626" s="4" t="n">
        <v>43.2339</v>
      </c>
      <c r="I1626" s="4" t="n">
        <v>-86.25131</v>
      </c>
      <c r="J1626" s="4" t="s">
        <v>6701</v>
      </c>
      <c r="K1626" s="6" t="str">
        <f aca="false">HYPERLINK("https://www.google.com/search?q=Hackley+Public+Library+Muskegon+MI+library+website","Search")</f>
        <v>Search</v>
      </c>
      <c r="L1626" s="7"/>
      <c r="M1626" s="7"/>
    </row>
    <row r="1627" customFormat="false" ht="15" hidden="false" customHeight="true" outlineLevel="0" collapsed="false">
      <c r="A1627" s="4" t="s">
        <v>6375</v>
      </c>
      <c r="B1627" s="4" t="s">
        <v>6702</v>
      </c>
      <c r="C1627" s="4" t="s">
        <v>461</v>
      </c>
      <c r="D1627" s="4" t="s">
        <v>3979</v>
      </c>
      <c r="E1627" s="5" t="n">
        <v>21259</v>
      </c>
      <c r="F1627" s="4" t="n">
        <v>1</v>
      </c>
      <c r="G1627" s="4" t="s">
        <v>6703</v>
      </c>
      <c r="H1627" s="4" t="n">
        <v>42.45099</v>
      </c>
      <c r="I1627" s="4" t="n">
        <v>-83.81801</v>
      </c>
      <c r="J1627" s="4" t="s">
        <v>6704</v>
      </c>
      <c r="K1627" s="6" t="str">
        <f aca="false">HYPERLINK("https://www.google.com/search?q=Hamburg+Township+Library+Hamburg+MI+library+website","Search")</f>
        <v>Search</v>
      </c>
      <c r="L1627" s="7"/>
      <c r="M1627" s="7"/>
    </row>
    <row r="1628" customFormat="false" ht="15" hidden="false" customHeight="true" outlineLevel="0" collapsed="false">
      <c r="A1628" s="4" t="s">
        <v>6375</v>
      </c>
      <c r="B1628" s="4" t="s">
        <v>6705</v>
      </c>
      <c r="C1628" s="4" t="s">
        <v>6706</v>
      </c>
      <c r="D1628" s="4" t="s">
        <v>2849</v>
      </c>
      <c r="E1628" s="5" t="n">
        <v>28433</v>
      </c>
      <c r="F1628" s="4" t="n">
        <v>1</v>
      </c>
      <c r="G1628" s="4" t="s">
        <v>6707</v>
      </c>
      <c r="H1628" s="4" t="n">
        <v>42.39841</v>
      </c>
      <c r="I1628" s="4" t="n">
        <v>-83.06356</v>
      </c>
      <c r="J1628" s="4" t="s">
        <v>6708</v>
      </c>
      <c r="K1628" s="6" t="str">
        <f aca="false">HYPERLINK("https://www.google.com/search?q=Hamtramck+Public+Library+Hamtramck+MI+library+website","Search")</f>
        <v>Search</v>
      </c>
      <c r="L1628" s="7"/>
      <c r="M1628" s="7"/>
    </row>
    <row r="1629" customFormat="false" ht="15" hidden="false" customHeight="true" outlineLevel="0" collapsed="false">
      <c r="A1629" s="4" t="s">
        <v>6375</v>
      </c>
      <c r="B1629" s="4" t="s">
        <v>6709</v>
      </c>
      <c r="C1629" s="4" t="s">
        <v>6710</v>
      </c>
      <c r="D1629" s="4" t="s">
        <v>2849</v>
      </c>
      <c r="E1629" s="5" t="n">
        <v>15492</v>
      </c>
      <c r="F1629" s="4" t="n">
        <v>1</v>
      </c>
      <c r="G1629" s="4" t="s">
        <v>6711</v>
      </c>
      <c r="H1629" s="4" t="n">
        <v>42.43241</v>
      </c>
      <c r="I1629" s="4" t="n">
        <v>-82.9238</v>
      </c>
      <c r="J1629" s="4" t="s">
        <v>6712</v>
      </c>
      <c r="K1629" s="6" t="str">
        <f aca="false">HYPERLINK("https://www.google.com/search?q=Harper+Woods+Public+Library+Harper+Woods+MI+library+website","Search")</f>
        <v>Search</v>
      </c>
      <c r="L1629" s="7"/>
      <c r="M1629" s="7"/>
    </row>
    <row r="1630" customFormat="false" ht="15" hidden="false" customHeight="true" outlineLevel="0" collapsed="false">
      <c r="A1630" s="4" t="s">
        <v>6375</v>
      </c>
      <c r="B1630" s="4" t="s">
        <v>6713</v>
      </c>
      <c r="C1630" s="4" t="s">
        <v>485</v>
      </c>
      <c r="D1630" s="4" t="s">
        <v>6714</v>
      </c>
      <c r="E1630" s="5" t="n">
        <v>12805</v>
      </c>
      <c r="F1630" s="4" t="n">
        <v>1</v>
      </c>
      <c r="G1630" s="4" t="s">
        <v>6715</v>
      </c>
      <c r="H1630" s="4" t="n">
        <v>44.01971</v>
      </c>
      <c r="I1630" s="4" t="n">
        <v>-84.80096</v>
      </c>
      <c r="J1630" s="4" t="s">
        <v>6716</v>
      </c>
      <c r="K1630" s="6" t="str">
        <f aca="false">HYPERLINK("https://www.google.com/search?q=Harrison+District+Library+Harrison+MI+library+website","Search")</f>
        <v>Search</v>
      </c>
      <c r="L1630" s="7"/>
      <c r="M1630" s="7"/>
    </row>
    <row r="1631" customFormat="false" ht="15" hidden="false" customHeight="true" outlineLevel="0" collapsed="false">
      <c r="A1631" s="4" t="s">
        <v>6375</v>
      </c>
      <c r="B1631" s="4" t="s">
        <v>6717</v>
      </c>
      <c r="C1631" s="4" t="s">
        <v>6718</v>
      </c>
      <c r="D1631" s="4" t="s">
        <v>3792</v>
      </c>
      <c r="E1631" s="5" t="n">
        <v>24314</v>
      </c>
      <c r="F1631" s="4" t="n">
        <v>1</v>
      </c>
      <c r="G1631" s="4" t="s">
        <v>6719</v>
      </c>
      <c r="H1631" s="4" t="n">
        <v>42.5785</v>
      </c>
      <c r="I1631" s="4" t="n">
        <v>-82.85081</v>
      </c>
      <c r="J1631" s="4" t="s">
        <v>6720</v>
      </c>
      <c r="K1631" s="6" t="str">
        <f aca="false">HYPERLINK("https://www.google.com/search?q=Harrison+Township+Public+Library+Harrison+Township+MI+library+website","Search")</f>
        <v>Search</v>
      </c>
      <c r="L1631" s="7"/>
      <c r="M1631" s="7"/>
    </row>
    <row r="1632" customFormat="false" ht="15" hidden="false" customHeight="true" outlineLevel="0" collapsed="false">
      <c r="A1632" s="4" t="s">
        <v>6375</v>
      </c>
      <c r="B1632" s="4" t="s">
        <v>6721</v>
      </c>
      <c r="C1632" s="4" t="s">
        <v>6722</v>
      </c>
      <c r="D1632" s="4" t="s">
        <v>6723</v>
      </c>
      <c r="E1632" s="5" t="n">
        <v>13514</v>
      </c>
      <c r="F1632" s="4" t="n">
        <v>1</v>
      </c>
      <c r="G1632" s="4" t="s">
        <v>6724</v>
      </c>
      <c r="H1632" s="4" t="n">
        <v>42.6488</v>
      </c>
      <c r="I1632" s="4" t="n">
        <v>-85.28495</v>
      </c>
      <c r="J1632" s="4" t="s">
        <v>6725</v>
      </c>
      <c r="K1632" s="6" t="str">
        <f aca="false">HYPERLINK("https://www.google.com/search?q=Hastings+Public+Library+Hastings+MI+library+website","Search")</f>
        <v>Search</v>
      </c>
      <c r="L1632" s="7"/>
      <c r="M1632" s="7"/>
    </row>
    <row r="1633" customFormat="false" ht="15" hidden="false" customHeight="true" outlineLevel="0" collapsed="false">
      <c r="A1633" s="4" t="s">
        <v>6375</v>
      </c>
      <c r="B1633" s="4" t="s">
        <v>6726</v>
      </c>
      <c r="C1633" s="4" t="s">
        <v>6727</v>
      </c>
      <c r="D1633" s="4" t="s">
        <v>1246</v>
      </c>
      <c r="E1633" s="5" t="n">
        <v>14983</v>
      </c>
      <c r="F1633" s="4" t="n">
        <v>1</v>
      </c>
      <c r="G1633" s="4" t="s">
        <v>6728</v>
      </c>
      <c r="H1633" s="4" t="n">
        <v>42.46145</v>
      </c>
      <c r="I1633" s="4" t="n">
        <v>-83.10331</v>
      </c>
      <c r="J1633" s="4" t="s">
        <v>6729</v>
      </c>
      <c r="K1633" s="6" t="str">
        <f aca="false">HYPERLINK("https://www.google.com/search?q=Hazel+Park+Memorial+District+Library+Hazel+Park+MI+library+website","Search")</f>
        <v>Search</v>
      </c>
      <c r="L1633" s="7"/>
      <c r="M1633" s="7"/>
    </row>
    <row r="1634" customFormat="false" ht="15" hidden="false" customHeight="true" outlineLevel="0" collapsed="false">
      <c r="A1634" s="4" t="s">
        <v>6375</v>
      </c>
      <c r="B1634" s="4" t="s">
        <v>6730</v>
      </c>
      <c r="C1634" s="4" t="s">
        <v>6731</v>
      </c>
      <c r="D1634" s="4" t="s">
        <v>4001</v>
      </c>
      <c r="E1634" s="5" t="n">
        <v>109385</v>
      </c>
      <c r="F1634" s="4" t="n">
        <v>2</v>
      </c>
      <c r="G1634" s="4" t="s">
        <v>6732</v>
      </c>
      <c r="H1634" s="4" t="n">
        <v>42.7862</v>
      </c>
      <c r="I1634" s="4" t="n">
        <v>-86.10903</v>
      </c>
      <c r="J1634" s="4" t="s">
        <v>6733</v>
      </c>
      <c r="K1634" s="6" t="str">
        <f aca="false">HYPERLINK("https://www.google.com/search?q=Herrick+District+Library+Holland+MI+library+website","Search")</f>
        <v>Search</v>
      </c>
      <c r="L1634" s="7"/>
      <c r="M1634" s="7"/>
    </row>
    <row r="1635" customFormat="false" ht="15" hidden="false" customHeight="true" outlineLevel="0" collapsed="false">
      <c r="A1635" s="4" t="s">
        <v>6375</v>
      </c>
      <c r="B1635" s="4" t="s">
        <v>6734</v>
      </c>
      <c r="C1635" s="4" t="s">
        <v>6735</v>
      </c>
      <c r="D1635" s="4" t="s">
        <v>1246</v>
      </c>
      <c r="E1635" s="5" t="n">
        <v>19172</v>
      </c>
      <c r="F1635" s="4" t="n">
        <v>1</v>
      </c>
      <c r="G1635" s="4" t="s">
        <v>6736</v>
      </c>
      <c r="H1635" s="4" t="n">
        <v>42.64389</v>
      </c>
      <c r="I1635" s="4" t="n">
        <v>-83.61107</v>
      </c>
      <c r="J1635" s="4" t="s">
        <v>6737</v>
      </c>
      <c r="K1635" s="6" t="str">
        <f aca="false">HYPERLINK("https://www.google.com/search?q=Highland+Township+Public+Library+Highland+MI+library+website","Search")</f>
        <v>Search</v>
      </c>
      <c r="L1635" s="7"/>
      <c r="M1635" s="7"/>
    </row>
    <row r="1636" customFormat="false" ht="15" hidden="false" customHeight="true" outlineLevel="0" collapsed="false">
      <c r="A1636" s="4" t="s">
        <v>6375</v>
      </c>
      <c r="B1636" s="4" t="s">
        <v>6738</v>
      </c>
      <c r="C1636" s="4" t="s">
        <v>6739</v>
      </c>
      <c r="D1636" s="4" t="s">
        <v>6739</v>
      </c>
      <c r="E1636" s="5" t="n">
        <v>11546</v>
      </c>
      <c r="F1636" s="4" t="n">
        <v>1</v>
      </c>
      <c r="G1636" s="4" t="s">
        <v>6740</v>
      </c>
      <c r="H1636" s="4" t="n">
        <v>41.92002</v>
      </c>
      <c r="I1636" s="4" t="n">
        <v>-84.63414</v>
      </c>
      <c r="J1636" s="4" t="s">
        <v>6741</v>
      </c>
      <c r="K1636" s="6" t="str">
        <f aca="false">HYPERLINK("https://www.google.com/search?q=Hillsdale+Community+Library+Hillsdale+MI+library+website","Search")</f>
        <v>Search</v>
      </c>
      <c r="L1636" s="7"/>
      <c r="M1636" s="7"/>
    </row>
    <row r="1637" customFormat="false" ht="15" hidden="false" customHeight="true" outlineLevel="0" collapsed="false">
      <c r="A1637" s="4" t="s">
        <v>6375</v>
      </c>
      <c r="B1637" s="4" t="s">
        <v>6742</v>
      </c>
      <c r="C1637" s="4" t="s">
        <v>6743</v>
      </c>
      <c r="D1637" s="4" t="s">
        <v>1246</v>
      </c>
      <c r="E1637" s="5" t="n">
        <v>24106</v>
      </c>
      <c r="F1637" s="4" t="n">
        <v>1</v>
      </c>
      <c r="G1637" s="4" t="s">
        <v>6744</v>
      </c>
      <c r="H1637" s="4" t="n">
        <v>42.80463</v>
      </c>
      <c r="I1637" s="4" t="n">
        <v>-83.62806</v>
      </c>
      <c r="J1637" s="4" t="s">
        <v>6745</v>
      </c>
      <c r="K1637" s="6" t="str">
        <f aca="false">HYPERLINK("https://www.google.com/search?q=Holly+Township+Library+Holly+MI+library+website","Search")</f>
        <v>Search</v>
      </c>
      <c r="L1637" s="7"/>
      <c r="M1637" s="7"/>
    </row>
    <row r="1638" customFormat="false" ht="15" hidden="false" customHeight="true" outlineLevel="0" collapsed="false">
      <c r="A1638" s="4" t="s">
        <v>6375</v>
      </c>
      <c r="B1638" s="4" t="s">
        <v>6746</v>
      </c>
      <c r="C1638" s="4" t="s">
        <v>6747</v>
      </c>
      <c r="D1638" s="4" t="s">
        <v>6748</v>
      </c>
      <c r="E1638" s="5" t="n">
        <v>14906</v>
      </c>
      <c r="F1638" s="4" t="n">
        <v>1</v>
      </c>
      <c r="G1638" s="4" t="s">
        <v>6749</v>
      </c>
      <c r="H1638" s="4" t="n">
        <v>44.29822</v>
      </c>
      <c r="I1638" s="4" t="n">
        <v>-84.72753</v>
      </c>
      <c r="J1638" s="4" t="s">
        <v>6750</v>
      </c>
      <c r="K1638" s="6" t="str">
        <f aca="false">HYPERLINK("https://www.google.com/search?q=Houghton+Lake+Public+Library+Houghton+Lake+MI+library+website","Search")</f>
        <v>Search</v>
      </c>
      <c r="L1638" s="7"/>
      <c r="M1638" s="7"/>
    </row>
    <row r="1639" customFormat="false" ht="15" hidden="false" customHeight="true" outlineLevel="0" collapsed="false">
      <c r="A1639" s="4" t="s">
        <v>6375</v>
      </c>
      <c r="B1639" s="4" t="s">
        <v>6751</v>
      </c>
      <c r="C1639" s="4" t="s">
        <v>6752</v>
      </c>
      <c r="D1639" s="4" t="s">
        <v>4001</v>
      </c>
      <c r="E1639" s="5" t="n">
        <v>25071</v>
      </c>
      <c r="F1639" s="4" t="n">
        <v>1</v>
      </c>
      <c r="G1639" s="4" t="s">
        <v>6753</v>
      </c>
      <c r="H1639" s="4" t="n">
        <v>42.812</v>
      </c>
      <c r="I1639" s="4" t="n">
        <v>-86.0141</v>
      </c>
      <c r="J1639" s="4" t="s">
        <v>6754</v>
      </c>
      <c r="K1639" s="6" t="str">
        <f aca="false">HYPERLINK("https://www.google.com/search?q=Howard+Miller+Library+Zeeland+MI+library+website","Search")</f>
        <v>Search</v>
      </c>
      <c r="L1639" s="7"/>
      <c r="M1639" s="7"/>
    </row>
    <row r="1640" customFormat="false" ht="15" hidden="false" customHeight="true" outlineLevel="0" collapsed="false">
      <c r="A1640" s="4" t="s">
        <v>6375</v>
      </c>
      <c r="B1640" s="4" t="s">
        <v>6755</v>
      </c>
      <c r="C1640" s="4" t="s">
        <v>6756</v>
      </c>
      <c r="D1640" s="4" t="s">
        <v>3979</v>
      </c>
      <c r="E1640" s="5" t="n">
        <v>58718</v>
      </c>
      <c r="F1640" s="4" t="n">
        <v>1</v>
      </c>
      <c r="G1640" s="4" t="s">
        <v>6757</v>
      </c>
      <c r="H1640" s="4" t="n">
        <v>42.60813</v>
      </c>
      <c r="I1640" s="4" t="n">
        <v>-83.93221</v>
      </c>
      <c r="J1640" s="4" t="s">
        <v>6758</v>
      </c>
      <c r="K1640" s="6" t="str">
        <f aca="false">HYPERLINK("https://www.google.com/search?q=Howell+Carnegie+District+Library+Howell+MI+library+website","Search")</f>
        <v>Search</v>
      </c>
      <c r="L1640" s="7"/>
      <c r="M1640" s="7"/>
    </row>
    <row r="1641" customFormat="false" ht="15" hidden="false" customHeight="true" outlineLevel="0" collapsed="false">
      <c r="A1641" s="4" t="s">
        <v>6375</v>
      </c>
      <c r="B1641" s="4" t="s">
        <v>6759</v>
      </c>
      <c r="C1641" s="4" t="s">
        <v>6412</v>
      </c>
      <c r="D1641" s="4" t="s">
        <v>6412</v>
      </c>
      <c r="E1641" s="5" t="n">
        <v>23680</v>
      </c>
      <c r="F1641" s="4" t="n">
        <v>1</v>
      </c>
      <c r="G1641" s="4" t="s">
        <v>6760</v>
      </c>
      <c r="H1641" s="4" t="n">
        <v>42.98289</v>
      </c>
      <c r="I1641" s="4" t="n">
        <v>-85.062</v>
      </c>
      <c r="J1641" s="4" t="s">
        <v>6761</v>
      </c>
      <c r="K1641" s="6" t="str">
        <f aca="false">HYPERLINK("https://www.google.com/search?q=Ionia+Community+Library+Ionia+MI+library+website","Search")</f>
        <v>Search</v>
      </c>
      <c r="L1641" s="7"/>
      <c r="M1641" s="7"/>
    </row>
    <row r="1642" customFormat="false" ht="15" hidden="false" customHeight="true" outlineLevel="0" collapsed="false">
      <c r="A1642" s="4" t="s">
        <v>6375</v>
      </c>
      <c r="B1642" s="4" t="s">
        <v>6762</v>
      </c>
      <c r="C1642" s="4" t="s">
        <v>6763</v>
      </c>
      <c r="D1642" s="4" t="s">
        <v>6764</v>
      </c>
      <c r="E1642" s="5" t="n">
        <v>40239</v>
      </c>
      <c r="F1642" s="4" t="n">
        <v>8</v>
      </c>
      <c r="G1642" s="4" t="s">
        <v>6765</v>
      </c>
      <c r="H1642" s="4" t="n">
        <v>44.28076</v>
      </c>
      <c r="I1642" s="4" t="n">
        <v>-83.49114</v>
      </c>
      <c r="J1642" s="4" t="s">
        <v>6766</v>
      </c>
      <c r="K1642" s="6" t="str">
        <f aca="false">HYPERLINK("https://www.google.com/search?q=Iosco-Arenac+District+Library+East+Tawas+MI+library+website","Search")</f>
        <v>Search</v>
      </c>
      <c r="L1642" s="7"/>
      <c r="M1642" s="7"/>
    </row>
    <row r="1643" customFormat="false" ht="15" hidden="false" customHeight="true" outlineLevel="0" collapsed="false">
      <c r="A1643" s="4" t="s">
        <v>6375</v>
      </c>
      <c r="B1643" s="4" t="s">
        <v>6767</v>
      </c>
      <c r="C1643" s="4" t="s">
        <v>6768</v>
      </c>
      <c r="D1643" s="4" t="s">
        <v>6769</v>
      </c>
      <c r="E1643" s="5" t="n">
        <v>13055</v>
      </c>
      <c r="F1643" s="4" t="n">
        <v>1</v>
      </c>
      <c r="G1643" s="4" t="s">
        <v>6770</v>
      </c>
      <c r="H1643" s="4" t="n">
        <v>46.49149</v>
      </c>
      <c r="I1643" s="4" t="n">
        <v>-87.66937</v>
      </c>
      <c r="J1643" s="4" t="s">
        <v>6771</v>
      </c>
      <c r="K1643" s="6" t="str">
        <f aca="false">HYPERLINK("https://www.google.com/search?q=Ishpeming+Carnegie+Public+Library+Ishpeming+MI+library+website","Search")</f>
        <v>Search</v>
      </c>
      <c r="L1643" s="7"/>
      <c r="M1643" s="7"/>
    </row>
    <row r="1644" customFormat="false" ht="15" hidden="false" customHeight="true" outlineLevel="0" collapsed="false">
      <c r="A1644" s="4" t="s">
        <v>6375</v>
      </c>
      <c r="B1644" s="4" t="s">
        <v>6772</v>
      </c>
      <c r="C1644" s="4" t="s">
        <v>389</v>
      </c>
      <c r="D1644" s="4" t="s">
        <v>389</v>
      </c>
      <c r="E1644" s="5" t="n">
        <v>160366</v>
      </c>
      <c r="F1644" s="4" t="n">
        <v>13</v>
      </c>
      <c r="G1644" s="4" t="s">
        <v>6773</v>
      </c>
      <c r="H1644" s="4" t="n">
        <v>42.24747</v>
      </c>
      <c r="I1644" s="4" t="n">
        <v>-84.41099</v>
      </c>
      <c r="J1644" s="4" t="s">
        <v>6774</v>
      </c>
      <c r="K1644" s="6" t="str">
        <f aca="false">HYPERLINK("https://www.google.com/search?q=Jackson+District+Library+Jackson+MI+library+website","Search")</f>
        <v>Search</v>
      </c>
      <c r="L1644" s="7"/>
      <c r="M1644" s="7"/>
    </row>
    <row r="1645" customFormat="false" ht="15" hidden="false" customHeight="true" outlineLevel="0" collapsed="false">
      <c r="A1645" s="4" t="s">
        <v>6375</v>
      </c>
      <c r="B1645" s="4" t="s">
        <v>6775</v>
      </c>
      <c r="C1645" s="4" t="s">
        <v>6560</v>
      </c>
      <c r="D1645" s="4" t="s">
        <v>6560</v>
      </c>
      <c r="E1645" s="5" t="n">
        <v>127924</v>
      </c>
      <c r="F1645" s="4" t="n">
        <v>5</v>
      </c>
      <c r="G1645" s="4" t="s">
        <v>6776</v>
      </c>
      <c r="H1645" s="4" t="n">
        <v>42.28928</v>
      </c>
      <c r="I1645" s="4" t="n">
        <v>-85.58465</v>
      </c>
      <c r="J1645" s="4" t="s">
        <v>6777</v>
      </c>
      <c r="K1645" s="6" t="str">
        <f aca="false">HYPERLINK("https://www.google.com/search?q=Kalamazoo+Public+Library+Kalamazoo+MI+library+website","Search")</f>
        <v>Search</v>
      </c>
      <c r="L1645" s="7"/>
      <c r="M1645" s="7"/>
    </row>
    <row r="1646" customFormat="false" ht="15" hidden="false" customHeight="true" outlineLevel="0" collapsed="false">
      <c r="A1646" s="4" t="s">
        <v>6375</v>
      </c>
      <c r="B1646" s="4" t="s">
        <v>6778</v>
      </c>
      <c r="C1646" s="4" t="s">
        <v>6779</v>
      </c>
      <c r="D1646" s="4" t="s">
        <v>6779</v>
      </c>
      <c r="E1646" s="5" t="n">
        <v>17939</v>
      </c>
      <c r="F1646" s="4" t="n">
        <v>1</v>
      </c>
      <c r="G1646" s="4" t="s">
        <v>6780</v>
      </c>
      <c r="H1646" s="4" t="n">
        <v>44.73291</v>
      </c>
      <c r="I1646" s="4" t="n">
        <v>-85.17659</v>
      </c>
      <c r="J1646" s="4" t="s">
        <v>6781</v>
      </c>
      <c r="K1646" s="6" t="str">
        <f aca="false">HYPERLINK("https://www.google.com/search?q=Kalkaska+County+Library+Kalkaska+MI+library+website","Search")</f>
        <v>Search</v>
      </c>
      <c r="L1646" s="7"/>
      <c r="M1646" s="7"/>
    </row>
    <row r="1647" customFormat="false" ht="15" hidden="false" customHeight="true" outlineLevel="0" collapsed="false">
      <c r="A1647" s="4" t="s">
        <v>6375</v>
      </c>
      <c r="B1647" s="4" t="s">
        <v>6782</v>
      </c>
      <c r="C1647" s="4" t="s">
        <v>6783</v>
      </c>
      <c r="D1647" s="4" t="s">
        <v>2230</v>
      </c>
      <c r="E1647" s="5" t="n">
        <v>439194</v>
      </c>
      <c r="F1647" s="4" t="n">
        <v>20</v>
      </c>
      <c r="G1647" s="4" t="s">
        <v>6784</v>
      </c>
      <c r="H1647" s="4" t="n">
        <v>43.04784</v>
      </c>
      <c r="I1647" s="4" t="n">
        <v>-85.65353</v>
      </c>
      <c r="J1647" s="4" t="s">
        <v>6785</v>
      </c>
      <c r="K1647" s="6" t="str">
        <f aca="false">HYPERLINK("https://www.google.com/search?q=Kent+District+Library+Comstock+Park+MI+library+website","Search")</f>
        <v>Search</v>
      </c>
      <c r="L1647" s="7"/>
      <c r="M1647" s="7"/>
    </row>
    <row r="1648" customFormat="false" ht="15" hidden="false" customHeight="true" outlineLevel="0" collapsed="false">
      <c r="A1648" s="4" t="s">
        <v>6375</v>
      </c>
      <c r="B1648" s="4" t="s">
        <v>6786</v>
      </c>
      <c r="C1648" s="4" t="s">
        <v>6787</v>
      </c>
      <c r="D1648" s="4" t="s">
        <v>6787</v>
      </c>
      <c r="E1648" s="5" t="n">
        <v>60026</v>
      </c>
      <c r="F1648" s="4" t="n">
        <v>7</v>
      </c>
      <c r="G1648" s="4" t="s">
        <v>6788</v>
      </c>
      <c r="H1648" s="4" t="n">
        <v>43.05046</v>
      </c>
      <c r="I1648" s="4" t="n">
        <v>-83.33356</v>
      </c>
      <c r="J1648" s="4" t="s">
        <v>6789</v>
      </c>
      <c r="K1648" s="6" t="str">
        <f aca="false">HYPERLINK("https://www.google.com/search?q=Lapeer+District+Library+Lapeer+MI+library+website","Search")</f>
        <v>Search</v>
      </c>
      <c r="L1648" s="7"/>
      <c r="M1648" s="7"/>
    </row>
    <row r="1649" customFormat="false" ht="15" hidden="false" customHeight="true" outlineLevel="0" collapsed="false">
      <c r="A1649" s="4" t="s">
        <v>6375</v>
      </c>
      <c r="B1649" s="4" t="s">
        <v>6790</v>
      </c>
      <c r="C1649" s="4" t="s">
        <v>6791</v>
      </c>
      <c r="D1649" s="4" t="s">
        <v>2849</v>
      </c>
      <c r="E1649" s="5" t="n">
        <v>26088</v>
      </c>
      <c r="F1649" s="4" t="n">
        <v>1</v>
      </c>
      <c r="G1649" s="4" t="s">
        <v>6792</v>
      </c>
      <c r="H1649" s="4" t="n">
        <v>42.29217</v>
      </c>
      <c r="I1649" s="4" t="n">
        <v>-83.31301</v>
      </c>
      <c r="J1649" s="4" t="s">
        <v>6793</v>
      </c>
      <c r="K1649" s="6" t="str">
        <f aca="false">HYPERLINK("https://www.google.com/search?q=Leanna+Hicks+Public+Library+Of+Inkster+Inkster+MI+library+website","Search")</f>
        <v>Search</v>
      </c>
      <c r="L1649" s="7"/>
      <c r="M1649" s="7"/>
    </row>
    <row r="1650" customFormat="false" ht="15" hidden="false" customHeight="true" outlineLevel="0" collapsed="false">
      <c r="A1650" s="4" t="s">
        <v>6375</v>
      </c>
      <c r="B1650" s="4" t="s">
        <v>6794</v>
      </c>
      <c r="C1650" s="4" t="s">
        <v>6377</v>
      </c>
      <c r="D1650" s="4" t="s">
        <v>6378</v>
      </c>
      <c r="E1650" s="5" t="n">
        <v>40514</v>
      </c>
      <c r="F1650" s="4" t="n">
        <v>6</v>
      </c>
      <c r="G1650" s="4" t="s">
        <v>6795</v>
      </c>
      <c r="H1650" s="4" t="n">
        <v>41.90545</v>
      </c>
      <c r="I1650" s="4" t="n">
        <v>-84.07605</v>
      </c>
      <c r="J1650" s="4" t="s">
        <v>6796</v>
      </c>
      <c r="K1650" s="6" t="str">
        <f aca="false">HYPERLINK("https://www.google.com/search?q=Lenawee+District+Library+Adrian+MI+library+website","Search")</f>
        <v>Search</v>
      </c>
      <c r="L1650" s="7"/>
      <c r="M1650" s="7"/>
    </row>
    <row r="1651" customFormat="false" ht="15" hidden="false" customHeight="true" outlineLevel="0" collapsed="false">
      <c r="A1651" s="4" t="s">
        <v>6375</v>
      </c>
      <c r="B1651" s="4" t="s">
        <v>6797</v>
      </c>
      <c r="C1651" s="4" t="s">
        <v>1802</v>
      </c>
      <c r="D1651" s="4" t="s">
        <v>3792</v>
      </c>
      <c r="E1651" s="5" t="n">
        <v>12119</v>
      </c>
      <c r="F1651" s="4" t="n">
        <v>1</v>
      </c>
      <c r="G1651" s="4" t="s">
        <v>6798</v>
      </c>
      <c r="H1651" s="4" t="n">
        <v>42.73365</v>
      </c>
      <c r="I1651" s="4" t="n">
        <v>-82.80821</v>
      </c>
      <c r="J1651" s="4" t="s">
        <v>6799</v>
      </c>
      <c r="K1651" s="6" t="str">
        <f aca="false">HYPERLINK("https://www.google.com/search?q=Lenox+Township+Library+New+Haven+MI+library+website","Search")</f>
        <v>Search</v>
      </c>
      <c r="L1651" s="7"/>
      <c r="M1651" s="7"/>
    </row>
    <row r="1652" customFormat="false" ht="15" hidden="false" customHeight="true" outlineLevel="0" collapsed="false">
      <c r="A1652" s="4" t="s">
        <v>6375</v>
      </c>
      <c r="B1652" s="4" t="s">
        <v>6800</v>
      </c>
      <c r="C1652" s="4" t="s">
        <v>6801</v>
      </c>
      <c r="D1652" s="4" t="s">
        <v>2849</v>
      </c>
      <c r="E1652" s="5" t="n">
        <v>40245</v>
      </c>
      <c r="F1652" s="4" t="n">
        <v>1</v>
      </c>
      <c r="G1652" s="4" t="s">
        <v>6802</v>
      </c>
      <c r="H1652" s="4" t="n">
        <v>42.2508</v>
      </c>
      <c r="I1652" s="4" t="n">
        <v>-83.17978</v>
      </c>
      <c r="J1652" s="4" t="s">
        <v>6803</v>
      </c>
      <c r="K1652" s="6" t="str">
        <f aca="false">HYPERLINK("https://www.google.com/search?q=Lincoln+Park+Public+Library+Lincoln+Park+MI+library+website","Search")</f>
        <v>Search</v>
      </c>
      <c r="L1652" s="7"/>
      <c r="M1652" s="7"/>
    </row>
    <row r="1653" customFormat="false" ht="15" hidden="false" customHeight="true" outlineLevel="0" collapsed="false">
      <c r="A1653" s="4" t="s">
        <v>6375</v>
      </c>
      <c r="B1653" s="4" t="s">
        <v>6804</v>
      </c>
      <c r="C1653" s="4" t="s">
        <v>6805</v>
      </c>
      <c r="D1653" s="4" t="s">
        <v>6442</v>
      </c>
      <c r="E1653" s="5" t="n">
        <v>22905</v>
      </c>
      <c r="F1653" s="4" t="n">
        <v>1</v>
      </c>
      <c r="G1653" s="4" t="s">
        <v>6806</v>
      </c>
      <c r="H1653" s="4" t="n">
        <v>42.01447</v>
      </c>
      <c r="I1653" s="4" t="n">
        <v>-86.50395</v>
      </c>
      <c r="J1653" s="4" t="s">
        <v>6807</v>
      </c>
      <c r="K1653" s="6" t="str">
        <f aca="false">HYPERLINK("https://www.google.com/search?q=Lincoln+Township+Public+Library+Stevensville+MI+library+website","Search")</f>
        <v>Search</v>
      </c>
      <c r="L1653" s="7"/>
      <c r="M1653" s="7"/>
    </row>
    <row r="1654" customFormat="false" ht="15" hidden="false" customHeight="true" outlineLevel="0" collapsed="false">
      <c r="A1654" s="4" t="s">
        <v>6375</v>
      </c>
      <c r="B1654" s="4" t="s">
        <v>6808</v>
      </c>
      <c r="C1654" s="4" t="s">
        <v>6809</v>
      </c>
      <c r="D1654" s="4" t="s">
        <v>2849</v>
      </c>
      <c r="E1654" s="5" t="n">
        <v>95535</v>
      </c>
      <c r="F1654" s="4" t="n">
        <v>3</v>
      </c>
      <c r="G1654" s="4" t="s">
        <v>6810</v>
      </c>
      <c r="H1654" s="4" t="n">
        <v>42.39715</v>
      </c>
      <c r="I1654" s="4" t="n">
        <v>-83.36813</v>
      </c>
      <c r="J1654" s="4" t="s">
        <v>6811</v>
      </c>
      <c r="K1654" s="6" t="str">
        <f aca="false">HYPERLINK("https://www.google.com/search?q=Livonia+Public+Library+Livonia+MI+library+website","Search")</f>
        <v>Search</v>
      </c>
      <c r="L1654" s="7"/>
      <c r="M1654" s="7"/>
    </row>
    <row r="1655" customFormat="false" ht="15" hidden="false" customHeight="true" outlineLevel="0" collapsed="false">
      <c r="A1655" s="4" t="s">
        <v>6375</v>
      </c>
      <c r="B1655" s="4" t="s">
        <v>6812</v>
      </c>
      <c r="C1655" s="4" t="s">
        <v>1348</v>
      </c>
      <c r="D1655" s="4" t="s">
        <v>3792</v>
      </c>
      <c r="E1655" s="5" t="n">
        <v>11627</v>
      </c>
      <c r="F1655" s="4" t="n">
        <v>1</v>
      </c>
      <c r="G1655" s="4" t="s">
        <v>6813</v>
      </c>
      <c r="H1655" s="4" t="n">
        <v>42.80898</v>
      </c>
      <c r="I1655" s="4" t="n">
        <v>-82.76218</v>
      </c>
      <c r="J1655" s="4" t="s">
        <v>6814</v>
      </c>
      <c r="K1655" s="6" t="str">
        <f aca="false">HYPERLINK("https://www.google.com/search?q=Lois+Wagner+Memorial+Library+Richmond+MI+library+website","Search")</f>
        <v>Search</v>
      </c>
      <c r="L1655" s="7"/>
      <c r="M1655" s="7"/>
    </row>
    <row r="1656" customFormat="false" ht="15" hidden="false" customHeight="true" outlineLevel="0" collapsed="false">
      <c r="A1656" s="4" t="s">
        <v>6375</v>
      </c>
      <c r="B1656" s="4" t="s">
        <v>6815</v>
      </c>
      <c r="C1656" s="4" t="s">
        <v>6816</v>
      </c>
      <c r="D1656" s="4" t="s">
        <v>4001</v>
      </c>
      <c r="E1656" s="5" t="n">
        <v>39331</v>
      </c>
      <c r="F1656" s="4" t="n">
        <v>1</v>
      </c>
      <c r="G1656" s="4" t="s">
        <v>6817</v>
      </c>
      <c r="H1656" s="4" t="n">
        <v>43.06375</v>
      </c>
      <c r="I1656" s="4" t="n">
        <v>-86.22685</v>
      </c>
      <c r="J1656" s="4" t="s">
        <v>6818</v>
      </c>
      <c r="K1656" s="6" t="str">
        <f aca="false">HYPERLINK("https://www.google.com/search?q=Loutit+District+Library+Grand+Haven+MI+library+website","Search")</f>
        <v>Search</v>
      </c>
      <c r="L1656" s="7"/>
      <c r="M1656" s="7"/>
    </row>
    <row r="1657" customFormat="false" ht="15" hidden="false" customHeight="true" outlineLevel="0" collapsed="false">
      <c r="A1657" s="4" t="s">
        <v>6375</v>
      </c>
      <c r="B1657" s="4" t="s">
        <v>6819</v>
      </c>
      <c r="C1657" s="4" t="s">
        <v>6820</v>
      </c>
      <c r="D1657" s="4" t="s">
        <v>1246</v>
      </c>
      <c r="E1657" s="5" t="n">
        <v>23271</v>
      </c>
      <c r="F1657" s="4" t="n">
        <v>1</v>
      </c>
      <c r="G1657" s="4" t="s">
        <v>6821</v>
      </c>
      <c r="H1657" s="4" t="n">
        <v>42.48593</v>
      </c>
      <c r="I1657" s="4" t="n">
        <v>-83.61294</v>
      </c>
      <c r="J1657" s="4" t="s">
        <v>6822</v>
      </c>
      <c r="K1657" s="6" t="str">
        <f aca="false">HYPERLINK("https://www.google.com/search?q=Lyon+Township+Public+Library+South+Lyon+MI+library+website","Search")</f>
        <v>Search</v>
      </c>
      <c r="L1657" s="7"/>
      <c r="M1657" s="7"/>
    </row>
    <row r="1658" customFormat="false" ht="15" hidden="false" customHeight="true" outlineLevel="0" collapsed="false">
      <c r="A1658" s="4" t="s">
        <v>6375</v>
      </c>
      <c r="B1658" s="4" t="s">
        <v>6823</v>
      </c>
      <c r="C1658" s="4" t="s">
        <v>6824</v>
      </c>
      <c r="D1658" s="4" t="s">
        <v>3792</v>
      </c>
      <c r="E1658" s="5" t="n">
        <v>13447</v>
      </c>
      <c r="F1658" s="4" t="n">
        <v>1</v>
      </c>
      <c r="G1658" s="4" t="s">
        <v>6825</v>
      </c>
      <c r="H1658" s="4" t="n">
        <v>42.68025</v>
      </c>
      <c r="I1658" s="4" t="n">
        <v>-82.73404</v>
      </c>
      <c r="J1658" s="4" t="s">
        <v>6826</v>
      </c>
      <c r="K1658" s="6" t="str">
        <f aca="false">HYPERLINK("https://www.google.com/search?q=Macdonald+Public+Library+New+Baltimore+MI+library+website","Search")</f>
        <v>Search</v>
      </c>
      <c r="L1658" s="7"/>
      <c r="M1658" s="7"/>
    </row>
    <row r="1659" customFormat="false" ht="15" hidden="false" customHeight="true" outlineLevel="0" collapsed="false">
      <c r="A1659" s="4" t="s">
        <v>6375</v>
      </c>
      <c r="B1659" s="4" t="s">
        <v>6827</v>
      </c>
      <c r="C1659" s="4" t="s">
        <v>6828</v>
      </c>
      <c r="D1659" s="4" t="s">
        <v>1246</v>
      </c>
      <c r="E1659" s="5" t="n">
        <v>28468</v>
      </c>
      <c r="F1659" s="4" t="n">
        <v>1</v>
      </c>
      <c r="G1659" s="4" t="s">
        <v>6829</v>
      </c>
      <c r="H1659" s="4" t="n">
        <v>42.52004</v>
      </c>
      <c r="I1659" s="4" t="n">
        <v>-83.10806</v>
      </c>
      <c r="J1659" s="4" t="s">
        <v>6830</v>
      </c>
      <c r="K1659" s="6" t="str">
        <f aca="false">HYPERLINK("https://www.google.com/search?q=Madison+Heights+Public+Library+Madison+Heights+MI+library+website","Search")</f>
        <v>Search</v>
      </c>
      <c r="L1659" s="7"/>
      <c r="M1659" s="7"/>
    </row>
    <row r="1660" customFormat="false" ht="15" hidden="false" customHeight="true" outlineLevel="0" collapsed="false">
      <c r="A1660" s="4" t="s">
        <v>6375</v>
      </c>
      <c r="B1660" s="4" t="s">
        <v>6831</v>
      </c>
      <c r="C1660" s="4" t="s">
        <v>6832</v>
      </c>
      <c r="D1660" s="4" t="s">
        <v>6832</v>
      </c>
      <c r="E1660" s="5" t="n">
        <v>23120</v>
      </c>
      <c r="F1660" s="4" t="n">
        <v>6</v>
      </c>
      <c r="G1660" s="4" t="s">
        <v>6833</v>
      </c>
      <c r="H1660" s="4" t="n">
        <v>44.2462</v>
      </c>
      <c r="I1660" s="4" t="n">
        <v>-86.3238</v>
      </c>
      <c r="J1660" s="4" t="s">
        <v>6834</v>
      </c>
      <c r="K1660" s="6" t="str">
        <f aca="false">HYPERLINK("https://www.google.com/search?q=Manistee+County+Library+Manistee+MI+library+website","Search")</f>
        <v>Search</v>
      </c>
      <c r="L1660" s="7"/>
      <c r="M1660" s="7"/>
    </row>
    <row r="1661" customFormat="false" ht="15" hidden="false" customHeight="true" outlineLevel="0" collapsed="false">
      <c r="A1661" s="4" t="s">
        <v>6375</v>
      </c>
      <c r="B1661" s="4" t="s">
        <v>6835</v>
      </c>
      <c r="C1661" s="4" t="s">
        <v>58</v>
      </c>
      <c r="D1661" s="4" t="s">
        <v>73</v>
      </c>
      <c r="E1661" s="5" t="n">
        <v>14637</v>
      </c>
      <c r="F1661" s="4" t="n">
        <v>1</v>
      </c>
      <c r="G1661" s="4" t="s">
        <v>6836</v>
      </c>
      <c r="H1661" s="4" t="n">
        <v>42.2711</v>
      </c>
      <c r="I1661" s="4" t="n">
        <v>-84.9591</v>
      </c>
      <c r="J1661" s="4" t="s">
        <v>6837</v>
      </c>
      <c r="K1661" s="6" t="str">
        <f aca="false">HYPERLINK("https://www.google.com/search?q=Marshall+District+Library+Marshall+MI+library+website","Search")</f>
        <v>Search</v>
      </c>
      <c r="L1661" s="7"/>
      <c r="M1661" s="7"/>
    </row>
    <row r="1662" customFormat="false" ht="15" hidden="false" customHeight="true" outlineLevel="0" collapsed="false">
      <c r="A1662" s="4" t="s">
        <v>6375</v>
      </c>
      <c r="B1662" s="4" t="s">
        <v>6838</v>
      </c>
      <c r="C1662" s="4" t="s">
        <v>6839</v>
      </c>
      <c r="D1662" s="4" t="s">
        <v>5075</v>
      </c>
      <c r="E1662" s="5" t="n">
        <v>28990</v>
      </c>
      <c r="F1662" s="4" t="n">
        <v>2</v>
      </c>
      <c r="G1662" s="4" t="s">
        <v>6840</v>
      </c>
      <c r="H1662" s="4" t="n">
        <v>43.95562</v>
      </c>
      <c r="I1662" s="4" t="n">
        <v>-86.44531</v>
      </c>
      <c r="J1662" s="4" t="s">
        <v>6841</v>
      </c>
      <c r="K1662" s="6" t="str">
        <f aca="false">HYPERLINK("https://www.google.com/search?q=Mason+County+District+Library+Ludington+MI+library+website","Search")</f>
        <v>Search</v>
      </c>
      <c r="L1662" s="7"/>
      <c r="M1662" s="7"/>
    </row>
    <row r="1663" customFormat="false" ht="15" hidden="false" customHeight="true" outlineLevel="0" collapsed="false">
      <c r="A1663" s="4" t="s">
        <v>6375</v>
      </c>
      <c r="B1663" s="4" t="s">
        <v>6842</v>
      </c>
      <c r="C1663" s="4" t="s">
        <v>6843</v>
      </c>
      <c r="D1663" s="4" t="s">
        <v>6442</v>
      </c>
      <c r="E1663" s="5" t="n">
        <v>17849</v>
      </c>
      <c r="F1663" s="4" t="n">
        <v>1</v>
      </c>
      <c r="G1663" s="4" t="s">
        <v>6844</v>
      </c>
      <c r="H1663" s="4" t="n">
        <v>42.10756</v>
      </c>
      <c r="I1663" s="4" t="n">
        <v>-86.48466</v>
      </c>
      <c r="J1663" s="4" t="s">
        <v>6845</v>
      </c>
      <c r="K1663" s="6" t="str">
        <f aca="false">HYPERLINK("https://www.google.com/search?q=Maud+Preston+Palenske+Memorial+Library+Saint+Joseph+MI+library+website","Search")</f>
        <v>Search</v>
      </c>
      <c r="L1663" s="7"/>
      <c r="M1663" s="7"/>
    </row>
    <row r="1664" customFormat="false" ht="15" hidden="false" customHeight="true" outlineLevel="0" collapsed="false">
      <c r="A1664" s="4" t="s">
        <v>6375</v>
      </c>
      <c r="B1664" s="4" t="s">
        <v>6846</v>
      </c>
      <c r="C1664" s="4" t="s">
        <v>6847</v>
      </c>
      <c r="D1664" s="4" t="s">
        <v>2849</v>
      </c>
      <c r="E1664" s="5" t="n">
        <v>12851</v>
      </c>
      <c r="F1664" s="4" t="n">
        <v>1</v>
      </c>
      <c r="G1664" s="4" t="s">
        <v>6848</v>
      </c>
      <c r="H1664" s="4" t="n">
        <v>42.27958</v>
      </c>
      <c r="I1664" s="4" t="n">
        <v>-83.1895</v>
      </c>
      <c r="J1664" s="4" t="s">
        <v>6849</v>
      </c>
      <c r="K1664" s="6" t="str">
        <f aca="false">HYPERLINK("https://www.google.com/search?q=Melvindale+Public+Library+Melvindale+MI+library+website","Search")</f>
        <v>Search</v>
      </c>
      <c r="L1664" s="7"/>
      <c r="M1664" s="7"/>
    </row>
    <row r="1665" customFormat="false" ht="15" hidden="false" customHeight="true" outlineLevel="0" collapsed="false">
      <c r="A1665" s="4" t="s">
        <v>6375</v>
      </c>
      <c r="B1665" s="4" t="s">
        <v>6850</v>
      </c>
      <c r="C1665" s="4" t="s">
        <v>3605</v>
      </c>
      <c r="D1665" s="4" t="s">
        <v>6851</v>
      </c>
      <c r="E1665" s="5" t="n">
        <v>14002</v>
      </c>
      <c r="F1665" s="4" t="n">
        <v>2</v>
      </c>
      <c r="G1665" s="4" t="s">
        <v>6852</v>
      </c>
      <c r="H1665" s="4" t="n">
        <v>45.41504</v>
      </c>
      <c r="I1665" s="4" t="n">
        <v>-87.61051</v>
      </c>
      <c r="J1665" s="4" t="s">
        <v>6853</v>
      </c>
      <c r="K1665" s="6" t="str">
        <f aca="false">HYPERLINK("https://www.google.com/search?q=Menominee+County+Library+Stephenson+MI+library+website","Search")</f>
        <v>Search</v>
      </c>
      <c r="L1665" s="7"/>
      <c r="M1665" s="7"/>
    </row>
    <row r="1666" customFormat="false" ht="15" hidden="false" customHeight="true" outlineLevel="0" collapsed="false">
      <c r="A1666" s="4" t="s">
        <v>6375</v>
      </c>
      <c r="B1666" s="4" t="s">
        <v>6854</v>
      </c>
      <c r="C1666" s="4" t="s">
        <v>6855</v>
      </c>
      <c r="D1666" s="4" t="s">
        <v>311</v>
      </c>
      <c r="E1666" s="5" t="n">
        <v>19333</v>
      </c>
      <c r="F1666" s="4" t="n">
        <v>1</v>
      </c>
      <c r="G1666" s="4" t="s">
        <v>6856</v>
      </c>
      <c r="H1666" s="4" t="n">
        <v>42.08221</v>
      </c>
      <c r="I1666" s="4" t="n">
        <v>-83.68533</v>
      </c>
      <c r="J1666" s="4" t="s">
        <v>6857</v>
      </c>
      <c r="K1666" s="6" t="str">
        <f aca="false">HYPERLINK("https://www.google.com/search?q=Milan+Public+Library+Milan+MI+library+website","Search")</f>
        <v>Search</v>
      </c>
      <c r="L1666" s="7"/>
      <c r="M1666" s="7"/>
    </row>
    <row r="1667" customFormat="false" ht="15" hidden="false" customHeight="true" outlineLevel="0" collapsed="false">
      <c r="A1667" s="4" t="s">
        <v>6375</v>
      </c>
      <c r="B1667" s="4" t="s">
        <v>2007</v>
      </c>
      <c r="C1667" s="4" t="s">
        <v>2008</v>
      </c>
      <c r="D1667" s="4" t="s">
        <v>1246</v>
      </c>
      <c r="E1667" s="5" t="n">
        <v>17090</v>
      </c>
      <c r="F1667" s="4" t="n">
        <v>1</v>
      </c>
      <c r="G1667" s="4" t="s">
        <v>6858</v>
      </c>
      <c r="H1667" s="4" t="n">
        <v>42.59046</v>
      </c>
      <c r="I1667" s="4" t="n">
        <v>-83.60949</v>
      </c>
      <c r="J1667" s="4" t="s">
        <v>6859</v>
      </c>
      <c r="K1667" s="6" t="str">
        <f aca="false">HYPERLINK("https://www.google.com/search?q=Milford+Public+Library+Milford+MI+library+website","Search")</f>
        <v>Search</v>
      </c>
      <c r="L1667" s="7"/>
      <c r="M1667" s="7"/>
    </row>
    <row r="1668" customFormat="false" ht="15" hidden="false" customHeight="true" outlineLevel="0" collapsed="false">
      <c r="A1668" s="4" t="s">
        <v>6375</v>
      </c>
      <c r="B1668" s="4" t="s">
        <v>6860</v>
      </c>
      <c r="C1668" s="4" t="s">
        <v>2331</v>
      </c>
      <c r="D1668" s="4" t="s">
        <v>6861</v>
      </c>
      <c r="E1668" s="5" t="n">
        <v>13275</v>
      </c>
      <c r="F1668" s="4" t="n">
        <v>1</v>
      </c>
      <c r="G1668" s="4" t="s">
        <v>6862</v>
      </c>
      <c r="H1668" s="4" t="n">
        <v>44.3328</v>
      </c>
      <c r="I1668" s="4" t="n">
        <v>-85.21372</v>
      </c>
      <c r="J1668" s="4" t="s">
        <v>6863</v>
      </c>
      <c r="K1668" s="6" t="str">
        <f aca="false">HYPERLINK("https://www.google.com/search?q=Missaukee+District+Library+Lake+City+MI+library+website","Search")</f>
        <v>Search</v>
      </c>
      <c r="L1668" s="7"/>
      <c r="M1668" s="7"/>
    </row>
    <row r="1669" customFormat="false" ht="15" hidden="false" customHeight="true" outlineLevel="0" collapsed="false">
      <c r="A1669" s="4" t="s">
        <v>6375</v>
      </c>
      <c r="B1669" s="4" t="s">
        <v>6864</v>
      </c>
      <c r="C1669" s="4" t="s">
        <v>311</v>
      </c>
      <c r="D1669" s="4" t="s">
        <v>311</v>
      </c>
      <c r="E1669" s="5" t="n">
        <v>152595</v>
      </c>
      <c r="F1669" s="4" t="n">
        <v>16</v>
      </c>
      <c r="G1669" s="4" t="s">
        <v>6865</v>
      </c>
      <c r="H1669" s="4" t="n">
        <v>41.91272</v>
      </c>
      <c r="I1669" s="4" t="n">
        <v>-83.41436</v>
      </c>
      <c r="J1669" s="4" t="s">
        <v>6866</v>
      </c>
      <c r="K1669" s="6" t="str">
        <f aca="false">HYPERLINK("https://www.google.com/search?q=Monroe+County+Library+System+Monroe+MI+library+website","Search")</f>
        <v>Search</v>
      </c>
      <c r="L1669" s="7"/>
      <c r="M1669" s="7"/>
    </row>
    <row r="1670" customFormat="false" ht="15" hidden="false" customHeight="true" outlineLevel="0" collapsed="false">
      <c r="A1670" s="4" t="s">
        <v>6375</v>
      </c>
      <c r="B1670" s="4" t="s">
        <v>6867</v>
      </c>
      <c r="C1670" s="4" t="s">
        <v>6868</v>
      </c>
      <c r="D1670" s="4" t="s">
        <v>3792</v>
      </c>
      <c r="E1670" s="5" t="n">
        <v>22994</v>
      </c>
      <c r="F1670" s="4" t="n">
        <v>1</v>
      </c>
      <c r="G1670" s="4" t="s">
        <v>6869</v>
      </c>
      <c r="H1670" s="4" t="n">
        <v>42.59739</v>
      </c>
      <c r="I1670" s="4" t="n">
        <v>-82.88345</v>
      </c>
      <c r="J1670" s="4" t="s">
        <v>6870</v>
      </c>
      <c r="K1670" s="6" t="str">
        <f aca="false">HYPERLINK("https://www.google.com/search?q=Mount+Clemens+Public+Library+Mount+Clemens+MI+library+website","Search")</f>
        <v>Search</v>
      </c>
      <c r="L1670" s="7"/>
      <c r="M1670" s="7"/>
    </row>
    <row r="1671" customFormat="false" ht="15" hidden="false" customHeight="true" outlineLevel="0" collapsed="false">
      <c r="A1671" s="4" t="s">
        <v>6375</v>
      </c>
      <c r="B1671" s="4" t="s">
        <v>6871</v>
      </c>
      <c r="C1671" s="4" t="s">
        <v>6658</v>
      </c>
      <c r="D1671" s="4" t="s">
        <v>6658</v>
      </c>
      <c r="E1671" s="5" t="n">
        <v>107920</v>
      </c>
      <c r="F1671" s="4" t="n">
        <v>10</v>
      </c>
      <c r="G1671" s="4" t="s">
        <v>6872</v>
      </c>
      <c r="H1671" s="4" t="n">
        <v>43.16451</v>
      </c>
      <c r="I1671" s="4" t="n">
        <v>-86.19462</v>
      </c>
      <c r="J1671" s="4" t="s">
        <v>6873</v>
      </c>
      <c r="K1671" s="6" t="str">
        <f aca="false">HYPERLINK("https://www.google.com/search?q=Muskegon+Area+District+Library+Muskegon+MI+library+website","Search")</f>
        <v>Search</v>
      </c>
      <c r="L1671" s="7"/>
      <c r="M1671" s="7"/>
    </row>
    <row r="1672" customFormat="false" ht="15" hidden="false" customHeight="true" outlineLevel="0" collapsed="false">
      <c r="A1672" s="4" t="s">
        <v>6375</v>
      </c>
      <c r="B1672" s="4" t="s">
        <v>6874</v>
      </c>
      <c r="C1672" s="4" t="s">
        <v>3892</v>
      </c>
      <c r="D1672" s="4" t="s">
        <v>6442</v>
      </c>
      <c r="E1672" s="5" t="n">
        <v>25075</v>
      </c>
      <c r="F1672" s="4" t="n">
        <v>1</v>
      </c>
      <c r="G1672" s="4" t="s">
        <v>6875</v>
      </c>
      <c r="H1672" s="4" t="n">
        <v>41.82949</v>
      </c>
      <c r="I1672" s="4" t="n">
        <v>-86.25174</v>
      </c>
      <c r="J1672" s="4" t="s">
        <v>6876</v>
      </c>
      <c r="K1672" s="6" t="str">
        <f aca="false">HYPERLINK("https://www.google.com/search?q=Niles+District+Library+Niles+MI+library+website","Search")</f>
        <v>Search</v>
      </c>
      <c r="L1672" s="7"/>
      <c r="M1672" s="7"/>
    </row>
    <row r="1673" customFormat="false" ht="15" hidden="false" customHeight="true" outlineLevel="0" collapsed="false">
      <c r="A1673" s="4" t="s">
        <v>6375</v>
      </c>
      <c r="B1673" s="4" t="s">
        <v>6877</v>
      </c>
      <c r="C1673" s="4" t="s">
        <v>6878</v>
      </c>
      <c r="D1673" s="4" t="s">
        <v>2849</v>
      </c>
      <c r="E1673" s="5" t="n">
        <v>37877</v>
      </c>
      <c r="F1673" s="4" t="n">
        <v>1</v>
      </c>
      <c r="G1673" s="4" t="s">
        <v>6879</v>
      </c>
      <c r="H1673" s="4" t="n">
        <v>42.42995</v>
      </c>
      <c r="I1673" s="4" t="n">
        <v>-83.48545</v>
      </c>
      <c r="J1673" s="4" t="s">
        <v>6880</v>
      </c>
      <c r="K1673" s="6" t="str">
        <f aca="false">HYPERLINK("https://www.google.com/search?q=Northville+District+Library+Northville+MI+library+website","Search")</f>
        <v>Search</v>
      </c>
      <c r="L1673" s="7"/>
      <c r="M1673" s="7"/>
    </row>
    <row r="1674" customFormat="false" ht="15" hidden="false" customHeight="true" outlineLevel="0" collapsed="false">
      <c r="A1674" s="4" t="s">
        <v>6375</v>
      </c>
      <c r="B1674" s="4" t="s">
        <v>6881</v>
      </c>
      <c r="C1674" s="4" t="s">
        <v>6882</v>
      </c>
      <c r="D1674" s="4" t="s">
        <v>1246</v>
      </c>
      <c r="E1674" s="5" t="n">
        <v>66403</v>
      </c>
      <c r="F1674" s="4" t="n">
        <v>1</v>
      </c>
      <c r="G1674" s="4" t="s">
        <v>6883</v>
      </c>
      <c r="H1674" s="4" t="n">
        <v>42.46605</v>
      </c>
      <c r="I1674" s="4" t="n">
        <v>-83.49187</v>
      </c>
      <c r="J1674" s="4" t="s">
        <v>6884</v>
      </c>
      <c r="K1674" s="6" t="str">
        <f aca="false">HYPERLINK("https://www.google.com/search?q=Novi+Public+Library+Novi+MI+library+website","Search")</f>
        <v>Search</v>
      </c>
      <c r="L1674" s="7"/>
      <c r="M1674" s="7"/>
    </row>
    <row r="1675" customFormat="false" ht="15" hidden="false" customHeight="true" outlineLevel="0" collapsed="false">
      <c r="A1675" s="4" t="s">
        <v>6375</v>
      </c>
      <c r="B1675" s="4" t="s">
        <v>3926</v>
      </c>
      <c r="C1675" s="4" t="s">
        <v>3927</v>
      </c>
      <c r="D1675" s="4" t="s">
        <v>1246</v>
      </c>
      <c r="E1675" s="5" t="n">
        <v>29560</v>
      </c>
      <c r="F1675" s="4" t="n">
        <v>1</v>
      </c>
      <c r="G1675" s="4" t="s">
        <v>6885</v>
      </c>
      <c r="H1675" s="4" t="n">
        <v>42.46587</v>
      </c>
      <c r="I1675" s="4" t="n">
        <v>-83.18482</v>
      </c>
      <c r="J1675" s="4" t="s">
        <v>6886</v>
      </c>
      <c r="K1675" s="6" t="str">
        <f aca="false">HYPERLINK("https://www.google.com/search?q=Oak+Park+Public+Library+Oak+Park+MI+library+website","Search")</f>
        <v>Search</v>
      </c>
      <c r="L1675" s="7"/>
      <c r="M1675" s="7"/>
    </row>
    <row r="1676" customFormat="false" ht="15" hidden="false" customHeight="true" outlineLevel="0" collapsed="false">
      <c r="A1676" s="4" t="s">
        <v>6375</v>
      </c>
      <c r="B1676" s="4" t="s">
        <v>6887</v>
      </c>
      <c r="C1676" s="4" t="s">
        <v>6888</v>
      </c>
      <c r="D1676" s="4" t="s">
        <v>6889</v>
      </c>
      <c r="E1676" s="5" t="n">
        <v>11647</v>
      </c>
      <c r="F1676" s="4" t="n">
        <v>3</v>
      </c>
      <c r="G1676" s="4" t="s">
        <v>6890</v>
      </c>
      <c r="H1676" s="4" t="n">
        <v>44.42145</v>
      </c>
      <c r="I1676" s="4" t="n">
        <v>-84.11637</v>
      </c>
      <c r="J1676" s="4" t="s">
        <v>6891</v>
      </c>
      <c r="K1676" s="6" t="str">
        <f aca="false">HYPERLINK("https://www.google.com/search?q=Ogemaw+District+Library+Rose+City+MI+library+website","Search")</f>
        <v>Search</v>
      </c>
      <c r="L1676" s="7"/>
      <c r="M1676" s="7"/>
    </row>
    <row r="1677" customFormat="false" ht="15" hidden="false" customHeight="true" outlineLevel="0" collapsed="false">
      <c r="A1677" s="4" t="s">
        <v>6375</v>
      </c>
      <c r="B1677" s="4" t="s">
        <v>6892</v>
      </c>
      <c r="C1677" s="4" t="s">
        <v>6893</v>
      </c>
      <c r="D1677" s="4" t="s">
        <v>1246</v>
      </c>
      <c r="E1677" s="5" t="n">
        <v>38206</v>
      </c>
      <c r="F1677" s="4" t="n">
        <v>2</v>
      </c>
      <c r="G1677" s="4" t="s">
        <v>6894</v>
      </c>
      <c r="H1677" s="4" t="n">
        <v>42.77124</v>
      </c>
      <c r="I1677" s="4" t="n">
        <v>-83.28333</v>
      </c>
      <c r="J1677" s="4" t="s">
        <v>6895</v>
      </c>
      <c r="K1677" s="6" t="str">
        <f aca="false">HYPERLINK("https://www.google.com/search?q=Orion+Township+Public+Library+Lake+Orion+MI+library+website","Search")</f>
        <v>Search</v>
      </c>
      <c r="L1677" s="7"/>
      <c r="M1677" s="7"/>
    </row>
    <row r="1678" customFormat="false" ht="15" hidden="false" customHeight="true" outlineLevel="0" collapsed="false">
      <c r="A1678" s="4" t="s">
        <v>6375</v>
      </c>
      <c r="B1678" s="4" t="s">
        <v>6896</v>
      </c>
      <c r="C1678" s="4" t="s">
        <v>6897</v>
      </c>
      <c r="D1678" s="4" t="s">
        <v>6898</v>
      </c>
      <c r="E1678" s="5" t="n">
        <v>25091</v>
      </c>
      <c r="F1678" s="4" t="n">
        <v>3</v>
      </c>
      <c r="G1678" s="4" t="s">
        <v>6899</v>
      </c>
      <c r="H1678" s="4" t="n">
        <v>45.02047</v>
      </c>
      <c r="I1678" s="4" t="n">
        <v>-84.67766</v>
      </c>
      <c r="J1678" s="4" t="s">
        <v>6900</v>
      </c>
      <c r="K1678" s="6" t="str">
        <f aca="false">HYPERLINK("https://www.google.com/search?q=Otsego+County+Library+Gaylord+MI+library+website","Search")</f>
        <v>Search</v>
      </c>
      <c r="L1678" s="7"/>
      <c r="M1678" s="7"/>
    </row>
    <row r="1679" customFormat="false" ht="15" hidden="false" customHeight="true" outlineLevel="0" collapsed="false">
      <c r="A1679" s="4" t="s">
        <v>6375</v>
      </c>
      <c r="B1679" s="4" t="s">
        <v>6901</v>
      </c>
      <c r="C1679" s="4" t="s">
        <v>6898</v>
      </c>
      <c r="D1679" s="4" t="s">
        <v>6390</v>
      </c>
      <c r="E1679" s="5" t="n">
        <v>14787</v>
      </c>
      <c r="F1679" s="4" t="n">
        <v>1</v>
      </c>
      <c r="G1679" s="4" t="s">
        <v>6902</v>
      </c>
      <c r="H1679" s="4" t="n">
        <v>42.45214</v>
      </c>
      <c r="I1679" s="4" t="n">
        <v>-85.69167</v>
      </c>
      <c r="J1679" s="4" t="s">
        <v>6903</v>
      </c>
      <c r="K1679" s="6" t="str">
        <f aca="false">HYPERLINK("https://www.google.com/search?q=Otsego+District+Public+Library+Otsego+MI+library+website","Search")</f>
        <v>Search</v>
      </c>
      <c r="L1679" s="7"/>
      <c r="M1679" s="7"/>
    </row>
    <row r="1680" customFormat="false" ht="15" hidden="false" customHeight="true" outlineLevel="0" collapsed="false">
      <c r="A1680" s="4" t="s">
        <v>6375</v>
      </c>
      <c r="B1680" s="4" t="s">
        <v>351</v>
      </c>
      <c r="C1680" s="4" t="s">
        <v>352</v>
      </c>
      <c r="D1680" s="4" t="s">
        <v>1246</v>
      </c>
      <c r="E1680" s="5" t="n">
        <v>22419</v>
      </c>
      <c r="F1680" s="4" t="n">
        <v>1</v>
      </c>
      <c r="G1680" s="4" t="s">
        <v>6904</v>
      </c>
      <c r="H1680" s="4" t="n">
        <v>42.81694</v>
      </c>
      <c r="I1680" s="4" t="n">
        <v>-83.26741</v>
      </c>
      <c r="J1680" s="4" t="s">
        <v>6905</v>
      </c>
      <c r="K1680" s="6" t="str">
        <f aca="false">HYPERLINK("https://www.google.com/search?q=Oxford+Public+Library+Oxford+MI+library+website","Search")</f>
        <v>Search</v>
      </c>
      <c r="L1680" s="7"/>
      <c r="M1680" s="7"/>
    </row>
    <row r="1681" customFormat="false" ht="15" hidden="false" customHeight="true" outlineLevel="0" collapsed="false">
      <c r="A1681" s="4" t="s">
        <v>6375</v>
      </c>
      <c r="B1681" s="4" t="s">
        <v>6906</v>
      </c>
      <c r="C1681" s="4" t="s">
        <v>6907</v>
      </c>
      <c r="D1681" s="4" t="s">
        <v>6560</v>
      </c>
      <c r="E1681" s="5" t="n">
        <v>10052</v>
      </c>
      <c r="F1681" s="4" t="n">
        <v>1</v>
      </c>
      <c r="G1681" s="4" t="s">
        <v>6908</v>
      </c>
      <c r="H1681" s="4" t="n">
        <v>42.32527</v>
      </c>
      <c r="I1681" s="4" t="n">
        <v>-85.57029</v>
      </c>
      <c r="J1681" s="4" t="s">
        <v>6909</v>
      </c>
      <c r="K1681" s="6" t="str">
        <f aca="false">HYPERLINK("https://www.google.com/search?q=Parchment+Community+Library+Parchment+MI+library+website","Search")</f>
        <v>Search</v>
      </c>
      <c r="L1681" s="7"/>
      <c r="M1681" s="7"/>
    </row>
    <row r="1682" customFormat="false" ht="15" hidden="false" customHeight="true" outlineLevel="0" collapsed="false">
      <c r="A1682" s="4" t="s">
        <v>6375</v>
      </c>
      <c r="B1682" s="4" t="s">
        <v>6910</v>
      </c>
      <c r="C1682" s="4" t="s">
        <v>6911</v>
      </c>
      <c r="D1682" s="4" t="s">
        <v>515</v>
      </c>
      <c r="E1682" s="5" t="n">
        <v>14002</v>
      </c>
      <c r="F1682" s="4" t="n">
        <v>1</v>
      </c>
      <c r="G1682" s="4" t="s">
        <v>6912</v>
      </c>
      <c r="H1682" s="4" t="n">
        <v>42.21637</v>
      </c>
      <c r="I1682" s="4" t="n">
        <v>-85.90542</v>
      </c>
      <c r="J1682" s="4" t="s">
        <v>6913</v>
      </c>
      <c r="K1682" s="6" t="str">
        <f aca="false">HYPERLINK("https://www.google.com/search?q=Paw+Paw+District+Library+Paw+Paw+MI+library+website","Search")</f>
        <v>Search</v>
      </c>
      <c r="L1682" s="7"/>
      <c r="M1682" s="7"/>
    </row>
    <row r="1683" customFormat="false" ht="15" hidden="false" customHeight="true" outlineLevel="0" collapsed="false">
      <c r="A1683" s="4" t="s">
        <v>6375</v>
      </c>
      <c r="B1683" s="4" t="s">
        <v>6914</v>
      </c>
      <c r="C1683" s="4" t="s">
        <v>6769</v>
      </c>
      <c r="D1683" s="4" t="s">
        <v>6769</v>
      </c>
      <c r="E1683" s="5" t="n">
        <v>35963</v>
      </c>
      <c r="F1683" s="4" t="n">
        <v>1</v>
      </c>
      <c r="G1683" s="4" t="s">
        <v>6915</v>
      </c>
      <c r="H1683" s="4" t="n">
        <v>46.54476</v>
      </c>
      <c r="I1683" s="4" t="n">
        <v>-87.39241</v>
      </c>
      <c r="J1683" s="4" t="s">
        <v>6916</v>
      </c>
      <c r="K1683" s="6" t="str">
        <f aca="false">HYPERLINK("https://www.google.com/search?q=Peter+White+Public+Library+Marquette+MI+library+website","Search")</f>
        <v>Search</v>
      </c>
      <c r="L1683" s="7"/>
      <c r="M1683" s="7"/>
    </row>
    <row r="1684" customFormat="false" ht="15" hidden="false" customHeight="true" outlineLevel="0" collapsed="false">
      <c r="A1684" s="4" t="s">
        <v>6375</v>
      </c>
      <c r="B1684" s="4" t="s">
        <v>6917</v>
      </c>
      <c r="C1684" s="4" t="s">
        <v>6918</v>
      </c>
      <c r="D1684" s="4" t="s">
        <v>6383</v>
      </c>
      <c r="E1684" s="5" t="n">
        <v>17400</v>
      </c>
      <c r="F1684" s="4" t="n">
        <v>1</v>
      </c>
      <c r="G1684" s="4" t="s">
        <v>6919</v>
      </c>
      <c r="H1684" s="4" t="n">
        <v>45.37393</v>
      </c>
      <c r="I1684" s="4" t="n">
        <v>-84.95254</v>
      </c>
      <c r="J1684" s="4" t="s">
        <v>6920</v>
      </c>
      <c r="K1684" s="6" t="str">
        <f aca="false">HYPERLINK("https://www.google.com/search?q=Petoskey+District+Library+Petoskey+MI+library+website","Search")</f>
        <v>Search</v>
      </c>
      <c r="L1684" s="7"/>
      <c r="M1684" s="7"/>
    </row>
    <row r="1685" customFormat="false" ht="15" hidden="false" customHeight="true" outlineLevel="0" collapsed="false">
      <c r="A1685" s="4" t="s">
        <v>6375</v>
      </c>
      <c r="B1685" s="4" t="s">
        <v>6921</v>
      </c>
      <c r="C1685" s="4" t="s">
        <v>6922</v>
      </c>
      <c r="D1685" s="4" t="s">
        <v>3979</v>
      </c>
      <c r="E1685" s="5" t="n">
        <v>11072</v>
      </c>
      <c r="F1685" s="4" t="n">
        <v>1</v>
      </c>
      <c r="G1685" s="4" t="s">
        <v>6923</v>
      </c>
      <c r="H1685" s="4" t="n">
        <v>42.45784</v>
      </c>
      <c r="I1685" s="4" t="n">
        <v>-83.94612</v>
      </c>
      <c r="J1685" s="4" t="s">
        <v>6924</v>
      </c>
      <c r="K1685" s="6" t="str">
        <f aca="false">HYPERLINK("https://www.google.com/search?q=Pinckney+Community+Public+Library+Pinckney+MI+library+website","Search")</f>
        <v>Search</v>
      </c>
      <c r="L1685" s="7"/>
      <c r="M1685" s="7"/>
    </row>
    <row r="1686" customFormat="false" ht="15" hidden="false" customHeight="true" outlineLevel="0" collapsed="false">
      <c r="A1686" s="4" t="s">
        <v>6375</v>
      </c>
      <c r="B1686" s="4" t="s">
        <v>6925</v>
      </c>
      <c r="C1686" s="4" t="s">
        <v>3038</v>
      </c>
      <c r="D1686" s="4" t="s">
        <v>2849</v>
      </c>
      <c r="E1686" s="5" t="n">
        <v>37308</v>
      </c>
      <c r="F1686" s="4" t="n">
        <v>1</v>
      </c>
      <c r="G1686" s="4" t="s">
        <v>6926</v>
      </c>
      <c r="H1686" s="4" t="n">
        <v>42.37207</v>
      </c>
      <c r="I1686" s="4" t="n">
        <v>-83.46781</v>
      </c>
      <c r="J1686" s="4" t="s">
        <v>6927</v>
      </c>
      <c r="K1686" s="6" t="str">
        <f aca="false">HYPERLINK("https://www.google.com/search?q=Plymouth+District+Library+Plymouth+MI+library+website","Search")</f>
        <v>Search</v>
      </c>
      <c r="L1686" s="7"/>
      <c r="M1686" s="7"/>
    </row>
    <row r="1687" customFormat="false" ht="15" hidden="false" customHeight="true" outlineLevel="0" collapsed="false">
      <c r="A1687" s="4" t="s">
        <v>6375</v>
      </c>
      <c r="B1687" s="4" t="s">
        <v>3977</v>
      </c>
      <c r="C1687" s="4" t="s">
        <v>3978</v>
      </c>
      <c r="D1687" s="4" t="s">
        <v>1246</v>
      </c>
      <c r="E1687" s="5" t="n">
        <v>61606</v>
      </c>
      <c r="F1687" s="4" t="n">
        <v>1</v>
      </c>
      <c r="G1687" s="4" t="s">
        <v>6928</v>
      </c>
      <c r="H1687" s="4" t="n">
        <v>42.63726</v>
      </c>
      <c r="I1687" s="4" t="n">
        <v>-83.28901</v>
      </c>
      <c r="J1687" s="4" t="s">
        <v>6929</v>
      </c>
      <c r="K1687" s="6" t="str">
        <f aca="false">HYPERLINK("https://www.google.com/search?q=Pontiac+Public+Library+Pontiac+MI+library+website","Search")</f>
        <v>Search</v>
      </c>
      <c r="L1687" s="7"/>
      <c r="M1687" s="7"/>
    </row>
    <row r="1688" customFormat="false" ht="15" hidden="false" customHeight="true" outlineLevel="0" collapsed="false">
      <c r="A1688" s="4" t="s">
        <v>6375</v>
      </c>
      <c r="B1688" s="4" t="s">
        <v>6930</v>
      </c>
      <c r="C1688" s="4" t="s">
        <v>6931</v>
      </c>
      <c r="D1688" s="4" t="s">
        <v>6560</v>
      </c>
      <c r="E1688" s="5" t="n">
        <v>56304</v>
      </c>
      <c r="F1688" s="4" t="n">
        <v>1</v>
      </c>
      <c r="G1688" s="4" t="s">
        <v>6932</v>
      </c>
      <c r="H1688" s="4" t="n">
        <v>42.20351</v>
      </c>
      <c r="I1688" s="4" t="n">
        <v>-85.58752</v>
      </c>
      <c r="J1688" s="4" t="s">
        <v>6933</v>
      </c>
      <c r="K1688" s="6" t="str">
        <f aca="false">HYPERLINK("https://www.google.com/search?q=Portage+District+Library+Portage+MI+library+website","Search")</f>
        <v>Search</v>
      </c>
      <c r="L1688" s="7"/>
      <c r="M1688" s="7"/>
    </row>
    <row r="1689" customFormat="false" ht="15" hidden="false" customHeight="true" outlineLevel="0" collapsed="false">
      <c r="A1689" s="4" t="s">
        <v>6375</v>
      </c>
      <c r="B1689" s="4" t="s">
        <v>6934</v>
      </c>
      <c r="C1689" s="4" t="s">
        <v>6935</v>
      </c>
      <c r="D1689" s="4" t="s">
        <v>6935</v>
      </c>
      <c r="E1689" s="5" t="n">
        <v>18515</v>
      </c>
      <c r="F1689" s="4" t="n">
        <v>2</v>
      </c>
      <c r="G1689" s="4" t="s">
        <v>6936</v>
      </c>
      <c r="H1689" s="4" t="n">
        <v>47.1221</v>
      </c>
      <c r="I1689" s="4" t="n">
        <v>-88.56821</v>
      </c>
      <c r="J1689" s="4" t="s">
        <v>6937</v>
      </c>
      <c r="K1689" s="6" t="str">
        <f aca="false">HYPERLINK("https://www.google.com/search?q=Portage+Lake+District+Library+Houghton+MI+library+website","Search")</f>
        <v>Search</v>
      </c>
      <c r="L1689" s="7"/>
      <c r="M1689" s="7"/>
    </row>
    <row r="1690" customFormat="false" ht="15" hidden="false" customHeight="true" outlineLevel="0" collapsed="false">
      <c r="A1690" s="4" t="s">
        <v>6375</v>
      </c>
      <c r="B1690" s="4" t="s">
        <v>6938</v>
      </c>
      <c r="C1690" s="4" t="s">
        <v>4411</v>
      </c>
      <c r="D1690" s="4" t="s">
        <v>6412</v>
      </c>
      <c r="E1690" s="5" t="n">
        <v>14529</v>
      </c>
      <c r="F1690" s="4" t="n">
        <v>1</v>
      </c>
      <c r="G1690" s="4" t="s">
        <v>6939</v>
      </c>
      <c r="H1690" s="4" t="n">
        <v>42.86762</v>
      </c>
      <c r="I1690" s="4" t="n">
        <v>-84.90513</v>
      </c>
      <c r="J1690" s="4" t="s">
        <v>6940</v>
      </c>
      <c r="K1690" s="6" t="str">
        <f aca="false">HYPERLINK("https://www.google.com/search?q=Portland+District+Library+Portland+MI+library+website","Search")</f>
        <v>Search</v>
      </c>
      <c r="L1690" s="7"/>
      <c r="M1690" s="7"/>
    </row>
    <row r="1691" customFormat="false" ht="15" hidden="false" customHeight="true" outlineLevel="0" collapsed="false">
      <c r="A1691" s="4" t="s">
        <v>6375</v>
      </c>
      <c r="B1691" s="4" t="s">
        <v>6941</v>
      </c>
      <c r="C1691" s="4" t="s">
        <v>6942</v>
      </c>
      <c r="D1691" s="4" t="s">
        <v>6943</v>
      </c>
      <c r="E1691" s="5" t="n">
        <v>14332</v>
      </c>
      <c r="F1691" s="4" t="n">
        <v>5</v>
      </c>
      <c r="G1691" s="4" t="s">
        <v>6944</v>
      </c>
      <c r="H1691" s="4" t="n">
        <v>45.41992</v>
      </c>
      <c r="I1691" s="4" t="n">
        <v>-83.81463</v>
      </c>
      <c r="J1691" s="4" t="s">
        <v>6945</v>
      </c>
      <c r="K1691" s="6" t="str">
        <f aca="false">HYPERLINK("https://www.google.com/search?q=Presque+Isle+District+Library+Rogers+City+MI+library+website","Search")</f>
        <v>Search</v>
      </c>
      <c r="L1691" s="7"/>
      <c r="M1691" s="7"/>
    </row>
    <row r="1692" customFormat="false" ht="15" hidden="false" customHeight="true" outlineLevel="0" collapsed="false">
      <c r="A1692" s="4" t="s">
        <v>6375</v>
      </c>
      <c r="B1692" s="4" t="s">
        <v>6946</v>
      </c>
      <c r="C1692" s="4" t="s">
        <v>6471</v>
      </c>
      <c r="D1692" s="4" t="s">
        <v>6471</v>
      </c>
      <c r="E1692" s="5" t="n">
        <v>117256</v>
      </c>
      <c r="F1692" s="4" t="n">
        <v>4</v>
      </c>
      <c r="G1692" s="4" t="s">
        <v>6947</v>
      </c>
      <c r="H1692" s="4" t="n">
        <v>43.43018</v>
      </c>
      <c r="I1692" s="4" t="n">
        <v>-83.93574</v>
      </c>
      <c r="J1692" s="4" t="s">
        <v>6948</v>
      </c>
      <c r="K1692" s="6" t="str">
        <f aca="false">HYPERLINK("https://www.google.com/search?q=Public+Libraries+Of+Saginaw+Saginaw+MI+library+website","Search")</f>
        <v>Search</v>
      </c>
      <c r="L1692" s="7"/>
      <c r="M1692" s="7"/>
    </row>
    <row r="1693" customFormat="false" ht="15" hidden="false" customHeight="true" outlineLevel="0" collapsed="false">
      <c r="A1693" s="4" t="s">
        <v>6375</v>
      </c>
      <c r="B1693" s="4" t="s">
        <v>6949</v>
      </c>
      <c r="C1693" s="4" t="s">
        <v>6950</v>
      </c>
      <c r="D1693" s="4" t="s">
        <v>2849</v>
      </c>
      <c r="E1693" s="5" t="n">
        <v>49504</v>
      </c>
      <c r="F1693" s="4" t="n">
        <v>1</v>
      </c>
      <c r="G1693" s="4" t="s">
        <v>6951</v>
      </c>
      <c r="H1693" s="4" t="n">
        <v>42.4142</v>
      </c>
      <c r="I1693" s="4" t="n">
        <v>-83.28969</v>
      </c>
      <c r="J1693" s="4" t="s">
        <v>6952</v>
      </c>
      <c r="K1693" s="6" t="str">
        <f aca="false">HYPERLINK("https://www.google.com/search?q=Redford+Township+District+Library+Redford+MI+library+website","Search")</f>
        <v>Search</v>
      </c>
      <c r="L1693" s="7"/>
      <c r="M1693" s="7"/>
    </row>
    <row r="1694" customFormat="false" ht="15" hidden="false" customHeight="true" outlineLevel="0" collapsed="false">
      <c r="A1694" s="4" t="s">
        <v>6375</v>
      </c>
      <c r="B1694" s="4" t="s">
        <v>6953</v>
      </c>
      <c r="C1694" s="4" t="s">
        <v>6954</v>
      </c>
      <c r="D1694" s="4" t="s">
        <v>2849</v>
      </c>
      <c r="E1694" s="5" t="n">
        <v>12490</v>
      </c>
      <c r="F1694" s="4" t="n">
        <v>1</v>
      </c>
      <c r="G1694" s="4" t="s">
        <v>6955</v>
      </c>
      <c r="H1694" s="4" t="n">
        <v>42.17024</v>
      </c>
      <c r="I1694" s="4" t="n">
        <v>-83.19601</v>
      </c>
      <c r="J1694" s="4" t="s">
        <v>6956</v>
      </c>
      <c r="K1694" s="6" t="str">
        <f aca="false">HYPERLINK("https://www.google.com/search?q=Riverview+Public+Library+Riverview+MI+library+website","Search")</f>
        <v>Search</v>
      </c>
      <c r="L1694" s="7"/>
      <c r="M1694" s="7"/>
    </row>
    <row r="1695" customFormat="false" ht="15" hidden="false" customHeight="true" outlineLevel="0" collapsed="false">
      <c r="A1695" s="4" t="s">
        <v>6375</v>
      </c>
      <c r="B1695" s="4" t="s">
        <v>6957</v>
      </c>
      <c r="C1695" s="4" t="s">
        <v>4350</v>
      </c>
      <c r="D1695" s="4" t="s">
        <v>1246</v>
      </c>
      <c r="E1695" s="5" t="n">
        <v>109402</v>
      </c>
      <c r="F1695" s="4" t="n">
        <v>1</v>
      </c>
      <c r="G1695" s="4" t="s">
        <v>6958</v>
      </c>
      <c r="H1695" s="4" t="n">
        <v>42.68345</v>
      </c>
      <c r="I1695" s="4" t="n">
        <v>-83.13074</v>
      </c>
      <c r="J1695" s="4" t="s">
        <v>6959</v>
      </c>
      <c r="K1695" s="6" t="str">
        <f aca="false">HYPERLINK("https://www.google.com/search?q=Rochester+Hills+Public+Library+Rochester+MI+library+website","Search")</f>
        <v>Search</v>
      </c>
      <c r="L1695" s="7"/>
      <c r="M1695" s="7"/>
    </row>
    <row r="1696" customFormat="false" ht="15" hidden="false" customHeight="true" outlineLevel="0" collapsed="false">
      <c r="A1696" s="4" t="s">
        <v>6375</v>
      </c>
      <c r="B1696" s="4" t="s">
        <v>6960</v>
      </c>
      <c r="C1696" s="4" t="s">
        <v>6961</v>
      </c>
      <c r="D1696" s="4" t="s">
        <v>3792</v>
      </c>
      <c r="E1696" s="5" t="n">
        <v>37489</v>
      </c>
      <c r="F1696" s="4" t="n">
        <v>2</v>
      </c>
      <c r="G1696" s="4" t="s">
        <v>6962</v>
      </c>
      <c r="H1696" s="4" t="n">
        <v>42.7769</v>
      </c>
      <c r="I1696" s="4" t="n">
        <v>-83.01581</v>
      </c>
      <c r="J1696" s="4" t="s">
        <v>6963</v>
      </c>
      <c r="K1696" s="6" t="str">
        <f aca="false">HYPERLINK("https://www.google.com/search?q=Romeo+District+Library+Romeo+MI+library+website","Search")</f>
        <v>Search</v>
      </c>
      <c r="L1696" s="7"/>
      <c r="M1696" s="7"/>
    </row>
    <row r="1697" customFormat="false" ht="15" hidden="false" customHeight="true" outlineLevel="0" collapsed="false">
      <c r="A1697" s="4" t="s">
        <v>6375</v>
      </c>
      <c r="B1697" s="4" t="s">
        <v>6964</v>
      </c>
      <c r="C1697" s="4" t="s">
        <v>6965</v>
      </c>
      <c r="D1697" s="4" t="s">
        <v>2849</v>
      </c>
      <c r="E1697" s="5" t="n">
        <v>42122</v>
      </c>
      <c r="F1697" s="4" t="n">
        <v>1</v>
      </c>
      <c r="G1697" s="4" t="s">
        <v>6966</v>
      </c>
      <c r="H1697" s="4" t="n">
        <v>42.22163</v>
      </c>
      <c r="I1697" s="4" t="n">
        <v>-83.3853</v>
      </c>
      <c r="J1697" s="4" t="s">
        <v>6967</v>
      </c>
      <c r="K1697" s="6" t="str">
        <f aca="false">HYPERLINK("https://www.google.com/search?q=Romulus+Public+Library+Romulus+MI+library+website","Search")</f>
        <v>Search</v>
      </c>
      <c r="L1697" s="7"/>
      <c r="M1697" s="7"/>
    </row>
    <row r="1698" customFormat="false" ht="15" hidden="false" customHeight="true" outlineLevel="0" collapsed="false">
      <c r="A1698" s="4" t="s">
        <v>6375</v>
      </c>
      <c r="B1698" s="4" t="s">
        <v>1358</v>
      </c>
      <c r="C1698" s="4" t="s">
        <v>1359</v>
      </c>
      <c r="D1698" s="4" t="s">
        <v>3792</v>
      </c>
      <c r="E1698" s="5" t="n">
        <v>47710</v>
      </c>
      <c r="F1698" s="4" t="n">
        <v>1</v>
      </c>
      <c r="G1698" s="4" t="s">
        <v>6968</v>
      </c>
      <c r="H1698" s="4" t="n">
        <v>42.51495</v>
      </c>
      <c r="I1698" s="4" t="n">
        <v>-82.92538</v>
      </c>
      <c r="J1698" s="4" t="s">
        <v>6969</v>
      </c>
      <c r="K1698" s="6" t="str">
        <f aca="false">HYPERLINK("https://www.google.com/search?q=Roseville+Public+Library+Roseville+MI+library+website","Search")</f>
        <v>Search</v>
      </c>
      <c r="L1698" s="7"/>
      <c r="M1698" s="7"/>
    </row>
    <row r="1699" customFormat="false" ht="15" hidden="false" customHeight="true" outlineLevel="0" collapsed="false">
      <c r="A1699" s="4" t="s">
        <v>6375</v>
      </c>
      <c r="B1699" s="4" t="s">
        <v>6970</v>
      </c>
      <c r="C1699" s="4" t="s">
        <v>6971</v>
      </c>
      <c r="D1699" s="4" t="s">
        <v>1246</v>
      </c>
      <c r="E1699" s="5" t="n">
        <v>58211</v>
      </c>
      <c r="F1699" s="4" t="n">
        <v>1</v>
      </c>
      <c r="G1699" s="4" t="s">
        <v>6972</v>
      </c>
      <c r="H1699" s="4" t="n">
        <v>42.48983</v>
      </c>
      <c r="I1699" s="4" t="n">
        <v>-83.1427</v>
      </c>
      <c r="J1699" s="4" t="s">
        <v>6973</v>
      </c>
      <c r="K1699" s="6" t="str">
        <f aca="false">HYPERLINK("https://www.google.com/search?q=Royal+Oak+Public+Library+Royal+Oak+MI+library+website","Search")</f>
        <v>Search</v>
      </c>
      <c r="L1699" s="7"/>
      <c r="M1699" s="7"/>
    </row>
    <row r="1700" customFormat="false" ht="15" hidden="false" customHeight="true" outlineLevel="0" collapsed="false">
      <c r="A1700" s="4" t="s">
        <v>6375</v>
      </c>
      <c r="B1700" s="4" t="s">
        <v>6974</v>
      </c>
      <c r="C1700" s="4" t="s">
        <v>6975</v>
      </c>
      <c r="D1700" s="4" t="s">
        <v>6787</v>
      </c>
      <c r="E1700" s="5" t="n">
        <v>11524</v>
      </c>
      <c r="F1700" s="4" t="n">
        <v>2</v>
      </c>
      <c r="G1700" s="4" t="s">
        <v>6976</v>
      </c>
      <c r="H1700" s="4" t="n">
        <v>43.02585</v>
      </c>
      <c r="I1700" s="4" t="n">
        <v>-83.0775</v>
      </c>
      <c r="J1700" s="4" t="s">
        <v>6977</v>
      </c>
      <c r="K1700" s="6" t="str">
        <f aca="false">HYPERLINK("https://www.google.com/search?q=Ruth+Hughes+Memorial+District+Library+Imlay+City+MI+library+website","Search")</f>
        <v>Search</v>
      </c>
      <c r="L1700" s="7"/>
      <c r="M1700" s="7"/>
    </row>
    <row r="1701" customFormat="false" ht="15" hidden="false" customHeight="true" outlineLevel="0" collapsed="false">
      <c r="A1701" s="4" t="s">
        <v>6375</v>
      </c>
      <c r="B1701" s="4" t="s">
        <v>6978</v>
      </c>
      <c r="C1701" s="4" t="s">
        <v>6979</v>
      </c>
      <c r="D1701" s="4" t="s">
        <v>6980</v>
      </c>
      <c r="E1701" s="5" t="n">
        <v>157616</v>
      </c>
      <c r="F1701" s="4" t="n">
        <v>11</v>
      </c>
      <c r="G1701" s="4" t="s">
        <v>6981</v>
      </c>
      <c r="H1701" s="4" t="n">
        <v>42.97863</v>
      </c>
      <c r="I1701" s="4" t="n">
        <v>-82.42148</v>
      </c>
      <c r="J1701" s="4" t="s">
        <v>6982</v>
      </c>
      <c r="K1701" s="6" t="str">
        <f aca="false">HYPERLINK("https://www.google.com/search?q=Saint+Clair+County+Library+System+Port+Huron+MI+library+website","Search")</f>
        <v>Search</v>
      </c>
      <c r="L1701" s="7"/>
      <c r="M1701" s="7"/>
    </row>
    <row r="1702" customFormat="false" ht="15" hidden="false" customHeight="true" outlineLevel="0" collapsed="false">
      <c r="A1702" s="4" t="s">
        <v>6375</v>
      </c>
      <c r="B1702" s="4" t="s">
        <v>6983</v>
      </c>
      <c r="C1702" s="4" t="s">
        <v>6984</v>
      </c>
      <c r="D1702" s="4" t="s">
        <v>3792</v>
      </c>
      <c r="E1702" s="5" t="n">
        <v>58874</v>
      </c>
      <c r="F1702" s="4" t="n">
        <v>1</v>
      </c>
      <c r="G1702" s="4" t="s">
        <v>6985</v>
      </c>
      <c r="H1702" s="4" t="n">
        <v>42.49653</v>
      </c>
      <c r="I1702" s="4" t="n">
        <v>-82.88794</v>
      </c>
      <c r="J1702" s="4" t="s">
        <v>6986</v>
      </c>
      <c r="K1702" s="6" t="str">
        <f aca="false">HYPERLINK("https://www.google.com/search?q=Saint+Clair+Shores+Public+Library+St.+Clair+Shores+MI+library+website","Search")</f>
        <v>Search</v>
      </c>
      <c r="L1702" s="7"/>
      <c r="M1702" s="7"/>
    </row>
    <row r="1703" customFormat="false" ht="15" hidden="false" customHeight="true" outlineLevel="0" collapsed="false">
      <c r="A1703" s="4" t="s">
        <v>6375</v>
      </c>
      <c r="B1703" s="4" t="s">
        <v>6987</v>
      </c>
      <c r="C1703" s="4" t="s">
        <v>6820</v>
      </c>
      <c r="D1703" s="4" t="s">
        <v>6417</v>
      </c>
      <c r="E1703" s="5" t="n">
        <v>18502</v>
      </c>
      <c r="F1703" s="4" t="n">
        <v>1</v>
      </c>
      <c r="G1703" s="4" t="s">
        <v>6988</v>
      </c>
      <c r="H1703" s="4" t="n">
        <v>42.42921</v>
      </c>
      <c r="I1703" s="4" t="n">
        <v>-83.64903</v>
      </c>
      <c r="J1703" s="4" t="s">
        <v>6989</v>
      </c>
      <c r="K1703" s="6" t="str">
        <f aca="false">HYPERLINK("https://www.google.com/search?q=Salem-South+Lyon+District+Library+South+Lyon+MI+library+website","Search")</f>
        <v>Search</v>
      </c>
      <c r="L1703" s="7"/>
      <c r="M1703" s="7"/>
    </row>
    <row r="1704" customFormat="false" ht="15" hidden="false" customHeight="true" outlineLevel="0" collapsed="false">
      <c r="A1704" s="4" t="s">
        <v>6375</v>
      </c>
      <c r="B1704" s="4" t="s">
        <v>6990</v>
      </c>
      <c r="C1704" s="4" t="s">
        <v>3663</v>
      </c>
      <c r="D1704" s="4" t="s">
        <v>6417</v>
      </c>
      <c r="E1704" s="5" t="n">
        <v>28291</v>
      </c>
      <c r="F1704" s="4" t="n">
        <v>1</v>
      </c>
      <c r="G1704" s="4" t="s">
        <v>6991</v>
      </c>
      <c r="H1704" s="4" t="n">
        <v>42.1778</v>
      </c>
      <c r="I1704" s="4" t="n">
        <v>-83.77427</v>
      </c>
      <c r="J1704" s="4" t="s">
        <v>6992</v>
      </c>
      <c r="K1704" s="6" t="str">
        <f aca="false">HYPERLINK("https://www.google.com/search?q=Saline+District+Library+Saline+MI+library+website","Search")</f>
        <v>Search</v>
      </c>
      <c r="L1704" s="7"/>
      <c r="M1704" s="7"/>
    </row>
    <row r="1705" customFormat="false" ht="15" hidden="false" customHeight="true" outlineLevel="0" collapsed="false">
      <c r="A1705" s="4" t="s">
        <v>6375</v>
      </c>
      <c r="B1705" s="4" t="s">
        <v>6993</v>
      </c>
      <c r="C1705" s="4" t="s">
        <v>6994</v>
      </c>
      <c r="D1705" s="4" t="s">
        <v>6412</v>
      </c>
      <c r="E1705" s="5" t="n">
        <v>10470</v>
      </c>
      <c r="F1705" s="4" t="n">
        <v>2</v>
      </c>
      <c r="G1705" s="4" t="s">
        <v>6995</v>
      </c>
      <c r="H1705" s="4" t="n">
        <v>42.9306</v>
      </c>
      <c r="I1705" s="4" t="n">
        <v>-85.21333</v>
      </c>
      <c r="J1705" s="4" t="s">
        <v>6996</v>
      </c>
      <c r="K1705" s="6" t="str">
        <f aca="false">HYPERLINK("https://www.google.com/search?q=Saranac+Public+Library+Saranac+MI+library+website","Search")</f>
        <v>Search</v>
      </c>
      <c r="L1705" s="7"/>
      <c r="M1705" s="7"/>
    </row>
    <row r="1706" customFormat="false" ht="15" hidden="false" customHeight="true" outlineLevel="0" collapsed="false">
      <c r="A1706" s="4" t="s">
        <v>6375</v>
      </c>
      <c r="B1706" s="4" t="s">
        <v>6997</v>
      </c>
      <c r="C1706" s="4" t="s">
        <v>53</v>
      </c>
      <c r="D1706" s="4" t="s">
        <v>6998</v>
      </c>
      <c r="E1706" s="5" t="n">
        <v>11520</v>
      </c>
      <c r="F1706" s="4" t="n">
        <v>1</v>
      </c>
      <c r="G1706" s="4" t="s">
        <v>6999</v>
      </c>
      <c r="H1706" s="4" t="n">
        <v>43.61201</v>
      </c>
      <c r="I1706" s="4" t="n">
        <v>-86.36239</v>
      </c>
      <c r="J1706" s="4" t="s">
        <v>7000</v>
      </c>
      <c r="K1706" s="6" t="str">
        <f aca="false">HYPERLINK("https://www.google.com/search?q=Shelby+Area+District+Library+Shelby+MI+library+website","Search")</f>
        <v>Search</v>
      </c>
      <c r="L1706" s="7"/>
      <c r="M1706" s="7"/>
    </row>
    <row r="1707" customFormat="false" ht="15" hidden="false" customHeight="true" outlineLevel="0" collapsed="false">
      <c r="A1707" s="4" t="s">
        <v>6375</v>
      </c>
      <c r="B1707" s="4" t="s">
        <v>7001</v>
      </c>
      <c r="C1707" s="4" t="s">
        <v>7002</v>
      </c>
      <c r="D1707" s="4" t="s">
        <v>3792</v>
      </c>
      <c r="E1707" s="5" t="n">
        <v>79408</v>
      </c>
      <c r="F1707" s="4" t="n">
        <v>1</v>
      </c>
      <c r="G1707" s="4" t="s">
        <v>7003</v>
      </c>
      <c r="H1707" s="4" t="n">
        <v>42.67378</v>
      </c>
      <c r="I1707" s="4" t="n">
        <v>-83.03399</v>
      </c>
      <c r="J1707" s="4" t="s">
        <v>7004</v>
      </c>
      <c r="K1707" s="6" t="str">
        <f aca="false">HYPERLINK("https://www.google.com/search?q=Shelby+Township+Library+Shelby+Township+MI+library+website","Search")</f>
        <v>Search</v>
      </c>
      <c r="L1707" s="7"/>
      <c r="M1707" s="7"/>
    </row>
    <row r="1708" customFormat="false" ht="15" hidden="false" customHeight="true" outlineLevel="0" collapsed="false">
      <c r="A1708" s="4" t="s">
        <v>6375</v>
      </c>
      <c r="B1708" s="4" t="s">
        <v>7005</v>
      </c>
      <c r="C1708" s="4" t="s">
        <v>7006</v>
      </c>
      <c r="D1708" s="4" t="s">
        <v>6555</v>
      </c>
      <c r="E1708" s="5" t="n">
        <v>27373</v>
      </c>
      <c r="F1708" s="4" t="n">
        <v>2</v>
      </c>
      <c r="G1708" s="4" t="s">
        <v>7007</v>
      </c>
      <c r="H1708" s="4" t="n">
        <v>42.99765</v>
      </c>
      <c r="I1708" s="4" t="n">
        <v>-84.17696</v>
      </c>
      <c r="J1708" s="4" t="s">
        <v>7008</v>
      </c>
      <c r="K1708" s="6" t="str">
        <f aca="false">HYPERLINK("https://www.google.com/search?q=Shiawassee+District+Library+Owosso+MI+library+website","Search")</f>
        <v>Search</v>
      </c>
      <c r="L1708" s="7"/>
      <c r="M1708" s="7"/>
    </row>
    <row r="1709" customFormat="false" ht="15" hidden="false" customHeight="true" outlineLevel="0" collapsed="false">
      <c r="A1709" s="4" t="s">
        <v>6375</v>
      </c>
      <c r="B1709" s="4" t="s">
        <v>7009</v>
      </c>
      <c r="C1709" s="4" t="s">
        <v>7010</v>
      </c>
      <c r="D1709" s="4" t="s">
        <v>1246</v>
      </c>
      <c r="E1709" s="5" t="n">
        <v>80706</v>
      </c>
      <c r="F1709" s="4" t="n">
        <v>1</v>
      </c>
      <c r="G1709" s="4" t="s">
        <v>7011</v>
      </c>
      <c r="H1709" s="4" t="n">
        <v>42.48263</v>
      </c>
      <c r="I1709" s="4" t="n">
        <v>-83.24084</v>
      </c>
      <c r="J1709" s="4" t="s">
        <v>7012</v>
      </c>
      <c r="K1709" s="6" t="str">
        <f aca="false">HYPERLINK("https://www.google.com/search?q=Southfield+Public+Library+Southfield+MI+library+website","Search")</f>
        <v>Search</v>
      </c>
      <c r="L1709" s="7"/>
      <c r="M1709" s="7"/>
    </row>
    <row r="1710" customFormat="false" ht="15" hidden="false" customHeight="true" outlineLevel="0" collapsed="false">
      <c r="A1710" s="4" t="s">
        <v>6375</v>
      </c>
      <c r="B1710" s="4" t="s">
        <v>7013</v>
      </c>
      <c r="C1710" s="4" t="s">
        <v>7014</v>
      </c>
      <c r="D1710" s="4" t="s">
        <v>2849</v>
      </c>
      <c r="E1710" s="5" t="n">
        <v>30014</v>
      </c>
      <c r="F1710" s="4" t="n">
        <v>1</v>
      </c>
      <c r="G1710" s="4" t="s">
        <v>7015</v>
      </c>
      <c r="H1710" s="4" t="n">
        <v>42.20324</v>
      </c>
      <c r="I1710" s="4" t="n">
        <v>-83.20706</v>
      </c>
      <c r="J1710" s="4" t="s">
        <v>7016</v>
      </c>
      <c r="K1710" s="6" t="str">
        <f aca="false">HYPERLINK("https://www.google.com/search?q=Southgate+Veterans+Memorial+Library+Southgate+MI+library+website","Search")</f>
        <v>Search</v>
      </c>
      <c r="L1710" s="7"/>
      <c r="M1710" s="7"/>
    </row>
    <row r="1711" customFormat="false" ht="15" hidden="false" customHeight="true" outlineLevel="0" collapsed="false">
      <c r="A1711" s="4" t="s">
        <v>6375</v>
      </c>
      <c r="B1711" s="4" t="s">
        <v>7017</v>
      </c>
      <c r="C1711" s="4" t="s">
        <v>7018</v>
      </c>
      <c r="D1711" s="4" t="s">
        <v>4001</v>
      </c>
      <c r="E1711" s="5" t="n">
        <v>19868</v>
      </c>
      <c r="F1711" s="4" t="n">
        <v>1</v>
      </c>
      <c r="G1711" s="4" t="s">
        <v>7019</v>
      </c>
      <c r="H1711" s="4" t="n">
        <v>43.07563</v>
      </c>
      <c r="I1711" s="4" t="n">
        <v>-86.19565</v>
      </c>
      <c r="J1711" s="4" t="s">
        <v>7020</v>
      </c>
      <c r="K1711" s="6" t="str">
        <f aca="false">HYPERLINK("https://www.google.com/search?q=Spring+Lake+District+Library+Spring+Lake+MI+library+website","Search")</f>
        <v>Search</v>
      </c>
      <c r="L1711" s="7"/>
      <c r="M1711" s="7"/>
    </row>
    <row r="1712" customFormat="false" ht="15" hidden="false" customHeight="true" outlineLevel="0" collapsed="false">
      <c r="A1712" s="4" t="s">
        <v>6375</v>
      </c>
      <c r="B1712" s="4" t="s">
        <v>7021</v>
      </c>
      <c r="C1712" s="4" t="s">
        <v>7022</v>
      </c>
      <c r="D1712" s="4" t="s">
        <v>1246</v>
      </c>
      <c r="E1712" s="5" t="n">
        <v>14703</v>
      </c>
      <c r="F1712" s="4" t="n">
        <v>1</v>
      </c>
      <c r="G1712" s="4" t="s">
        <v>7023</v>
      </c>
      <c r="H1712" s="4" t="n">
        <v>42.75289</v>
      </c>
      <c r="I1712" s="4" t="n">
        <v>-83.54901</v>
      </c>
      <c r="J1712" s="4" t="s">
        <v>7024</v>
      </c>
      <c r="K1712" s="6" t="str">
        <f aca="false">HYPERLINK("https://www.google.com/search?q=Springfield+Township+Library+Davisburg+MI+library+website","Search")</f>
        <v>Search</v>
      </c>
      <c r="L1712" s="7"/>
      <c r="M1712" s="7"/>
    </row>
    <row r="1713" customFormat="false" ht="15" hidden="false" customHeight="true" outlineLevel="0" collapsed="false">
      <c r="A1713" s="4" t="s">
        <v>6375</v>
      </c>
      <c r="B1713" s="4" t="s">
        <v>7025</v>
      </c>
      <c r="C1713" s="4" t="s">
        <v>7026</v>
      </c>
      <c r="D1713" s="4" t="s">
        <v>3792</v>
      </c>
      <c r="E1713" s="5" t="n">
        <v>134346</v>
      </c>
      <c r="F1713" s="4" t="n">
        <v>1</v>
      </c>
      <c r="G1713" s="4" t="s">
        <v>7027</v>
      </c>
      <c r="H1713" s="4" t="n">
        <v>42.59077</v>
      </c>
      <c r="I1713" s="4" t="n">
        <v>-83.01116</v>
      </c>
      <c r="J1713" s="4" t="s">
        <v>7028</v>
      </c>
      <c r="K1713" s="6" t="str">
        <f aca="false">HYPERLINK("https://www.google.com/search?q=Sterling+Heights+Public+Library+Sterling+Heights+MI+library+website","Search")</f>
        <v>Search</v>
      </c>
      <c r="L1713" s="7"/>
      <c r="M1713" s="7"/>
    </row>
    <row r="1714" customFormat="false" ht="15" hidden="false" customHeight="true" outlineLevel="0" collapsed="false">
      <c r="A1714" s="4" t="s">
        <v>6375</v>
      </c>
      <c r="B1714" s="4" t="s">
        <v>7029</v>
      </c>
      <c r="C1714" s="4" t="s">
        <v>7030</v>
      </c>
      <c r="D1714" s="4" t="s">
        <v>7031</v>
      </c>
      <c r="E1714" s="5" t="n">
        <v>18155</v>
      </c>
      <c r="F1714" s="4" t="n">
        <v>1</v>
      </c>
      <c r="G1714" s="4" t="s">
        <v>7032</v>
      </c>
      <c r="H1714" s="4" t="n">
        <v>41.80069</v>
      </c>
      <c r="I1714" s="4" t="n">
        <v>-85.42027</v>
      </c>
      <c r="J1714" s="4" t="s">
        <v>7033</v>
      </c>
      <c r="K1714" s="6" t="str">
        <f aca="false">HYPERLINK("https://www.google.com/search?q=Sturgis+District+Library+Sturgis+MI+library+website","Search")</f>
        <v>Search</v>
      </c>
      <c r="L1714" s="7"/>
      <c r="M1714" s="7"/>
    </row>
    <row r="1715" customFormat="false" ht="15" hidden="false" customHeight="true" outlineLevel="0" collapsed="false">
      <c r="A1715" s="4" t="s">
        <v>6375</v>
      </c>
      <c r="B1715" s="4" t="s">
        <v>7034</v>
      </c>
      <c r="C1715" s="4" t="s">
        <v>7035</v>
      </c>
      <c r="D1715" s="4" t="s">
        <v>7036</v>
      </c>
      <c r="E1715" s="5" t="n">
        <v>41170</v>
      </c>
      <c r="F1715" s="4" t="n">
        <v>9</v>
      </c>
      <c r="G1715" s="4" t="s">
        <v>7037</v>
      </c>
      <c r="H1715" s="4" t="n">
        <v>46.49548</v>
      </c>
      <c r="I1715" s="4" t="n">
        <v>-84.3484</v>
      </c>
      <c r="J1715" s="4" t="s">
        <v>7038</v>
      </c>
      <c r="K1715" s="6" t="str">
        <f aca="false">HYPERLINK("https://www.google.com/search?q=Superior+District+Library+Sault+Ste+Marie+MI+library+website","Search")</f>
        <v>Search</v>
      </c>
      <c r="L1715" s="7"/>
      <c r="M1715" s="7"/>
    </row>
    <row r="1716" customFormat="false" ht="15" hidden="false" customHeight="true" outlineLevel="0" collapsed="false">
      <c r="A1716" s="4" t="s">
        <v>6375</v>
      </c>
      <c r="B1716" s="4" t="s">
        <v>7039</v>
      </c>
      <c r="C1716" s="4" t="s">
        <v>7040</v>
      </c>
      <c r="D1716" s="4" t="s">
        <v>6503</v>
      </c>
      <c r="E1716" s="5" t="n">
        <v>10328</v>
      </c>
      <c r="F1716" s="4" t="n">
        <v>1</v>
      </c>
      <c r="G1716" s="4" t="s">
        <v>7041</v>
      </c>
      <c r="H1716" s="4" t="n">
        <v>43.43932</v>
      </c>
      <c r="I1716" s="4" t="n">
        <v>-85.27273</v>
      </c>
      <c r="J1716" s="4" t="s">
        <v>7042</v>
      </c>
      <c r="K1716" s="6" t="str">
        <f aca="false">HYPERLINK("https://www.google.com/search?q=Tamarack+District+Library+Lakeview+MI+library+website","Search")</f>
        <v>Search</v>
      </c>
      <c r="L1716" s="7"/>
      <c r="M1716" s="7"/>
    </row>
    <row r="1717" customFormat="false" ht="15" hidden="false" customHeight="true" outlineLevel="0" collapsed="false">
      <c r="A1717" s="4" t="s">
        <v>6375</v>
      </c>
      <c r="B1717" s="4" t="s">
        <v>7043</v>
      </c>
      <c r="C1717" s="4" t="s">
        <v>5179</v>
      </c>
      <c r="D1717" s="4" t="s">
        <v>2849</v>
      </c>
      <c r="E1717" s="5" t="n">
        <v>63409</v>
      </c>
      <c r="F1717" s="4" t="n">
        <v>1</v>
      </c>
      <c r="G1717" s="4" t="s">
        <v>7044</v>
      </c>
      <c r="H1717" s="4" t="n">
        <v>42.21695</v>
      </c>
      <c r="I1717" s="4" t="n">
        <v>-83.25404</v>
      </c>
      <c r="J1717" s="4" t="s">
        <v>7045</v>
      </c>
      <c r="K1717" s="6" t="str">
        <f aca="false">HYPERLINK("https://www.google.com/search?q=Taylor+Community+Library+Taylor+MI+library+website","Search")</f>
        <v>Search</v>
      </c>
      <c r="L1717" s="7"/>
      <c r="M1717" s="7"/>
    </row>
    <row r="1718" customFormat="false" ht="15" hidden="false" customHeight="true" outlineLevel="0" collapsed="false">
      <c r="A1718" s="4" t="s">
        <v>6375</v>
      </c>
      <c r="B1718" s="4" t="s">
        <v>7046</v>
      </c>
      <c r="C1718" s="4" t="s">
        <v>7047</v>
      </c>
      <c r="D1718" s="4" t="s">
        <v>6378</v>
      </c>
      <c r="E1718" s="5" t="n">
        <v>18444</v>
      </c>
      <c r="F1718" s="4" t="n">
        <v>1</v>
      </c>
      <c r="G1718" s="4" t="s">
        <v>7048</v>
      </c>
      <c r="H1718" s="4" t="n">
        <v>42.0065</v>
      </c>
      <c r="I1718" s="4" t="n">
        <v>-83.94379</v>
      </c>
      <c r="J1718" s="4" t="s">
        <v>7049</v>
      </c>
      <c r="K1718" s="6" t="str">
        <f aca="false">HYPERLINK("https://www.google.com/search?q=Tecumseh+District+Library+Tecumseh+MI+library+website","Search")</f>
        <v>Search</v>
      </c>
      <c r="L1718" s="7"/>
      <c r="M1718" s="7"/>
    </row>
    <row r="1719" customFormat="false" ht="15" hidden="false" customHeight="true" outlineLevel="0" collapsed="false">
      <c r="A1719" s="4" t="s">
        <v>6375</v>
      </c>
      <c r="B1719" s="4" t="s">
        <v>7050</v>
      </c>
      <c r="C1719" s="4" t="s">
        <v>7051</v>
      </c>
      <c r="D1719" s="4" t="s">
        <v>6403</v>
      </c>
      <c r="E1719" s="5" t="n">
        <v>10378</v>
      </c>
      <c r="F1719" s="4" t="n">
        <v>1</v>
      </c>
      <c r="G1719" s="4" t="s">
        <v>7052</v>
      </c>
      <c r="H1719" s="4" t="n">
        <v>43.40509</v>
      </c>
      <c r="I1719" s="4" t="n">
        <v>-84.61076</v>
      </c>
      <c r="J1719" s="4" t="s">
        <v>7053</v>
      </c>
      <c r="K1719" s="6" t="str">
        <f aca="false">HYPERLINK("https://www.google.com/search?q=Theodore+A.+Cutler+Memorial+Library+Saint+Louis+MI+library+website","Search")</f>
        <v>Search</v>
      </c>
      <c r="L1719" s="7"/>
      <c r="M1719" s="7"/>
    </row>
    <row r="1720" customFormat="false" ht="15" hidden="false" customHeight="true" outlineLevel="0" collapsed="false">
      <c r="A1720" s="4" t="s">
        <v>6375</v>
      </c>
      <c r="B1720" s="4" t="s">
        <v>7054</v>
      </c>
      <c r="C1720" s="4" t="s">
        <v>6471</v>
      </c>
      <c r="D1720" s="4" t="s">
        <v>6471</v>
      </c>
      <c r="E1720" s="5" t="n">
        <v>11931</v>
      </c>
      <c r="F1720" s="4" t="n">
        <v>1</v>
      </c>
      <c r="G1720" s="4" t="s">
        <v>7055</v>
      </c>
      <c r="H1720" s="4" t="n">
        <v>43.41878</v>
      </c>
      <c r="I1720" s="4" t="n">
        <v>-84.07481</v>
      </c>
      <c r="J1720" s="4" t="s">
        <v>7056</v>
      </c>
      <c r="K1720" s="6" t="str">
        <f aca="false">HYPERLINK("https://www.google.com/search?q=Thomas+Township+Library+Saginaw+MI+library+website","Search")</f>
        <v>Search</v>
      </c>
      <c r="L1720" s="7"/>
      <c r="M1720" s="7"/>
    </row>
    <row r="1721" customFormat="false" ht="15" hidden="false" customHeight="true" outlineLevel="0" collapsed="false">
      <c r="A1721" s="4" t="s">
        <v>6375</v>
      </c>
      <c r="B1721" s="4" t="s">
        <v>7057</v>
      </c>
      <c r="C1721" s="4" t="s">
        <v>7058</v>
      </c>
      <c r="D1721" s="4" t="s">
        <v>6723</v>
      </c>
      <c r="E1721" s="5" t="n">
        <v>18577</v>
      </c>
      <c r="F1721" s="4" t="n">
        <v>1</v>
      </c>
      <c r="G1721" s="4" t="s">
        <v>7059</v>
      </c>
      <c r="H1721" s="4" t="n">
        <v>42.70916</v>
      </c>
      <c r="I1721" s="4" t="n">
        <v>-85.48887</v>
      </c>
      <c r="J1721" s="4" t="s">
        <v>7060</v>
      </c>
      <c r="K1721" s="6" t="str">
        <f aca="false">HYPERLINK("https://www.google.com/search?q=Thornapple+Kellogg+School+And+Community+Library+Middleville+MI+library+website","Search")</f>
        <v>Search</v>
      </c>
      <c r="L1721" s="7"/>
      <c r="M1721" s="7"/>
    </row>
    <row r="1722" customFormat="false" ht="15" hidden="false" customHeight="true" outlineLevel="0" collapsed="false">
      <c r="A1722" s="4" t="s">
        <v>6375</v>
      </c>
      <c r="B1722" s="4" t="s">
        <v>7061</v>
      </c>
      <c r="C1722" s="4" t="s">
        <v>7062</v>
      </c>
      <c r="D1722" s="4" t="s">
        <v>7031</v>
      </c>
      <c r="E1722" s="5" t="n">
        <v>13149</v>
      </c>
      <c r="F1722" s="4" t="n">
        <v>1</v>
      </c>
      <c r="G1722" s="4" t="s">
        <v>7063</v>
      </c>
      <c r="H1722" s="4" t="n">
        <v>41.94586</v>
      </c>
      <c r="I1722" s="4" t="n">
        <v>-85.63467</v>
      </c>
      <c r="J1722" s="4" t="s">
        <v>7064</v>
      </c>
      <c r="K1722" s="6" t="str">
        <f aca="false">HYPERLINK("https://www.google.com/search?q=Three+Rivers+Public+Library+Three+Rivers+MI+library+website","Search")</f>
        <v>Search</v>
      </c>
      <c r="L1722" s="7"/>
      <c r="M1722" s="7"/>
    </row>
    <row r="1723" customFormat="false" ht="15" hidden="false" customHeight="true" outlineLevel="0" collapsed="false">
      <c r="A1723" s="4" t="s">
        <v>6375</v>
      </c>
      <c r="B1723" s="4" t="s">
        <v>7065</v>
      </c>
      <c r="C1723" s="4" t="s">
        <v>7066</v>
      </c>
      <c r="D1723" s="4" t="s">
        <v>7067</v>
      </c>
      <c r="E1723" s="5" t="n">
        <v>106726</v>
      </c>
      <c r="F1723" s="4" t="n">
        <v>3</v>
      </c>
      <c r="G1723" s="4" t="s">
        <v>7068</v>
      </c>
      <c r="H1723" s="4" t="n">
        <v>44.75721</v>
      </c>
      <c r="I1723" s="4" t="n">
        <v>-85.60766</v>
      </c>
      <c r="J1723" s="4" t="s">
        <v>7069</v>
      </c>
      <c r="K1723" s="6" t="str">
        <f aca="false">HYPERLINK("https://www.google.com/search?q=Traverse+Area+District+Library+Traverse+City+MI+library+website","Search")</f>
        <v>Search</v>
      </c>
      <c r="L1723" s="7"/>
      <c r="M1723" s="8" t="str">
        <f aca="false">HYPERLINK("https://tadl.overdrive.com","https://tadl.overdrive.com")</f>
        <v>https://tadl.overdrive.com</v>
      </c>
    </row>
    <row r="1724" customFormat="false" ht="15" hidden="false" customHeight="true" outlineLevel="0" collapsed="false">
      <c r="A1724" s="4" t="s">
        <v>6375</v>
      </c>
      <c r="B1724" s="4" t="s">
        <v>7070</v>
      </c>
      <c r="C1724" s="4" t="s">
        <v>7071</v>
      </c>
      <c r="D1724" s="4" t="s">
        <v>2849</v>
      </c>
      <c r="E1724" s="5" t="n">
        <v>75467</v>
      </c>
      <c r="F1724" s="4" t="n">
        <v>1</v>
      </c>
      <c r="G1724" s="4" t="s">
        <v>7072</v>
      </c>
      <c r="H1724" s="4" t="n">
        <v>42.1416</v>
      </c>
      <c r="I1724" s="4" t="n">
        <v>-83.20495</v>
      </c>
      <c r="J1724" s="4" t="s">
        <v>7073</v>
      </c>
      <c r="K1724" s="6" t="str">
        <f aca="false">HYPERLINK("https://www.google.com/search?q=Trenton+Veterans+Memorial+Library+Trenton+MI+library+website","Search")</f>
        <v>Search</v>
      </c>
      <c r="L1724" s="7"/>
      <c r="M1724" s="7"/>
    </row>
    <row r="1725" customFormat="false" ht="15" hidden="false" customHeight="true" outlineLevel="0" collapsed="false">
      <c r="A1725" s="4" t="s">
        <v>6375</v>
      </c>
      <c r="B1725" s="4" t="s">
        <v>413</v>
      </c>
      <c r="C1725" s="4" t="s">
        <v>414</v>
      </c>
      <c r="D1725" s="4" t="s">
        <v>1246</v>
      </c>
      <c r="E1725" s="5" t="n">
        <v>87294</v>
      </c>
      <c r="F1725" s="4" t="n">
        <v>1</v>
      </c>
      <c r="G1725" s="4" t="s">
        <v>7074</v>
      </c>
      <c r="H1725" s="4" t="n">
        <v>42.5646</v>
      </c>
      <c r="I1725" s="4" t="n">
        <v>-83.15469</v>
      </c>
      <c r="J1725" s="4" t="s">
        <v>7075</v>
      </c>
      <c r="K1725" s="6" t="str">
        <f aca="false">HYPERLINK("https://www.google.com/search?q=Troy+Public+Library+Troy+MI+library+website","Search")</f>
        <v>Search</v>
      </c>
      <c r="L1725" s="7"/>
      <c r="M1725" s="7"/>
    </row>
    <row r="1726" customFormat="false" ht="15" hidden="false" customHeight="true" outlineLevel="0" collapsed="false">
      <c r="A1726" s="4" t="s">
        <v>6375</v>
      </c>
      <c r="B1726" s="4" t="s">
        <v>7076</v>
      </c>
      <c r="C1726" s="4" t="s">
        <v>155</v>
      </c>
      <c r="D1726" s="4" t="s">
        <v>515</v>
      </c>
      <c r="E1726" s="5" t="n">
        <v>44230</v>
      </c>
      <c r="F1726" s="4" t="n">
        <v>7</v>
      </c>
      <c r="G1726" s="4" t="s">
        <v>7077</v>
      </c>
      <c r="H1726" s="4" t="n">
        <v>42.10976</v>
      </c>
      <c r="I1726" s="4" t="n">
        <v>-85.97532</v>
      </c>
      <c r="J1726" s="4" t="s">
        <v>7078</v>
      </c>
      <c r="K1726" s="6" t="str">
        <f aca="false">HYPERLINK("https://www.google.com/search?q=Van+Buren+District+Library+Decatur+MI+library+website","Search")</f>
        <v>Search</v>
      </c>
      <c r="L1726" s="7"/>
      <c r="M1726" s="7"/>
    </row>
    <row r="1727" customFormat="false" ht="15" hidden="false" customHeight="true" outlineLevel="0" collapsed="false">
      <c r="A1727" s="4" t="s">
        <v>6375</v>
      </c>
      <c r="B1727" s="4" t="s">
        <v>7079</v>
      </c>
      <c r="C1727" s="4" t="s">
        <v>7080</v>
      </c>
      <c r="D1727" s="4" t="s">
        <v>6560</v>
      </c>
      <c r="E1727" s="5" t="n">
        <v>13503</v>
      </c>
      <c r="F1727" s="4" t="n">
        <v>1</v>
      </c>
      <c r="G1727" s="4" t="s">
        <v>7081</v>
      </c>
      <c r="H1727" s="4" t="n">
        <v>42.11859</v>
      </c>
      <c r="I1727" s="4" t="n">
        <v>-85.53378</v>
      </c>
      <c r="J1727" s="4" t="s">
        <v>7082</v>
      </c>
      <c r="K1727" s="6" t="str">
        <f aca="false">HYPERLINK("https://www.google.com/search?q=Vicksburg+District+Library+Vicksburg+MI+library+website","Search")</f>
        <v>Search</v>
      </c>
      <c r="L1727" s="7"/>
      <c r="M1727" s="7"/>
    </row>
    <row r="1728" customFormat="false" ht="15" hidden="false" customHeight="true" outlineLevel="0" collapsed="false">
      <c r="A1728" s="4" t="s">
        <v>6375</v>
      </c>
      <c r="B1728" s="4" t="s">
        <v>7083</v>
      </c>
      <c r="C1728" s="4" t="s">
        <v>3012</v>
      </c>
      <c r="D1728" s="4" t="s">
        <v>3792</v>
      </c>
      <c r="E1728" s="5" t="n">
        <v>139387</v>
      </c>
      <c r="F1728" s="4" t="n">
        <v>4</v>
      </c>
      <c r="G1728" s="4" t="s">
        <v>7084</v>
      </c>
      <c r="H1728" s="4" t="n">
        <v>42.51195</v>
      </c>
      <c r="I1728" s="4" t="n">
        <v>-83.02528</v>
      </c>
      <c r="J1728" s="4" t="s">
        <v>7085</v>
      </c>
      <c r="K1728" s="6" t="str">
        <f aca="false">HYPERLINK("https://www.google.com/search?q=Warren+Public+Library+Warren+MI+library+website","Search")</f>
        <v>Search</v>
      </c>
      <c r="L1728" s="7"/>
      <c r="M1728" s="7"/>
    </row>
    <row r="1729" customFormat="false" ht="15" hidden="false" customHeight="true" outlineLevel="0" collapsed="false">
      <c r="A1729" s="4" t="s">
        <v>6375</v>
      </c>
      <c r="B1729" s="4" t="s">
        <v>7086</v>
      </c>
      <c r="C1729" s="4" t="s">
        <v>2154</v>
      </c>
      <c r="D1729" s="4" t="s">
        <v>1246</v>
      </c>
      <c r="E1729" s="5" t="n">
        <v>70852</v>
      </c>
      <c r="F1729" s="4" t="n">
        <v>1</v>
      </c>
      <c r="G1729" s="4" t="s">
        <v>7087</v>
      </c>
      <c r="H1729" s="4" t="n">
        <v>42.66928</v>
      </c>
      <c r="I1729" s="4" t="n">
        <v>-83.38996</v>
      </c>
      <c r="J1729" s="4" t="s">
        <v>7088</v>
      </c>
      <c r="K1729" s="6" t="str">
        <f aca="false">HYPERLINK("https://www.google.com/search?q=Waterford+Township+Public+Library+Waterford+MI+library+website","Search")</f>
        <v>Search</v>
      </c>
      <c r="L1729" s="7"/>
      <c r="M1729" s="7"/>
    </row>
    <row r="1730" customFormat="false" ht="15" hidden="false" customHeight="true" outlineLevel="0" collapsed="false">
      <c r="A1730" s="4" t="s">
        <v>6375</v>
      </c>
      <c r="B1730" s="4" t="s">
        <v>7089</v>
      </c>
      <c r="C1730" s="4" t="s">
        <v>2849</v>
      </c>
      <c r="D1730" s="4" t="s">
        <v>2849</v>
      </c>
      <c r="E1730" s="5" t="n">
        <v>17713</v>
      </c>
      <c r="F1730" s="4" t="n">
        <v>1</v>
      </c>
      <c r="G1730" s="4" t="s">
        <v>7090</v>
      </c>
      <c r="H1730" s="4" t="n">
        <v>42.28115</v>
      </c>
      <c r="I1730" s="4" t="n">
        <v>-83.38373</v>
      </c>
      <c r="J1730" s="4" t="s">
        <v>7091</v>
      </c>
      <c r="K1730" s="6" t="str">
        <f aca="false">HYPERLINK("https://www.google.com/search?q=Wayne+Public+Library+Wayne+MI+library+website","Search")</f>
        <v>Search</v>
      </c>
      <c r="L1730" s="7"/>
      <c r="M1730" s="7"/>
    </row>
    <row r="1731" customFormat="false" ht="15" hidden="false" customHeight="true" outlineLevel="0" collapsed="false">
      <c r="A1731" s="4" t="s">
        <v>6375</v>
      </c>
      <c r="B1731" s="4" t="s">
        <v>7092</v>
      </c>
      <c r="C1731" s="4" t="s">
        <v>7093</v>
      </c>
      <c r="D1731" s="4" t="s">
        <v>1246</v>
      </c>
      <c r="E1731" s="5" t="n">
        <v>72613</v>
      </c>
      <c r="F1731" s="4" t="n">
        <v>2</v>
      </c>
      <c r="G1731" s="4" t="s">
        <v>7094</v>
      </c>
      <c r="H1731" s="4" t="n">
        <v>42.55988</v>
      </c>
      <c r="I1731" s="4" t="n">
        <v>-83.37359</v>
      </c>
      <c r="J1731" s="4" t="s">
        <v>7095</v>
      </c>
      <c r="K1731" s="6" t="str">
        <f aca="false">HYPERLINK("https://www.google.com/search?q=West+Bloomfield+Township+Public+Library+West+Bloomfield+MI+library+website","Search")</f>
        <v>Search</v>
      </c>
      <c r="L1731" s="7"/>
      <c r="M1731" s="7"/>
    </row>
    <row r="1732" customFormat="false" ht="15" hidden="false" customHeight="true" outlineLevel="0" collapsed="false">
      <c r="A1732" s="4" t="s">
        <v>6375</v>
      </c>
      <c r="B1732" s="4" t="s">
        <v>7096</v>
      </c>
      <c r="C1732" s="4" t="s">
        <v>7097</v>
      </c>
      <c r="D1732" s="4" t="s">
        <v>6658</v>
      </c>
      <c r="E1732" s="5" t="n">
        <v>12381</v>
      </c>
      <c r="F1732" s="4" t="n">
        <v>1</v>
      </c>
      <c r="G1732" s="4" t="s">
        <v>7098</v>
      </c>
      <c r="H1732" s="4" t="n">
        <v>43.38552</v>
      </c>
      <c r="I1732" s="4" t="n">
        <v>-86.34347</v>
      </c>
      <c r="J1732" s="4" t="s">
        <v>7099</v>
      </c>
      <c r="K1732" s="6" t="str">
        <f aca="false">HYPERLINK("https://www.google.com/search?q=White+Lake+Community+Library+Whitehall+MI+library+website","Search")</f>
        <v>Search</v>
      </c>
      <c r="L1732" s="7"/>
      <c r="M1732" s="7"/>
    </row>
    <row r="1733" customFormat="false" ht="15" hidden="false" customHeight="true" outlineLevel="0" collapsed="false">
      <c r="A1733" s="4" t="s">
        <v>6375</v>
      </c>
      <c r="B1733" s="4" t="s">
        <v>7100</v>
      </c>
      <c r="C1733" s="4" t="s">
        <v>7101</v>
      </c>
      <c r="D1733" s="4" t="s">
        <v>1246</v>
      </c>
      <c r="E1733" s="5" t="n">
        <v>30950</v>
      </c>
      <c r="F1733" s="4" t="n">
        <v>1</v>
      </c>
      <c r="G1733" s="4" t="s">
        <v>7102</v>
      </c>
      <c r="H1733" s="4" t="n">
        <v>42.64666</v>
      </c>
      <c r="I1733" s="4" t="n">
        <v>-83.50324</v>
      </c>
      <c r="J1733" s="4" t="s">
        <v>7103</v>
      </c>
      <c r="K1733" s="6" t="str">
        <f aca="false">HYPERLINK("https://www.google.com/search?q=White+Lake+Township+Library+White+Lake+MI+library+website","Search")</f>
        <v>Search</v>
      </c>
      <c r="L1733" s="7"/>
      <c r="M1733" s="7"/>
    </row>
    <row r="1734" customFormat="false" ht="15" hidden="false" customHeight="true" outlineLevel="0" collapsed="false">
      <c r="A1734" s="4" t="s">
        <v>6375</v>
      </c>
      <c r="B1734" s="4" t="s">
        <v>7104</v>
      </c>
      <c r="C1734" s="4" t="s">
        <v>7105</v>
      </c>
      <c r="D1734" s="4" t="s">
        <v>73</v>
      </c>
      <c r="E1734" s="5" t="n">
        <v>90179</v>
      </c>
      <c r="F1734" s="4" t="n">
        <v>2</v>
      </c>
      <c r="G1734" s="4" t="s">
        <v>7106</v>
      </c>
      <c r="H1734" s="4" t="n">
        <v>42.32133</v>
      </c>
      <c r="I1734" s="4" t="n">
        <v>-85.18057</v>
      </c>
      <c r="J1734" s="4" t="s">
        <v>7107</v>
      </c>
      <c r="K1734" s="6" t="str">
        <f aca="false">HYPERLINK("https://www.google.com/search?q=Willard+Public+Library+Battle+Creek+MI+library+website","Search")</f>
        <v>Search</v>
      </c>
      <c r="L1734" s="7"/>
      <c r="M1734" s="7"/>
    </row>
    <row r="1735" customFormat="false" ht="15" hidden="false" customHeight="true" outlineLevel="0" collapsed="false">
      <c r="A1735" s="4" t="s">
        <v>6375</v>
      </c>
      <c r="B1735" s="4" t="s">
        <v>7108</v>
      </c>
      <c r="C1735" s="4" t="s">
        <v>7109</v>
      </c>
      <c r="D1735" s="4" t="s">
        <v>2849</v>
      </c>
      <c r="E1735" s="5" t="n">
        <v>85420</v>
      </c>
      <c r="F1735" s="4" t="n">
        <v>1</v>
      </c>
      <c r="G1735" s="4" t="s">
        <v>7110</v>
      </c>
      <c r="H1735" s="4" t="n">
        <v>42.32863</v>
      </c>
      <c r="I1735" s="4" t="n">
        <v>-83.39959</v>
      </c>
      <c r="J1735" s="4" t="s">
        <v>7111</v>
      </c>
      <c r="K1735" s="6" t="str">
        <f aca="false">HYPERLINK("https://www.google.com/search?q=William+P.+Faust+Public+Library+Of+Westland+Westland+MI+library+website","Search")</f>
        <v>Search</v>
      </c>
      <c r="L1735" s="7"/>
      <c r="M1735" s="7"/>
    </row>
    <row r="1736" customFormat="false" ht="15" hidden="false" customHeight="true" outlineLevel="0" collapsed="false">
      <c r="A1736" s="4" t="s">
        <v>6375</v>
      </c>
      <c r="B1736" s="4" t="s">
        <v>7112</v>
      </c>
      <c r="C1736" s="4" t="s">
        <v>7113</v>
      </c>
      <c r="D1736" s="4" t="s">
        <v>1246</v>
      </c>
      <c r="E1736" s="5" t="n">
        <v>17193</v>
      </c>
      <c r="F1736" s="4" t="n">
        <v>1</v>
      </c>
      <c r="G1736" s="4" t="s">
        <v>7114</v>
      </c>
      <c r="H1736" s="4" t="n">
        <v>42.52443</v>
      </c>
      <c r="I1736" s="4" t="n">
        <v>-83.53185</v>
      </c>
      <c r="J1736" s="4" t="s">
        <v>7115</v>
      </c>
      <c r="K1736" s="6" t="str">
        <f aca="false">HYPERLINK("https://www.google.com/search?q=Wixom+Public+Library+Wixom+MI+library+website","Search")</f>
        <v>Search</v>
      </c>
      <c r="L1736" s="7"/>
      <c r="M1736" s="7"/>
    </row>
    <row r="1737" customFormat="false" ht="15" hidden="false" customHeight="true" outlineLevel="0" collapsed="false">
      <c r="A1737" s="4" t="s">
        <v>6375</v>
      </c>
      <c r="B1737" s="4" t="s">
        <v>7116</v>
      </c>
      <c r="C1737" s="4" t="s">
        <v>7117</v>
      </c>
      <c r="D1737" s="4" t="s">
        <v>6417</v>
      </c>
      <c r="E1737" s="5" t="n">
        <v>88021</v>
      </c>
      <c r="F1737" s="4" t="n">
        <v>3</v>
      </c>
      <c r="G1737" s="4" t="s">
        <v>7118</v>
      </c>
      <c r="H1737" s="4" t="n">
        <v>42.20765</v>
      </c>
      <c r="I1737" s="4" t="n">
        <v>-83.61572</v>
      </c>
      <c r="J1737" s="4" t="s">
        <v>7119</v>
      </c>
      <c r="K1737" s="6" t="str">
        <f aca="false">HYPERLINK("https://www.google.com/search?q=Ypsilanti+District+Library+Ypsilanti+MI+library+website","Search")</f>
        <v>Search</v>
      </c>
      <c r="L1737" s="7"/>
      <c r="M1737" s="7"/>
    </row>
    <row r="1738" customFormat="false" ht="15" hidden="false" customHeight="true" outlineLevel="0" collapsed="false">
      <c r="A1738" s="4" t="s">
        <v>7120</v>
      </c>
      <c r="B1738" s="4" t="s">
        <v>7121</v>
      </c>
      <c r="C1738" s="4" t="s">
        <v>7122</v>
      </c>
      <c r="D1738" s="4" t="s">
        <v>7123</v>
      </c>
      <c r="E1738" s="5" t="n">
        <v>30647</v>
      </c>
      <c r="F1738" s="4" t="n">
        <v>1</v>
      </c>
      <c r="G1738" s="4" t="s">
        <v>7124</v>
      </c>
      <c r="H1738" s="4" t="n">
        <v>43.64983</v>
      </c>
      <c r="I1738" s="4" t="n">
        <v>-93.36711</v>
      </c>
      <c r="J1738" s="4" t="s">
        <v>7125</v>
      </c>
      <c r="K1738" s="6" t="str">
        <f aca="false">HYPERLINK("https://www.google.com/search?q=Albert+Lea+Public+Library+Albert+Lea+MN+library+website","Search")</f>
        <v>Search</v>
      </c>
      <c r="L1738" s="7"/>
      <c r="M1738" s="7"/>
    </row>
    <row r="1739" customFormat="false" ht="15" hidden="false" customHeight="true" outlineLevel="0" collapsed="false">
      <c r="A1739" s="4" t="s">
        <v>7120</v>
      </c>
      <c r="B1739" s="4" t="s">
        <v>7126</v>
      </c>
      <c r="C1739" s="4" t="s">
        <v>7127</v>
      </c>
      <c r="D1739" s="4" t="s">
        <v>7128</v>
      </c>
      <c r="E1739" s="5" t="n">
        <v>345029</v>
      </c>
      <c r="F1739" s="4" t="n">
        <v>8</v>
      </c>
      <c r="G1739" s="4" t="s">
        <v>7129</v>
      </c>
      <c r="H1739" s="4" t="n">
        <v>45.12665</v>
      </c>
      <c r="I1739" s="4" t="n">
        <v>-93.25301</v>
      </c>
      <c r="J1739" s="4" t="s">
        <v>7130</v>
      </c>
      <c r="K1739" s="6" t="str">
        <f aca="false">HYPERLINK("https://www.google.com/search?q=Anoka+County+Library+Blaine+MN+library+website","Search")</f>
        <v>Search</v>
      </c>
      <c r="L1739" s="7"/>
      <c r="M1739" s="7"/>
    </row>
    <row r="1740" customFormat="false" ht="15" hidden="false" customHeight="true" outlineLevel="0" collapsed="false">
      <c r="A1740" s="4" t="s">
        <v>7120</v>
      </c>
      <c r="B1740" s="4" t="s">
        <v>7131</v>
      </c>
      <c r="C1740" s="4" t="s">
        <v>7132</v>
      </c>
      <c r="D1740" s="4" t="s">
        <v>7133</v>
      </c>
      <c r="E1740" s="5" t="n">
        <v>312549</v>
      </c>
      <c r="F1740" s="4" t="n">
        <v>0</v>
      </c>
      <c r="G1740" s="4" t="s">
        <v>7134</v>
      </c>
      <c r="H1740" s="4" t="n">
        <v>47.51755</v>
      </c>
      <c r="I1740" s="4" t="n">
        <v>-92.5935</v>
      </c>
      <c r="J1740" s="4" t="s">
        <v>7135</v>
      </c>
      <c r="K1740" s="6" t="str">
        <f aca="false">HYPERLINK("https://www.google.com/search?q=Arrowhead+Library+System+Mountain+Iron+MN+library+website","Search")</f>
        <v>Search</v>
      </c>
      <c r="L1740" s="7"/>
      <c r="M1740" s="8" t="str">
        <f aca="false">HYPERLINK("https://arrowhead.overdrive.com","https://arrowhead.overdrive.com")</f>
        <v>https://arrowhead.overdrive.com</v>
      </c>
    </row>
    <row r="1741" customFormat="false" ht="15" hidden="false" customHeight="true" outlineLevel="0" collapsed="false">
      <c r="A1741" s="4" t="s">
        <v>7120</v>
      </c>
      <c r="B1741" s="4" t="s">
        <v>7136</v>
      </c>
      <c r="C1741" s="4" t="s">
        <v>7137</v>
      </c>
      <c r="D1741" s="4" t="s">
        <v>7138</v>
      </c>
      <c r="E1741" s="5" t="n">
        <v>40356</v>
      </c>
      <c r="F1741" s="4" t="n">
        <v>1</v>
      </c>
      <c r="G1741" s="4" t="s">
        <v>7139</v>
      </c>
      <c r="H1741" s="4" t="n">
        <v>43.66998</v>
      </c>
      <c r="I1741" s="4" t="n">
        <v>-92.97186</v>
      </c>
      <c r="J1741" s="4" t="s">
        <v>7140</v>
      </c>
      <c r="K1741" s="6" t="str">
        <f aca="false">HYPERLINK("https://www.google.com/search?q=Austin+Public+Library+Austin+MN+library+website","Search")</f>
        <v>Search</v>
      </c>
      <c r="L1741" s="7"/>
      <c r="M1741" s="7"/>
    </row>
    <row r="1742" customFormat="false" ht="15" hidden="false" customHeight="true" outlineLevel="0" collapsed="false">
      <c r="A1742" s="4" t="s">
        <v>7120</v>
      </c>
      <c r="B1742" s="4" t="s">
        <v>7141</v>
      </c>
      <c r="C1742" s="4" t="s">
        <v>7142</v>
      </c>
      <c r="D1742" s="4" t="s">
        <v>7143</v>
      </c>
      <c r="E1742" s="5" t="n">
        <v>69264</v>
      </c>
      <c r="F1742" s="4" t="n">
        <v>3</v>
      </c>
      <c r="G1742" s="4" t="s">
        <v>7144</v>
      </c>
      <c r="H1742" s="4" t="n">
        <v>44.16742</v>
      </c>
      <c r="I1742" s="4" t="n">
        <v>-94.00239</v>
      </c>
      <c r="J1742" s="4" t="s">
        <v>7145</v>
      </c>
      <c r="K1742" s="6" t="str">
        <f aca="false">HYPERLINK("https://www.google.com/search?q=Blue+Earth+County+Library+Mankato+MN+library+website","Search")</f>
        <v>Search</v>
      </c>
      <c r="L1742" s="7"/>
      <c r="M1742" s="7"/>
    </row>
    <row r="1743" customFormat="false" ht="15" hidden="false" customHeight="true" outlineLevel="0" collapsed="false">
      <c r="A1743" s="4" t="s">
        <v>7120</v>
      </c>
      <c r="B1743" s="4" t="s">
        <v>7146</v>
      </c>
      <c r="C1743" s="4" t="s">
        <v>7147</v>
      </c>
      <c r="D1743" s="4" t="s">
        <v>7148</v>
      </c>
      <c r="E1743" s="5" t="n">
        <v>11144</v>
      </c>
      <c r="F1743" s="4" t="n">
        <v>1</v>
      </c>
      <c r="G1743" s="4" t="s">
        <v>7149</v>
      </c>
      <c r="H1743" s="4" t="n">
        <v>44.50796</v>
      </c>
      <c r="I1743" s="4" t="n">
        <v>-92.90437</v>
      </c>
      <c r="J1743" s="4" t="s">
        <v>7150</v>
      </c>
      <c r="K1743" s="6" t="str">
        <f aca="false">HYPERLINK("https://www.google.com/search?q=Cannon+Falls+Library+Cannon+Falls+MN+library+website","Search")</f>
        <v>Search</v>
      </c>
      <c r="L1743" s="7"/>
      <c r="M1743" s="7"/>
    </row>
    <row r="1744" customFormat="false" ht="15" hidden="false" customHeight="true" outlineLevel="0" collapsed="false">
      <c r="A1744" s="4" t="s">
        <v>7120</v>
      </c>
      <c r="B1744" s="4" t="s">
        <v>7151</v>
      </c>
      <c r="C1744" s="4" t="s">
        <v>7152</v>
      </c>
      <c r="D1744" s="4" t="s">
        <v>5590</v>
      </c>
      <c r="E1744" s="5" t="n">
        <v>108891</v>
      </c>
      <c r="F1744" s="4" t="n">
        <v>7</v>
      </c>
      <c r="G1744" s="4" t="s">
        <v>7153</v>
      </c>
      <c r="H1744" s="4" t="n">
        <v>44.78724</v>
      </c>
      <c r="I1744" s="4" t="n">
        <v>-93.60197</v>
      </c>
      <c r="J1744" s="4" t="s">
        <v>7154</v>
      </c>
      <c r="K1744" s="6" t="str">
        <f aca="false">HYPERLINK("https://www.google.com/search?q=Carver+County+Library+System+Chaska+MN+library+website","Search")</f>
        <v>Search</v>
      </c>
      <c r="L1744" s="7"/>
      <c r="M1744" s="7"/>
    </row>
    <row r="1745" customFormat="false" ht="15" hidden="false" customHeight="true" outlineLevel="0" collapsed="false">
      <c r="A1745" s="4" t="s">
        <v>7120</v>
      </c>
      <c r="B1745" s="4" t="s">
        <v>7155</v>
      </c>
      <c r="C1745" s="4" t="s">
        <v>7156</v>
      </c>
      <c r="D1745" s="4" t="s">
        <v>7157</v>
      </c>
      <c r="E1745" s="5" t="n">
        <v>12715</v>
      </c>
      <c r="F1745" s="4" t="n">
        <v>1</v>
      </c>
      <c r="G1745" s="4" t="s">
        <v>7158</v>
      </c>
      <c r="H1745" s="4" t="n">
        <v>46.71662</v>
      </c>
      <c r="I1745" s="4" t="n">
        <v>-92.44903</v>
      </c>
      <c r="J1745" s="4" t="s">
        <v>7159</v>
      </c>
      <c r="K1745" s="6" t="str">
        <f aca="false">HYPERLINK("https://www.google.com/search?q=Cloquet+Public+Library+Cloquet+MN+library+website","Search")</f>
        <v>Search</v>
      </c>
      <c r="L1745" s="7"/>
      <c r="M1745" s="7"/>
    </row>
    <row r="1746" customFormat="false" ht="15" hidden="false" customHeight="true" outlineLevel="0" collapsed="false">
      <c r="A1746" s="4" t="s">
        <v>7120</v>
      </c>
      <c r="B1746" s="4" t="s">
        <v>7160</v>
      </c>
      <c r="C1746" s="4" t="s">
        <v>7161</v>
      </c>
      <c r="D1746" s="4" t="s">
        <v>7128</v>
      </c>
      <c r="E1746" s="5" t="n">
        <v>21859</v>
      </c>
      <c r="F1746" s="4" t="n">
        <v>1</v>
      </c>
      <c r="G1746" s="4" t="s">
        <v>7162</v>
      </c>
      <c r="H1746" s="4" t="n">
        <v>45.03892</v>
      </c>
      <c r="I1746" s="4" t="n">
        <v>-93.24719</v>
      </c>
      <c r="J1746" s="4" t="s">
        <v>7163</v>
      </c>
      <c r="K1746" s="6" t="str">
        <f aca="false">HYPERLINK("https://www.google.com/search?q=Columbia+Heights+Public+Library+Columbia+Heights+MN+library+website","Search")</f>
        <v>Search</v>
      </c>
      <c r="L1746" s="7"/>
      <c r="M1746" s="7"/>
    </row>
    <row r="1747" customFormat="false" ht="15" hidden="false" customHeight="true" outlineLevel="0" collapsed="false">
      <c r="A1747" s="4" t="s">
        <v>7120</v>
      </c>
      <c r="B1747" s="4" t="s">
        <v>7164</v>
      </c>
      <c r="C1747" s="4" t="s">
        <v>7165</v>
      </c>
      <c r="D1747" s="4" t="s">
        <v>7166</v>
      </c>
      <c r="E1747" s="5" t="n">
        <v>442038</v>
      </c>
      <c r="F1747" s="4" t="n">
        <v>9</v>
      </c>
      <c r="G1747" s="4" t="s">
        <v>7167</v>
      </c>
      <c r="H1747" s="4" t="n">
        <v>44.81773</v>
      </c>
      <c r="I1747" s="4" t="n">
        <v>-93.16342</v>
      </c>
      <c r="J1747" s="4" t="s">
        <v>7168</v>
      </c>
      <c r="K1747" s="6" t="str">
        <f aca="false">HYPERLINK("https://www.google.com/search?q=Dakota+County+Library+Eagan+MN+library+website","Search")</f>
        <v>Search</v>
      </c>
      <c r="L1747" s="7"/>
      <c r="M1747" s="7"/>
    </row>
    <row r="1748" customFormat="false" ht="15" hidden="false" customHeight="true" outlineLevel="0" collapsed="false">
      <c r="A1748" s="4" t="s">
        <v>7120</v>
      </c>
      <c r="B1748" s="4" t="s">
        <v>7169</v>
      </c>
      <c r="C1748" s="4" t="s">
        <v>5373</v>
      </c>
      <c r="D1748" s="4" t="s">
        <v>719</v>
      </c>
      <c r="E1748" s="5" t="n">
        <v>39606</v>
      </c>
      <c r="F1748" s="4" t="n">
        <v>1</v>
      </c>
      <c r="G1748" s="4" t="s">
        <v>7170</v>
      </c>
      <c r="H1748" s="4" t="n">
        <v>45.88384</v>
      </c>
      <c r="I1748" s="4" t="n">
        <v>-95.37925</v>
      </c>
      <c r="J1748" s="4" t="s">
        <v>7171</v>
      </c>
      <c r="K1748" s="6" t="str">
        <f aca="false">HYPERLINK("https://www.google.com/search?q=Douglas+County+Library+Alexandria+MN+library+website","Search")</f>
        <v>Search</v>
      </c>
      <c r="L1748" s="7"/>
      <c r="M1748" s="7"/>
    </row>
    <row r="1749" customFormat="false" ht="15" hidden="false" customHeight="true" outlineLevel="0" collapsed="false">
      <c r="A1749" s="4" t="s">
        <v>7120</v>
      </c>
      <c r="B1749" s="4" t="s">
        <v>7172</v>
      </c>
      <c r="C1749" s="4" t="s">
        <v>7173</v>
      </c>
      <c r="D1749" s="4" t="s">
        <v>7133</v>
      </c>
      <c r="E1749" s="5" t="n">
        <v>85667</v>
      </c>
      <c r="F1749" s="4" t="n">
        <v>3</v>
      </c>
      <c r="G1749" s="4" t="s">
        <v>7174</v>
      </c>
      <c r="H1749" s="4" t="n">
        <v>46.78158</v>
      </c>
      <c r="I1749" s="4" t="n">
        <v>-92.10516</v>
      </c>
      <c r="J1749" s="4" t="s">
        <v>7175</v>
      </c>
      <c r="K1749" s="6" t="str">
        <f aca="false">HYPERLINK("https://www.google.com/search?q=Duluth+Public+Library+Duluth+MN+library+website","Search")</f>
        <v>Search</v>
      </c>
      <c r="L1749" s="7"/>
      <c r="M1749" s="7"/>
    </row>
    <row r="1750" customFormat="false" ht="15" hidden="false" customHeight="true" outlineLevel="0" collapsed="false">
      <c r="A1750" s="4" t="s">
        <v>7120</v>
      </c>
      <c r="B1750" s="4" t="s">
        <v>7176</v>
      </c>
      <c r="C1750" s="4" t="s">
        <v>5584</v>
      </c>
      <c r="D1750" s="4" t="s">
        <v>7177</v>
      </c>
      <c r="E1750" s="5" t="n">
        <v>185650</v>
      </c>
      <c r="F1750" s="4" t="n">
        <v>14</v>
      </c>
      <c r="G1750" s="4" t="s">
        <v>7178</v>
      </c>
      <c r="H1750" s="4" t="n">
        <v>45.57301</v>
      </c>
      <c r="I1750" s="4" t="n">
        <v>-93.22952</v>
      </c>
      <c r="J1750" s="4" t="s">
        <v>7179</v>
      </c>
      <c r="K1750" s="6" t="str">
        <f aca="false">HYPERLINK("https://www.google.com/search?q=East+Central+Regional+Library+Cambridge+MN+library+website","Search")</f>
        <v>Search</v>
      </c>
      <c r="L1750" s="7"/>
      <c r="M1750" s="8" t="str">
        <f aca="false">HYPERLINK("https://ecrl.overdrive.com","https://ecrl.overdrive.com")</f>
        <v>https://ecrl.overdrive.com</v>
      </c>
    </row>
    <row r="1751" customFormat="false" ht="15" hidden="false" customHeight="true" outlineLevel="0" collapsed="false">
      <c r="A1751" s="4" t="s">
        <v>7120</v>
      </c>
      <c r="B1751" s="4" t="s">
        <v>7180</v>
      </c>
      <c r="C1751" s="4" t="s">
        <v>7181</v>
      </c>
      <c r="D1751" s="4" t="s">
        <v>7182</v>
      </c>
      <c r="E1751" s="5" t="n">
        <v>34000</v>
      </c>
      <c r="F1751" s="4" t="n">
        <v>1</v>
      </c>
      <c r="G1751" s="4" t="s">
        <v>7183</v>
      </c>
      <c r="H1751" s="4" t="n">
        <v>44.29058</v>
      </c>
      <c r="I1751" s="4" t="n">
        <v>-93.26805</v>
      </c>
      <c r="J1751" s="4" t="s">
        <v>7184</v>
      </c>
      <c r="K1751" s="6" t="str">
        <f aca="false">HYPERLINK("https://www.google.com/search?q=Faribault%3A+Buckham+Memorial+Library+Faribault+MN+library+website","Search")</f>
        <v>Search</v>
      </c>
      <c r="L1751" s="7"/>
      <c r="M1751" s="7"/>
    </row>
    <row r="1752" customFormat="false" ht="15" hidden="false" customHeight="true" outlineLevel="0" collapsed="false">
      <c r="A1752" s="4" t="s">
        <v>7120</v>
      </c>
      <c r="B1752" s="4" t="s">
        <v>7185</v>
      </c>
      <c r="C1752" s="4" t="s">
        <v>7186</v>
      </c>
      <c r="D1752" s="4" t="s">
        <v>7187</v>
      </c>
      <c r="E1752" s="5" t="n">
        <v>19179</v>
      </c>
      <c r="F1752" s="4" t="n">
        <v>1</v>
      </c>
      <c r="G1752" s="4" t="s">
        <v>7188</v>
      </c>
      <c r="H1752" s="4" t="n">
        <v>46.27894</v>
      </c>
      <c r="I1752" s="4" t="n">
        <v>-96.07192</v>
      </c>
      <c r="J1752" s="4" t="s">
        <v>7189</v>
      </c>
      <c r="K1752" s="6" t="str">
        <f aca="false">HYPERLINK("https://www.google.com/search?q=Fergus+Falls+Public+Library+Fergus+Falls+MN+library+website","Search")</f>
        <v>Search</v>
      </c>
      <c r="L1752" s="7"/>
      <c r="M1752" s="7"/>
    </row>
    <row r="1753" customFormat="false" ht="15" hidden="false" customHeight="true" outlineLevel="0" collapsed="false">
      <c r="A1753" s="4" t="s">
        <v>7120</v>
      </c>
      <c r="B1753" s="4" t="s">
        <v>7190</v>
      </c>
      <c r="C1753" s="4" t="s">
        <v>6692</v>
      </c>
      <c r="D1753" s="4" t="s">
        <v>7191</v>
      </c>
      <c r="E1753" s="5" t="n">
        <v>21005</v>
      </c>
      <c r="F1753" s="4" t="n">
        <v>1</v>
      </c>
      <c r="G1753" s="4" t="s">
        <v>7192</v>
      </c>
      <c r="H1753" s="4" t="n">
        <v>47.23382</v>
      </c>
      <c r="I1753" s="4" t="n">
        <v>-93.52588</v>
      </c>
      <c r="J1753" s="4" t="s">
        <v>7193</v>
      </c>
      <c r="K1753" s="6" t="str">
        <f aca="false">HYPERLINK("https://www.google.com/search?q=Grand+Rapids+Area+Library+Grand+Rapids+MN+library+website","Search")</f>
        <v>Search</v>
      </c>
      <c r="L1753" s="7"/>
      <c r="M1753" s="7"/>
    </row>
    <row r="1754" customFormat="false" ht="15" hidden="false" customHeight="true" outlineLevel="0" collapsed="false">
      <c r="A1754" s="4" t="s">
        <v>7120</v>
      </c>
      <c r="B1754" s="4" t="s">
        <v>7194</v>
      </c>
      <c r="C1754" s="4" t="s">
        <v>7195</v>
      </c>
      <c r="D1754" s="4" t="s">
        <v>7196</v>
      </c>
      <c r="E1754" s="5" t="n">
        <v>503681</v>
      </c>
      <c r="F1754" s="4" t="n">
        <v>32</v>
      </c>
      <c r="G1754" s="4" t="s">
        <v>7197</v>
      </c>
      <c r="H1754" s="4" t="n">
        <v>45.55754</v>
      </c>
      <c r="I1754" s="4" t="n">
        <v>-94.16657</v>
      </c>
      <c r="J1754" s="4" t="s">
        <v>7198</v>
      </c>
      <c r="K1754" s="6" t="str">
        <f aca="false">HYPERLINK("https://www.google.com/search?q=Great+River+Regional+Library+St+Cloud+MN+library+website","Search")</f>
        <v>Search</v>
      </c>
      <c r="L1754" s="7"/>
      <c r="M1754" s="8" t="str">
        <f aca="false">HYPERLINK("https://griver.overdrive.com","https://griver.overdrive.com")</f>
        <v>https://griver.overdrive.com</v>
      </c>
    </row>
    <row r="1755" customFormat="false" ht="15" hidden="false" customHeight="true" outlineLevel="0" collapsed="false">
      <c r="A1755" s="4" t="s">
        <v>7120</v>
      </c>
      <c r="B1755" s="4" t="s">
        <v>7199</v>
      </c>
      <c r="C1755" s="4" t="s">
        <v>7200</v>
      </c>
      <c r="D1755" s="4" t="s">
        <v>7201</v>
      </c>
      <c r="E1755" s="5" t="n">
        <v>1289645</v>
      </c>
      <c r="F1755" s="4" t="n">
        <v>41</v>
      </c>
      <c r="G1755" s="4" t="s">
        <v>7202</v>
      </c>
      <c r="H1755" s="4" t="n">
        <v>44.9656</v>
      </c>
      <c r="I1755" s="4" t="n">
        <v>-93.44016</v>
      </c>
      <c r="J1755" s="4" t="s">
        <v>7203</v>
      </c>
      <c r="K1755" s="6" t="str">
        <f aca="false">HYPERLINK("https://www.google.com/search?q=Hennepin+County+Library+Minnetonka+MN+library+website","Search")</f>
        <v>Search</v>
      </c>
      <c r="L1755" s="7"/>
      <c r="M1755" s="7"/>
    </row>
    <row r="1756" customFormat="false" ht="15" hidden="false" customHeight="true" outlineLevel="0" collapsed="false">
      <c r="A1756" s="4" t="s">
        <v>7120</v>
      </c>
      <c r="B1756" s="4" t="s">
        <v>7204</v>
      </c>
      <c r="C1756" s="4" t="s">
        <v>7205</v>
      </c>
      <c r="D1756" s="4" t="s">
        <v>7133</v>
      </c>
      <c r="E1756" s="5" t="n">
        <v>16064</v>
      </c>
      <c r="F1756" s="4" t="n">
        <v>1</v>
      </c>
      <c r="G1756" s="4" t="s">
        <v>7206</v>
      </c>
      <c r="H1756" s="4" t="n">
        <v>47.42667</v>
      </c>
      <c r="I1756" s="4" t="n">
        <v>-92.93652</v>
      </c>
      <c r="J1756" s="4" t="s">
        <v>7207</v>
      </c>
      <c r="K1756" s="6" t="str">
        <f aca="false">HYPERLINK("https://www.google.com/search?q=Hibbing+Public+Library+Hibbing+MN+library+website","Search")</f>
        <v>Search</v>
      </c>
      <c r="L1756" s="7"/>
      <c r="M1756" s="7"/>
    </row>
    <row r="1757" customFormat="false" ht="15" hidden="false" customHeight="true" outlineLevel="0" collapsed="false">
      <c r="A1757" s="4" t="s">
        <v>7120</v>
      </c>
      <c r="B1757" s="4" t="s">
        <v>7208</v>
      </c>
      <c r="C1757" s="4" t="s">
        <v>7209</v>
      </c>
      <c r="D1757" s="4" t="s">
        <v>2777</v>
      </c>
      <c r="E1757" s="5" t="n">
        <v>16839</v>
      </c>
      <c r="F1757" s="4" t="n">
        <v>1</v>
      </c>
      <c r="G1757" s="4" t="s">
        <v>7210</v>
      </c>
      <c r="H1757" s="4" t="n">
        <v>44.03051</v>
      </c>
      <c r="I1757" s="4" t="n">
        <v>-92.75598</v>
      </c>
      <c r="J1757" s="4" t="s">
        <v>7211</v>
      </c>
      <c r="K1757" s="6" t="str">
        <f aca="false">HYPERLINK("https://www.google.com/search?q=Kasson+Public+Library+Kasson+MN+library+website","Search")</f>
        <v>Search</v>
      </c>
      <c r="L1757" s="7"/>
      <c r="M1757" s="7"/>
    </row>
    <row r="1758" customFormat="false" ht="15" hidden="false" customHeight="true" outlineLevel="0" collapsed="false">
      <c r="A1758" s="4" t="s">
        <v>7120</v>
      </c>
      <c r="B1758" s="4" t="s">
        <v>7212</v>
      </c>
      <c r="C1758" s="4" t="s">
        <v>7213</v>
      </c>
      <c r="D1758" s="4" t="s">
        <v>4467</v>
      </c>
      <c r="E1758" s="5" t="n">
        <v>178627</v>
      </c>
      <c r="F1758" s="4" t="n">
        <v>9</v>
      </c>
      <c r="G1758" s="4" t="s">
        <v>7214</v>
      </c>
      <c r="H1758" s="4" t="n">
        <v>46.71753</v>
      </c>
      <c r="I1758" s="4" t="n">
        <v>-94.40057</v>
      </c>
      <c r="J1758" s="4" t="s">
        <v>7215</v>
      </c>
      <c r="K1758" s="6" t="str">
        <f aca="false">HYPERLINK("https://www.google.com/search?q=Kitchigami+Regional+Library+Pine+River+MN+library+website","Search")</f>
        <v>Search</v>
      </c>
      <c r="L1758" s="7"/>
      <c r="M1758" s="7"/>
    </row>
    <row r="1759" customFormat="false" ht="15" hidden="false" customHeight="true" outlineLevel="0" collapsed="false">
      <c r="A1759" s="4" t="s">
        <v>7120</v>
      </c>
      <c r="B1759" s="4" t="s">
        <v>7216</v>
      </c>
      <c r="C1759" s="4" t="s">
        <v>7217</v>
      </c>
      <c r="D1759" s="4" t="s">
        <v>2322</v>
      </c>
      <c r="E1759" s="5" t="n">
        <v>149292</v>
      </c>
      <c r="F1759" s="4" t="n">
        <v>13</v>
      </c>
      <c r="G1759" s="4" t="s">
        <v>7218</v>
      </c>
      <c r="H1759" s="4" t="n">
        <v>46.87311</v>
      </c>
      <c r="I1759" s="4" t="n">
        <v>-96.77233</v>
      </c>
      <c r="J1759" s="4" t="s">
        <v>7219</v>
      </c>
      <c r="K1759" s="6" t="str">
        <f aca="false">HYPERLINK("https://www.google.com/search?q=Lake+Agassiz+Regional+Library+Moorhead+MN+library+website","Search")</f>
        <v>Search</v>
      </c>
      <c r="L1759" s="7"/>
      <c r="M1759" s="8" t="str">
        <f aca="false">HYPERLINK("https://larl.overdrive.com","https://larl.overdrive.com")</f>
        <v>https://larl.overdrive.com</v>
      </c>
    </row>
    <row r="1760" customFormat="false" ht="15" hidden="false" customHeight="true" outlineLevel="0" collapsed="false">
      <c r="A1760" s="4" t="s">
        <v>7120</v>
      </c>
      <c r="B1760" s="4" t="s">
        <v>7220</v>
      </c>
      <c r="C1760" s="4" t="s">
        <v>2331</v>
      </c>
      <c r="D1760" s="4" t="s">
        <v>7221</v>
      </c>
      <c r="E1760" s="5" t="n">
        <v>10477</v>
      </c>
      <c r="F1760" s="4" t="n">
        <v>1</v>
      </c>
      <c r="G1760" s="4" t="s">
        <v>7222</v>
      </c>
      <c r="H1760" s="4" t="n">
        <v>44.44806</v>
      </c>
      <c r="I1760" s="4" t="n">
        <v>-92.26634</v>
      </c>
      <c r="J1760" s="4" t="s">
        <v>7223</v>
      </c>
      <c r="K1760" s="6" t="str">
        <f aca="false">HYPERLINK("https://www.google.com/search?q=Lake+City+Public+Library+Lake+City+MN+library+website","Search")</f>
        <v>Search</v>
      </c>
      <c r="L1760" s="7"/>
      <c r="M1760" s="7"/>
    </row>
    <row r="1761" customFormat="false" ht="15" hidden="false" customHeight="true" outlineLevel="0" collapsed="false">
      <c r="A1761" s="4" t="s">
        <v>7120</v>
      </c>
      <c r="B1761" s="4" t="s">
        <v>7224</v>
      </c>
      <c r="C1761" s="4" t="s">
        <v>7225</v>
      </c>
      <c r="D1761" s="4" t="s">
        <v>7182</v>
      </c>
      <c r="E1761" s="5" t="n">
        <v>10013</v>
      </c>
      <c r="F1761" s="4" t="n">
        <v>1</v>
      </c>
      <c r="G1761" s="4" t="s">
        <v>7226</v>
      </c>
      <c r="H1761" s="4" t="n">
        <v>44.48217</v>
      </c>
      <c r="I1761" s="4" t="n">
        <v>-93.4148</v>
      </c>
      <c r="J1761" s="4" t="s">
        <v>7227</v>
      </c>
      <c r="K1761" s="6" t="str">
        <f aca="false">HYPERLINK("https://www.google.com/search?q=Lonsdale+Public+Library+Lonsdale+MN+library+website","Search")</f>
        <v>Search</v>
      </c>
      <c r="L1761" s="7"/>
      <c r="M1761" s="7"/>
    </row>
    <row r="1762" customFormat="false" ht="15" hidden="false" customHeight="true" outlineLevel="0" collapsed="false">
      <c r="A1762" s="4" t="s">
        <v>7120</v>
      </c>
      <c r="B1762" s="4" t="s">
        <v>7228</v>
      </c>
      <c r="C1762" s="4" t="s">
        <v>58</v>
      </c>
      <c r="D1762" s="4" t="s">
        <v>4711</v>
      </c>
      <c r="E1762" s="5" t="n">
        <v>21759</v>
      </c>
      <c r="F1762" s="4" t="n">
        <v>3</v>
      </c>
      <c r="G1762" s="4" t="s">
        <v>7229</v>
      </c>
      <c r="H1762" s="4" t="n">
        <v>44.44126</v>
      </c>
      <c r="I1762" s="4" t="n">
        <v>-95.78523</v>
      </c>
      <c r="J1762" s="4" t="s">
        <v>7230</v>
      </c>
      <c r="K1762" s="6" t="str">
        <f aca="false">HYPERLINK("https://www.google.com/search?q=Marshall-Lyon+County+Library+Marshall+MN+library+website","Search")</f>
        <v>Search</v>
      </c>
      <c r="L1762" s="7"/>
      <c r="M1762" s="7"/>
    </row>
    <row r="1763" customFormat="false" ht="15" hidden="false" customHeight="true" outlineLevel="0" collapsed="false">
      <c r="A1763" s="4" t="s">
        <v>7120</v>
      </c>
      <c r="B1763" s="4" t="s">
        <v>7231</v>
      </c>
      <c r="C1763" s="4" t="s">
        <v>7232</v>
      </c>
      <c r="D1763" s="4" t="s">
        <v>2438</v>
      </c>
      <c r="E1763" s="5" t="n">
        <v>19779</v>
      </c>
      <c r="F1763" s="4" t="n">
        <v>4</v>
      </c>
      <c r="G1763" s="4" t="s">
        <v>7233</v>
      </c>
      <c r="H1763" s="4" t="n">
        <v>43.65369</v>
      </c>
      <c r="I1763" s="4" t="n">
        <v>-94.46081</v>
      </c>
      <c r="J1763" s="4" t="s">
        <v>7234</v>
      </c>
      <c r="K1763" s="6" t="str">
        <f aca="false">HYPERLINK("https://www.google.com/search?q=Martin+County+Library+Fairmont+MN+library+website","Search")</f>
        <v>Search</v>
      </c>
      <c r="L1763" s="7"/>
      <c r="M1763" s="7"/>
    </row>
    <row r="1764" customFormat="false" ht="15" hidden="false" customHeight="true" outlineLevel="0" collapsed="false">
      <c r="A1764" s="4" t="s">
        <v>7120</v>
      </c>
      <c r="B1764" s="4" t="s">
        <v>7235</v>
      </c>
      <c r="C1764" s="4" t="s">
        <v>7236</v>
      </c>
      <c r="D1764" s="4" t="s">
        <v>4282</v>
      </c>
      <c r="E1764" s="5" t="n">
        <v>14070</v>
      </c>
      <c r="F1764" s="4" t="n">
        <v>1</v>
      </c>
      <c r="G1764" s="4" t="s">
        <v>7237</v>
      </c>
      <c r="H1764" s="4" t="n">
        <v>44.31331</v>
      </c>
      <c r="I1764" s="4" t="n">
        <v>-94.4612</v>
      </c>
      <c r="J1764" s="4" t="s">
        <v>7238</v>
      </c>
      <c r="K1764" s="6" t="str">
        <f aca="false">HYPERLINK("https://www.google.com/search?q=New+Ulm+Public+Library+New+Ulm+MN+library+website","Search")</f>
        <v>Search</v>
      </c>
      <c r="L1764" s="7"/>
      <c r="M1764" s="7"/>
    </row>
    <row r="1765" customFormat="false" ht="15" hidden="false" customHeight="true" outlineLevel="0" collapsed="false">
      <c r="A1765" s="4" t="s">
        <v>7120</v>
      </c>
      <c r="B1765" s="4" t="s">
        <v>7239</v>
      </c>
      <c r="C1765" s="4" t="s">
        <v>7240</v>
      </c>
      <c r="D1765" s="4" t="s">
        <v>7241</v>
      </c>
      <c r="E1765" s="5" t="n">
        <v>22145</v>
      </c>
      <c r="F1765" s="4" t="n">
        <v>2</v>
      </c>
      <c r="G1765" s="4" t="s">
        <v>7242</v>
      </c>
      <c r="H1765" s="4" t="n">
        <v>43.6222</v>
      </c>
      <c r="I1765" s="4" t="n">
        <v>-95.59539</v>
      </c>
      <c r="J1765" s="4" t="s">
        <v>7243</v>
      </c>
      <c r="K1765" s="6" t="str">
        <f aca="false">HYPERLINK("https://www.google.com/search?q=Nobles+County+Library+Worthington+MN+library+website","Search")</f>
        <v>Search</v>
      </c>
      <c r="L1765" s="7"/>
      <c r="M1765" s="7"/>
    </row>
    <row r="1766" customFormat="false" ht="15" hidden="false" customHeight="true" outlineLevel="0" collapsed="false">
      <c r="A1766" s="4" t="s">
        <v>7120</v>
      </c>
      <c r="B1766" s="4" t="s">
        <v>7244</v>
      </c>
      <c r="C1766" s="4" t="s">
        <v>7245</v>
      </c>
      <c r="D1766" s="4" t="s">
        <v>7246</v>
      </c>
      <c r="E1766" s="5" t="n">
        <v>16600</v>
      </c>
      <c r="F1766" s="4" t="n">
        <v>1</v>
      </c>
      <c r="G1766" s="4" t="s">
        <v>7247</v>
      </c>
      <c r="H1766" s="4" t="n">
        <v>44.16877</v>
      </c>
      <c r="I1766" s="4" t="n">
        <v>-94.02616</v>
      </c>
      <c r="J1766" s="4" t="s">
        <v>7248</v>
      </c>
      <c r="K1766" s="6" t="str">
        <f aca="false">HYPERLINK("https://www.google.com/search?q=North+Mankato+Taylor+Library+North+Mankato+MN+library+website","Search")</f>
        <v>Search</v>
      </c>
      <c r="L1766" s="7"/>
      <c r="M1766" s="8" t="str">
        <f aca="false">HYPERLINK("https://northmankato.overdrive.com","https://northmankato.overdrive.com")</f>
        <v>https://northmankato.overdrive.com</v>
      </c>
    </row>
    <row r="1767" customFormat="false" ht="15" hidden="false" customHeight="true" outlineLevel="0" collapsed="false">
      <c r="A1767" s="4" t="s">
        <v>7120</v>
      </c>
      <c r="B1767" s="4" t="s">
        <v>7249</v>
      </c>
      <c r="C1767" s="4" t="s">
        <v>7250</v>
      </c>
      <c r="D1767" s="4" t="s">
        <v>7182</v>
      </c>
      <c r="E1767" s="5" t="n">
        <v>26332</v>
      </c>
      <c r="F1767" s="4" t="n">
        <v>1</v>
      </c>
      <c r="G1767" s="4" t="s">
        <v>7251</v>
      </c>
      <c r="H1767" s="4" t="n">
        <v>44.45777</v>
      </c>
      <c r="I1767" s="4" t="n">
        <v>-93.15863</v>
      </c>
      <c r="J1767" s="4" t="s">
        <v>7252</v>
      </c>
      <c r="K1767" s="6" t="str">
        <f aca="false">HYPERLINK("https://www.google.com/search?q=Northfield+Public+Library+Northfield+MN+library+website","Search")</f>
        <v>Search</v>
      </c>
      <c r="L1767" s="7"/>
      <c r="M1767" s="7"/>
    </row>
    <row r="1768" customFormat="false" ht="15" hidden="false" customHeight="true" outlineLevel="0" collapsed="false">
      <c r="A1768" s="4" t="s">
        <v>7120</v>
      </c>
      <c r="B1768" s="4" t="s">
        <v>7253</v>
      </c>
      <c r="C1768" s="4" t="s">
        <v>7254</v>
      </c>
      <c r="D1768" s="4" t="s">
        <v>7255</v>
      </c>
      <c r="E1768" s="5" t="n">
        <v>44815</v>
      </c>
      <c r="F1768" s="4" t="n">
        <v>7</v>
      </c>
      <c r="G1768" s="4" t="s">
        <v>7256</v>
      </c>
      <c r="H1768" s="4" t="n">
        <v>48.11851</v>
      </c>
      <c r="I1768" s="4" t="n">
        <v>-96.17997</v>
      </c>
      <c r="J1768" s="4" t="s">
        <v>7257</v>
      </c>
      <c r="K1768" s="6" t="str">
        <f aca="false">HYPERLINK("https://www.google.com/search?q=Northwest+Regional+Library+Thief+River+Falls+MN+library+website","Search")</f>
        <v>Search</v>
      </c>
      <c r="L1768" s="7"/>
      <c r="M1768" s="7"/>
    </row>
    <row r="1769" customFormat="false" ht="15" hidden="false" customHeight="true" outlineLevel="0" collapsed="false">
      <c r="A1769" s="4" t="s">
        <v>7120</v>
      </c>
      <c r="B1769" s="4" t="s">
        <v>7258</v>
      </c>
      <c r="C1769" s="4" t="s">
        <v>7259</v>
      </c>
      <c r="D1769" s="4" t="s">
        <v>7260</v>
      </c>
      <c r="E1769" s="5" t="n">
        <v>36956</v>
      </c>
      <c r="F1769" s="4" t="n">
        <v>2</v>
      </c>
      <c r="G1769" s="4" t="s">
        <v>7261</v>
      </c>
      <c r="H1769" s="4" t="n">
        <v>44.08513</v>
      </c>
      <c r="I1769" s="4" t="n">
        <v>-93.22346</v>
      </c>
      <c r="J1769" s="4" t="s">
        <v>7262</v>
      </c>
      <c r="K1769" s="6" t="str">
        <f aca="false">HYPERLINK("https://www.google.com/search?q=Owatonna-Steele+County+Library+Owatonna+MN+library+website","Search")</f>
        <v>Search</v>
      </c>
      <c r="L1769" s="7"/>
      <c r="M1769" s="7"/>
    </row>
    <row r="1770" customFormat="false" ht="15" hidden="false" customHeight="true" outlineLevel="0" collapsed="false">
      <c r="A1770" s="4" t="s">
        <v>7120</v>
      </c>
      <c r="B1770" s="4" t="s">
        <v>7263</v>
      </c>
      <c r="C1770" s="4" t="s">
        <v>7264</v>
      </c>
      <c r="D1770" s="4" t="s">
        <v>7148</v>
      </c>
      <c r="E1770" s="5" t="n">
        <v>11546</v>
      </c>
      <c r="F1770" s="4" t="n">
        <v>1</v>
      </c>
      <c r="G1770" s="4" t="s">
        <v>7265</v>
      </c>
      <c r="H1770" s="4" t="n">
        <v>44.2004</v>
      </c>
      <c r="I1770" s="4" t="n">
        <v>-92.64611</v>
      </c>
      <c r="J1770" s="4" t="s">
        <v>7266</v>
      </c>
      <c r="K1770" s="6" t="str">
        <f aca="false">HYPERLINK("https://www.google.com/search?q=Pine+Island%3A+Van+Horn+Public+Library+Pine+Island+MN+library+website","Search")</f>
        <v>Search</v>
      </c>
      <c r="L1770" s="7"/>
      <c r="M1770" s="7"/>
    </row>
    <row r="1771" customFormat="false" ht="15" hidden="false" customHeight="true" outlineLevel="0" collapsed="false">
      <c r="A1771" s="4" t="s">
        <v>7120</v>
      </c>
      <c r="B1771" s="4" t="s">
        <v>7267</v>
      </c>
      <c r="C1771" s="4" t="s">
        <v>7268</v>
      </c>
      <c r="D1771" s="4" t="s">
        <v>7269</v>
      </c>
      <c r="E1771" s="5" t="n">
        <v>162561</v>
      </c>
      <c r="F1771" s="4" t="n">
        <v>32</v>
      </c>
      <c r="G1771" s="4" t="s">
        <v>7270</v>
      </c>
      <c r="H1771" s="4" t="n">
        <v>45.11941</v>
      </c>
      <c r="I1771" s="4" t="n">
        <v>-95.04906</v>
      </c>
      <c r="J1771" s="4" t="s">
        <v>7271</v>
      </c>
      <c r="K1771" s="6" t="str">
        <f aca="false">HYPERLINK("https://www.google.com/search?q=Pioneerland+Library+System+Willmar+MN+library+website","Search")</f>
        <v>Search</v>
      </c>
      <c r="L1771" s="7"/>
      <c r="M1771" s="8" t="str">
        <f aca="false">HYPERLINK("https://pioneerland.overdrive.com","https://pioneerland.overdrive.com")</f>
        <v>https://pioneerland.overdrive.com</v>
      </c>
    </row>
    <row r="1772" customFormat="false" ht="15" hidden="false" customHeight="true" outlineLevel="0" collapsed="false">
      <c r="A1772" s="4" t="s">
        <v>7120</v>
      </c>
      <c r="B1772" s="4" t="s">
        <v>7272</v>
      </c>
      <c r="C1772" s="4" t="s">
        <v>7273</v>
      </c>
      <c r="D1772" s="4" t="s">
        <v>7274</v>
      </c>
      <c r="E1772" s="5" t="n">
        <v>241189</v>
      </c>
      <c r="F1772" s="4" t="n">
        <v>7</v>
      </c>
      <c r="G1772" s="4" t="s">
        <v>7275</v>
      </c>
      <c r="H1772" s="4" t="n">
        <v>45.07983</v>
      </c>
      <c r="I1772" s="4" t="n">
        <v>-93.13553</v>
      </c>
      <c r="J1772" s="4" t="s">
        <v>7276</v>
      </c>
      <c r="K1772" s="6" t="str">
        <f aca="false">HYPERLINK("https://www.google.com/search?q=Ramsey+County+Library+Shoreview+MN+library+website","Search")</f>
        <v>Search</v>
      </c>
      <c r="L1772" s="7"/>
      <c r="M1772" s="7"/>
    </row>
    <row r="1773" customFormat="false" ht="15" hidden="false" customHeight="true" outlineLevel="0" collapsed="false">
      <c r="A1773" s="4" t="s">
        <v>7120</v>
      </c>
      <c r="B1773" s="4" t="s">
        <v>7277</v>
      </c>
      <c r="C1773" s="4" t="s">
        <v>7278</v>
      </c>
      <c r="D1773" s="4" t="s">
        <v>7148</v>
      </c>
      <c r="E1773" s="5" t="n">
        <v>21796</v>
      </c>
      <c r="F1773" s="4" t="n">
        <v>1</v>
      </c>
      <c r="G1773" s="4" t="s">
        <v>7279</v>
      </c>
      <c r="H1773" s="4" t="n">
        <v>44.56431</v>
      </c>
      <c r="I1773" s="4" t="n">
        <v>-92.53576</v>
      </c>
      <c r="J1773" s="4" t="s">
        <v>7280</v>
      </c>
      <c r="K1773" s="6" t="str">
        <f aca="false">HYPERLINK("https://www.google.com/search?q=Red+Wing+Public+Library+Red+Wing+MN+library+website","Search")</f>
        <v>Search</v>
      </c>
      <c r="L1773" s="7"/>
      <c r="M1773" s="7"/>
    </row>
    <row r="1774" customFormat="false" ht="15" hidden="false" customHeight="true" outlineLevel="0" collapsed="false">
      <c r="A1774" s="4" t="s">
        <v>7120</v>
      </c>
      <c r="B1774" s="4" t="s">
        <v>7281</v>
      </c>
      <c r="C1774" s="4" t="s">
        <v>4350</v>
      </c>
      <c r="D1774" s="4" t="s">
        <v>7282</v>
      </c>
      <c r="E1774" s="5" t="n">
        <v>155291</v>
      </c>
      <c r="F1774" s="4" t="n">
        <v>1</v>
      </c>
      <c r="G1774" s="4" t="s">
        <v>7283</v>
      </c>
      <c r="H1774" s="4" t="n">
        <v>44.02185</v>
      </c>
      <c r="I1774" s="4" t="n">
        <v>-92.46019</v>
      </c>
      <c r="J1774" s="4" t="s">
        <v>7284</v>
      </c>
      <c r="K1774" s="6" t="str">
        <f aca="false">HYPERLINK("https://www.google.com/search?q=Rochester+Public+Library+Rochester+MN+library+website","Search")</f>
        <v>Search</v>
      </c>
      <c r="L1774" s="7"/>
      <c r="M1774" s="7"/>
    </row>
    <row r="1775" customFormat="false" ht="15" hidden="false" customHeight="true" outlineLevel="0" collapsed="false">
      <c r="A1775" s="4" t="s">
        <v>7120</v>
      </c>
      <c r="B1775" s="4" t="s">
        <v>7285</v>
      </c>
      <c r="C1775" s="4" t="s">
        <v>7286</v>
      </c>
      <c r="D1775" s="4" t="s">
        <v>7274</v>
      </c>
      <c r="E1775" s="5" t="n">
        <v>312041</v>
      </c>
      <c r="F1775" s="4" t="n">
        <v>13</v>
      </c>
      <c r="G1775" s="4" t="s">
        <v>7287</v>
      </c>
      <c r="H1775" s="4" t="n">
        <v>44.94411</v>
      </c>
      <c r="I1775" s="4" t="n">
        <v>-93.09735</v>
      </c>
      <c r="J1775" s="4" t="s">
        <v>7288</v>
      </c>
      <c r="K1775" s="6" t="str">
        <f aca="false">HYPERLINK("https://www.google.com/search?q=Saint+Paul+Public+Library+Saint+Paul+MN+library+website","Search")</f>
        <v>Search</v>
      </c>
      <c r="L1775" s="7"/>
      <c r="M1775" s="7"/>
    </row>
    <row r="1776" customFormat="false" ht="15" hidden="false" customHeight="true" outlineLevel="0" collapsed="false">
      <c r="A1776" s="4" t="s">
        <v>7120</v>
      </c>
      <c r="B1776" s="4" t="s">
        <v>7289</v>
      </c>
      <c r="C1776" s="4" t="s">
        <v>7290</v>
      </c>
      <c r="D1776" s="4" t="s">
        <v>2895</v>
      </c>
      <c r="E1776" s="5" t="n">
        <v>153199</v>
      </c>
      <c r="F1776" s="4" t="n">
        <v>8</v>
      </c>
      <c r="G1776" s="4" t="s">
        <v>7291</v>
      </c>
      <c r="H1776" s="4" t="n">
        <v>44.77578</v>
      </c>
      <c r="I1776" s="4" t="n">
        <v>-93.50817</v>
      </c>
      <c r="J1776" s="4" t="s">
        <v>7292</v>
      </c>
      <c r="K1776" s="6" t="str">
        <f aca="false">HYPERLINK("https://www.google.com/search?q=Scott+County+Library+Shakopee+MN+library+website","Search")</f>
        <v>Search</v>
      </c>
      <c r="L1776" s="7"/>
      <c r="M1776" s="7"/>
    </row>
    <row r="1777" customFormat="false" ht="15" hidden="false" customHeight="true" outlineLevel="0" collapsed="false">
      <c r="A1777" s="4" t="s">
        <v>7120</v>
      </c>
      <c r="B1777" s="4" t="s">
        <v>7293</v>
      </c>
      <c r="C1777" s="4" t="s">
        <v>6897</v>
      </c>
      <c r="D1777" s="4" t="s">
        <v>7294</v>
      </c>
      <c r="E1777" s="5" t="n">
        <v>14986</v>
      </c>
      <c r="F1777" s="4" t="n">
        <v>5</v>
      </c>
      <c r="G1777" s="4" t="s">
        <v>7295</v>
      </c>
      <c r="H1777" s="4" t="n">
        <v>44.55568</v>
      </c>
      <c r="I1777" s="4" t="n">
        <v>-94.22072</v>
      </c>
      <c r="J1777" s="4" t="s">
        <v>7296</v>
      </c>
      <c r="K1777" s="6" t="str">
        <f aca="false">HYPERLINK("https://www.google.com/search?q=Sibley+County+Library+Gaylord+MN+library+website","Search")</f>
        <v>Search</v>
      </c>
      <c r="L1777" s="7"/>
      <c r="M1777" s="7"/>
    </row>
    <row r="1778" customFormat="false" ht="15" hidden="false" customHeight="true" outlineLevel="0" collapsed="false">
      <c r="A1778" s="4" t="s">
        <v>7120</v>
      </c>
      <c r="B1778" s="4" t="s">
        <v>7297</v>
      </c>
      <c r="C1778" s="4" t="s">
        <v>7298</v>
      </c>
      <c r="D1778" s="4" t="s">
        <v>7166</v>
      </c>
      <c r="E1778" s="5" t="n">
        <v>20745</v>
      </c>
      <c r="F1778" s="4" t="n">
        <v>1</v>
      </c>
      <c r="G1778" s="4" t="s">
        <v>7299</v>
      </c>
      <c r="H1778" s="4" t="n">
        <v>44.89092</v>
      </c>
      <c r="I1778" s="4" t="n">
        <v>-93.03685</v>
      </c>
      <c r="J1778" s="4" t="s">
        <v>7300</v>
      </c>
      <c r="K1778" s="6" t="str">
        <f aca="false">HYPERLINK("https://www.google.com/search?q=South+Saint+Paul+Public+Library+South+St+Paul+MN+library+website","Search")</f>
        <v>Search</v>
      </c>
      <c r="L1778" s="7"/>
      <c r="M1778" s="7"/>
    </row>
    <row r="1779" customFormat="false" ht="15" hidden="false" customHeight="true" outlineLevel="0" collapsed="false">
      <c r="A1779" s="4" t="s">
        <v>7120</v>
      </c>
      <c r="B1779" s="4" t="s">
        <v>7301</v>
      </c>
      <c r="C1779" s="4" t="s">
        <v>7302</v>
      </c>
      <c r="D1779" s="4" t="s">
        <v>7246</v>
      </c>
      <c r="E1779" s="5" t="n">
        <v>21044</v>
      </c>
      <c r="F1779" s="4" t="n">
        <v>1</v>
      </c>
      <c r="G1779" s="4" t="s">
        <v>7303</v>
      </c>
      <c r="H1779" s="4" t="n">
        <v>44.32379</v>
      </c>
      <c r="I1779" s="4" t="n">
        <v>-93.96506</v>
      </c>
      <c r="J1779" s="4" t="s">
        <v>7304</v>
      </c>
      <c r="K1779" s="6" t="str">
        <f aca="false">HYPERLINK("https://www.google.com/search?q=St.+Peter+Public+Library+Saint+Peter+MN+library+website","Search")</f>
        <v>Search</v>
      </c>
      <c r="L1779" s="7"/>
      <c r="M1779" s="7"/>
    </row>
    <row r="1780" customFormat="false" ht="15" hidden="false" customHeight="true" outlineLevel="0" collapsed="false">
      <c r="A1780" s="4" t="s">
        <v>7120</v>
      </c>
      <c r="B1780" s="4" t="s">
        <v>7305</v>
      </c>
      <c r="C1780" s="4" t="s">
        <v>7306</v>
      </c>
      <c r="D1780" s="4" t="s">
        <v>7282</v>
      </c>
      <c r="E1780" s="5" t="n">
        <v>10677</v>
      </c>
      <c r="F1780" s="4" t="n">
        <v>1</v>
      </c>
      <c r="G1780" s="4" t="s">
        <v>7307</v>
      </c>
      <c r="H1780" s="4" t="n">
        <v>43.8545</v>
      </c>
      <c r="I1780" s="4" t="n">
        <v>-92.48711</v>
      </c>
      <c r="J1780" s="4" t="s">
        <v>7308</v>
      </c>
      <c r="K1780" s="6" t="str">
        <f aca="false">HYPERLINK("https://www.google.com/search?q=Stewartville+Public+Library+Stewartville+MN+library+website","Search")</f>
        <v>Search</v>
      </c>
      <c r="L1780" s="7"/>
      <c r="M1780" s="7"/>
    </row>
    <row r="1781" customFormat="false" ht="15" hidden="false" customHeight="true" outlineLevel="0" collapsed="false">
      <c r="A1781" s="4" t="s">
        <v>7120</v>
      </c>
      <c r="B1781" s="4" t="s">
        <v>7309</v>
      </c>
      <c r="C1781" s="4" t="s">
        <v>7310</v>
      </c>
      <c r="D1781" s="4" t="s">
        <v>441</v>
      </c>
      <c r="E1781" s="5" t="n">
        <v>19464</v>
      </c>
      <c r="F1781" s="4" t="n">
        <v>1</v>
      </c>
      <c r="G1781" s="4" t="s">
        <v>7311</v>
      </c>
      <c r="H1781" s="4" t="n">
        <v>45.05779</v>
      </c>
      <c r="I1781" s="4" t="n">
        <v>-92.80962</v>
      </c>
      <c r="J1781" s="4" t="s">
        <v>7312</v>
      </c>
      <c r="K1781" s="6" t="str">
        <f aca="false">HYPERLINK("https://www.google.com/search?q=Stillwater+Public+Library+Stillwater+MN+library+website","Search")</f>
        <v>Search</v>
      </c>
      <c r="L1781" s="7"/>
      <c r="M1781" s="7"/>
    </row>
    <row r="1782" customFormat="false" ht="15" hidden="false" customHeight="true" outlineLevel="0" collapsed="false">
      <c r="A1782" s="4" t="s">
        <v>7120</v>
      </c>
      <c r="B1782" s="4" t="s">
        <v>7313</v>
      </c>
      <c r="C1782" s="4" t="s">
        <v>7186</v>
      </c>
      <c r="D1782" s="4" t="s">
        <v>7187</v>
      </c>
      <c r="E1782" s="5" t="n">
        <v>168802</v>
      </c>
      <c r="F1782" s="4" t="n">
        <v>0</v>
      </c>
      <c r="G1782" s="4" t="s">
        <v>7314</v>
      </c>
      <c r="H1782" s="4" t="n">
        <v>46.30334</v>
      </c>
      <c r="I1782" s="4" t="n">
        <v>-96.09167</v>
      </c>
      <c r="J1782" s="4" t="s">
        <v>7315</v>
      </c>
      <c r="K1782" s="6" t="str">
        <f aca="false">HYPERLINK("https://www.google.com/search?q=Viking+Library+System+Fergus+Falls+MN+library+website","Search")</f>
        <v>Search</v>
      </c>
      <c r="L1782" s="7"/>
      <c r="M1782" s="8" t="str">
        <f aca="false">HYPERLINK("https://vikingdigitallibrary.overdrive.com","https://vikingdigitallibrary.overdrive.com")</f>
        <v>https://vikingdigitallibrary.overdrive.com</v>
      </c>
    </row>
    <row r="1783" customFormat="false" ht="15" hidden="false" customHeight="true" outlineLevel="0" collapsed="false">
      <c r="A1783" s="4" t="s">
        <v>7120</v>
      </c>
      <c r="B1783" s="4" t="s">
        <v>7316</v>
      </c>
      <c r="C1783" s="4" t="s">
        <v>7317</v>
      </c>
      <c r="D1783" s="4" t="s">
        <v>7317</v>
      </c>
      <c r="E1783" s="5" t="n">
        <v>47930</v>
      </c>
      <c r="F1783" s="4" t="n">
        <v>9</v>
      </c>
      <c r="G1783" s="4" t="s">
        <v>7318</v>
      </c>
      <c r="H1783" s="4" t="n">
        <v>44.08101</v>
      </c>
      <c r="I1783" s="4" t="n">
        <v>-93.50725</v>
      </c>
      <c r="J1783" s="4" t="s">
        <v>7319</v>
      </c>
      <c r="K1783" s="6" t="str">
        <f aca="false">HYPERLINK("https://www.google.com/search?q=Waseca-Le+Sueur+Regional+Library+Waseca+MN+library+website","Search")</f>
        <v>Search</v>
      </c>
      <c r="L1783" s="7"/>
      <c r="M1783" s="7"/>
    </row>
    <row r="1784" customFormat="false" ht="15" hidden="false" customHeight="true" outlineLevel="0" collapsed="false">
      <c r="A1784" s="4" t="s">
        <v>7120</v>
      </c>
      <c r="B1784" s="4" t="s">
        <v>7320</v>
      </c>
      <c r="C1784" s="4" t="s">
        <v>3114</v>
      </c>
      <c r="D1784" s="4" t="s">
        <v>441</v>
      </c>
      <c r="E1784" s="5" t="n">
        <v>247515</v>
      </c>
      <c r="F1784" s="4" t="n">
        <v>7</v>
      </c>
      <c r="G1784" s="4" t="s">
        <v>7321</v>
      </c>
      <c r="H1784" s="4" t="n">
        <v>44.9174</v>
      </c>
      <c r="I1784" s="4" t="n">
        <v>-92.93192</v>
      </c>
      <c r="J1784" s="4" t="s">
        <v>7322</v>
      </c>
      <c r="K1784" s="6" t="str">
        <f aca="false">HYPERLINK("https://www.google.com/search?q=Washington+County+Library+Woodbury+MN+library+website","Search")</f>
        <v>Search</v>
      </c>
      <c r="L1784" s="7"/>
      <c r="M1784" s="7"/>
    </row>
    <row r="1785" customFormat="false" ht="15" hidden="false" customHeight="true" outlineLevel="0" collapsed="false">
      <c r="A1785" s="4" t="s">
        <v>7120</v>
      </c>
      <c r="B1785" s="4" t="s">
        <v>7323</v>
      </c>
      <c r="C1785" s="4" t="s">
        <v>7324</v>
      </c>
      <c r="D1785" s="4" t="s">
        <v>7325</v>
      </c>
      <c r="E1785" s="5" t="n">
        <v>11255</v>
      </c>
      <c r="F1785" s="4" t="n">
        <v>5</v>
      </c>
      <c r="G1785" s="4" t="s">
        <v>7326</v>
      </c>
      <c r="H1785" s="4" t="n">
        <v>43.9813</v>
      </c>
      <c r="I1785" s="4" t="n">
        <v>-94.62931</v>
      </c>
      <c r="J1785" s="4" t="s">
        <v>7327</v>
      </c>
      <c r="K1785" s="6" t="str">
        <f aca="false">HYPERLINK("https://www.google.com/search?q=Watonwan+County+Library+St+James+MN+library+website","Search")</f>
        <v>Search</v>
      </c>
      <c r="L1785" s="7"/>
      <c r="M1785" s="7"/>
    </row>
    <row r="1786" customFormat="false" ht="15" hidden="false" customHeight="true" outlineLevel="0" collapsed="false">
      <c r="A1786" s="4" t="s">
        <v>7120</v>
      </c>
      <c r="B1786" s="4" t="s">
        <v>7328</v>
      </c>
      <c r="C1786" s="4" t="s">
        <v>7329</v>
      </c>
      <c r="D1786" s="4" t="s">
        <v>7329</v>
      </c>
      <c r="E1786" s="5" t="n">
        <v>49017</v>
      </c>
      <c r="F1786" s="4" t="n">
        <v>1</v>
      </c>
      <c r="G1786" s="4" t="s">
        <v>7330</v>
      </c>
      <c r="H1786" s="4" t="n">
        <v>44.05129</v>
      </c>
      <c r="I1786" s="4" t="n">
        <v>-91.64067</v>
      </c>
      <c r="J1786" s="4" t="s">
        <v>7331</v>
      </c>
      <c r="K1786" s="6" t="str">
        <f aca="false">HYPERLINK("https://www.google.com/search?q=Winona+Public+Library+Winona+MN+library+website","Search")</f>
        <v>Search</v>
      </c>
      <c r="L1786" s="7"/>
      <c r="M1786" s="7"/>
    </row>
    <row r="1787" customFormat="false" ht="15" hidden="false" customHeight="true" outlineLevel="0" collapsed="false">
      <c r="A1787" s="4" t="s">
        <v>7120</v>
      </c>
      <c r="B1787" s="4" t="s">
        <v>7332</v>
      </c>
      <c r="C1787" s="4" t="s">
        <v>7333</v>
      </c>
      <c r="D1787" s="4" t="s">
        <v>7148</v>
      </c>
      <c r="E1787" s="5" t="n">
        <v>11809</v>
      </c>
      <c r="F1787" s="4" t="n">
        <v>1</v>
      </c>
      <c r="G1787" s="4" t="s">
        <v>7334</v>
      </c>
      <c r="H1787" s="4" t="n">
        <v>44.2955</v>
      </c>
      <c r="I1787" s="4" t="n">
        <v>-92.67046</v>
      </c>
      <c r="J1787" s="4" t="s">
        <v>7335</v>
      </c>
      <c r="K1787" s="6" t="str">
        <f aca="false">HYPERLINK("https://www.google.com/search?q=Zumbrota+Public+Library+Zumbrota+MN+library+website","Search")</f>
        <v>Search</v>
      </c>
      <c r="L1787" s="7"/>
      <c r="M1787" s="7"/>
    </row>
    <row r="1788" customFormat="false" ht="15" hidden="false" customHeight="true" outlineLevel="0" collapsed="false">
      <c r="A1788" s="4" t="s">
        <v>7336</v>
      </c>
      <c r="B1788" s="4" t="s">
        <v>4806</v>
      </c>
      <c r="C1788" s="4" t="s">
        <v>7337</v>
      </c>
      <c r="D1788" s="4" t="s">
        <v>4807</v>
      </c>
      <c r="E1788" s="5" t="n">
        <v>25314</v>
      </c>
      <c r="F1788" s="4" t="n">
        <v>1</v>
      </c>
      <c r="G1788" s="4" t="s">
        <v>7338</v>
      </c>
      <c r="H1788" s="4" t="n">
        <v>40.19992</v>
      </c>
      <c r="I1788" s="4" t="n">
        <v>-92.57311</v>
      </c>
      <c r="J1788" s="4" t="s">
        <v>7339</v>
      </c>
      <c r="K1788" s="6" t="str">
        <f aca="false">HYPERLINK("https://www.google.com/search?q=Adair+County+Public+Library+Kirksville+MO+library+website","Search")</f>
        <v>Search</v>
      </c>
      <c r="L1788" s="7"/>
      <c r="M1788" s="7"/>
    </row>
    <row r="1789" customFormat="false" ht="15" hidden="false" customHeight="true" outlineLevel="0" collapsed="false">
      <c r="A1789" s="4" t="s">
        <v>7336</v>
      </c>
      <c r="B1789" s="4" t="s">
        <v>7340</v>
      </c>
      <c r="C1789" s="4" t="s">
        <v>7341</v>
      </c>
      <c r="D1789" s="4" t="s">
        <v>6723</v>
      </c>
      <c r="E1789" s="5" t="n">
        <v>72535</v>
      </c>
      <c r="F1789" s="4" t="n">
        <v>9</v>
      </c>
      <c r="G1789" s="4" t="s">
        <v>7342</v>
      </c>
      <c r="H1789" s="4" t="n">
        <v>36.92214</v>
      </c>
      <c r="I1789" s="4" t="n">
        <v>-93.92119</v>
      </c>
      <c r="J1789" s="4" t="s">
        <v>7343</v>
      </c>
      <c r="K1789" s="6" t="str">
        <f aca="false">HYPERLINK("https://www.google.com/search?q=Barry-Lawrence+Regional+Library+Monett+MO+library+website","Search")</f>
        <v>Search</v>
      </c>
      <c r="L1789" s="7"/>
      <c r="M1789" s="7"/>
    </row>
    <row r="1790" customFormat="false" ht="15" hidden="false" customHeight="true" outlineLevel="0" collapsed="false">
      <c r="A1790" s="4" t="s">
        <v>7336</v>
      </c>
      <c r="B1790" s="4" t="s">
        <v>7344</v>
      </c>
      <c r="C1790" s="4" t="s">
        <v>1686</v>
      </c>
      <c r="D1790" s="4" t="s">
        <v>4720</v>
      </c>
      <c r="E1790" s="5" t="n">
        <v>11637</v>
      </c>
      <c r="F1790" s="4" t="n">
        <v>3</v>
      </c>
      <c r="G1790" s="4" t="s">
        <v>7345</v>
      </c>
      <c r="H1790" s="4" t="n">
        <v>37.49584</v>
      </c>
      <c r="I1790" s="4" t="n">
        <v>-94.27936</v>
      </c>
      <c r="J1790" s="4" t="s">
        <v>7346</v>
      </c>
      <c r="K1790" s="6" t="str">
        <f aca="false">HYPERLINK("https://www.google.com/search?q=Barton+County+Library+Lamar+MO+library+website","Search")</f>
        <v>Search</v>
      </c>
      <c r="L1790" s="7"/>
      <c r="M1790" s="7"/>
    </row>
    <row r="1791" customFormat="false" ht="15" hidden="false" customHeight="true" outlineLevel="0" collapsed="false">
      <c r="A1791" s="4" t="s">
        <v>7336</v>
      </c>
      <c r="B1791" s="4" t="s">
        <v>7347</v>
      </c>
      <c r="C1791" s="4" t="s">
        <v>7348</v>
      </c>
      <c r="D1791" s="4" t="s">
        <v>7349</v>
      </c>
      <c r="E1791" s="5" t="n">
        <v>10567</v>
      </c>
      <c r="F1791" s="4" t="n">
        <v>1</v>
      </c>
      <c r="G1791" s="4" t="s">
        <v>7350</v>
      </c>
      <c r="H1791" s="4" t="n">
        <v>37.30905</v>
      </c>
      <c r="I1791" s="4" t="n">
        <v>-89.97457</v>
      </c>
      <c r="J1791" s="4" t="s">
        <v>7351</v>
      </c>
      <c r="K1791" s="6" t="str">
        <f aca="false">HYPERLINK("https://www.google.com/search?q=Bollinger+County+Library+Marble+Hill+MO+library+website","Search")</f>
        <v>Search</v>
      </c>
      <c r="L1791" s="7"/>
      <c r="M1791" s="7"/>
    </row>
    <row r="1792" customFormat="false" ht="15" hidden="false" customHeight="true" outlineLevel="0" collapsed="false">
      <c r="A1792" s="4" t="s">
        <v>7336</v>
      </c>
      <c r="B1792" s="4" t="s">
        <v>7352</v>
      </c>
      <c r="C1792" s="4" t="s">
        <v>7353</v>
      </c>
      <c r="D1792" s="4" t="s">
        <v>7354</v>
      </c>
      <c r="E1792" s="5" t="n">
        <v>59455</v>
      </c>
      <c r="F1792" s="4" t="n">
        <v>4</v>
      </c>
      <c r="G1792" s="4" t="s">
        <v>7355</v>
      </c>
      <c r="H1792" s="4" t="n">
        <v>38.70866</v>
      </c>
      <c r="I1792" s="4" t="n">
        <v>-93.22992</v>
      </c>
      <c r="J1792" s="4" t="s">
        <v>7356</v>
      </c>
      <c r="K1792" s="6" t="str">
        <f aca="false">HYPERLINK("https://www.google.com/search?q=Boonslick+Regional+Library+Sedalia+MO+library+website","Search")</f>
        <v>Search</v>
      </c>
      <c r="L1792" s="7"/>
      <c r="M1792" s="7"/>
    </row>
    <row r="1793" customFormat="false" ht="15" hidden="false" customHeight="true" outlineLevel="0" collapsed="false">
      <c r="A1793" s="4" t="s">
        <v>7336</v>
      </c>
      <c r="B1793" s="4" t="s">
        <v>7357</v>
      </c>
      <c r="C1793" s="4" t="s">
        <v>7358</v>
      </c>
      <c r="D1793" s="4" t="s">
        <v>445</v>
      </c>
      <c r="E1793" s="5" t="n">
        <v>42745</v>
      </c>
      <c r="F1793" s="4" t="n">
        <v>6</v>
      </c>
      <c r="G1793" s="4" t="s">
        <v>7359</v>
      </c>
      <c r="H1793" s="4" t="n">
        <v>38.00256</v>
      </c>
      <c r="I1793" s="4" t="n">
        <v>-92.7392</v>
      </c>
      <c r="J1793" s="4" t="s">
        <v>7360</v>
      </c>
      <c r="K1793" s="6" t="str">
        <f aca="false">HYPERLINK("https://www.google.com/search?q=Camden+County+Library+Camdenton+MO+library+website","Search")</f>
        <v>Search</v>
      </c>
      <c r="L1793" s="7"/>
      <c r="M1793" s="7"/>
    </row>
    <row r="1794" customFormat="false" ht="15" hidden="false" customHeight="true" outlineLevel="0" collapsed="false">
      <c r="A1794" s="4" t="s">
        <v>7336</v>
      </c>
      <c r="B1794" s="4" t="s">
        <v>7361</v>
      </c>
      <c r="C1794" s="4" t="s">
        <v>7362</v>
      </c>
      <c r="D1794" s="4" t="s">
        <v>273</v>
      </c>
      <c r="E1794" s="5" t="n">
        <v>15522</v>
      </c>
      <c r="F1794" s="4" t="n">
        <v>1</v>
      </c>
      <c r="G1794" s="4" t="s">
        <v>7363</v>
      </c>
      <c r="H1794" s="4" t="n">
        <v>37.17444</v>
      </c>
      <c r="I1794" s="4" t="n">
        <v>-94.31407</v>
      </c>
      <c r="J1794" s="4" t="s">
        <v>7364</v>
      </c>
      <c r="K1794" s="6" t="str">
        <f aca="false">HYPERLINK("https://www.google.com/search?q=Carthage+Public+Library+Carthage+MO+library+website","Search")</f>
        <v>Search</v>
      </c>
      <c r="L1794" s="7"/>
      <c r="M1794" s="7"/>
    </row>
    <row r="1795" customFormat="false" ht="15" hidden="false" customHeight="true" outlineLevel="0" collapsed="false">
      <c r="A1795" s="4" t="s">
        <v>7336</v>
      </c>
      <c r="B1795" s="4" t="s">
        <v>7365</v>
      </c>
      <c r="C1795" s="4" t="s">
        <v>7366</v>
      </c>
      <c r="D1795" s="4" t="s">
        <v>4467</v>
      </c>
      <c r="E1795" s="5" t="n">
        <v>107824</v>
      </c>
      <c r="F1795" s="4" t="n">
        <v>7</v>
      </c>
      <c r="G1795" s="4" t="s">
        <v>7367</v>
      </c>
      <c r="H1795" s="4" t="n">
        <v>38.6531</v>
      </c>
      <c r="I1795" s="4" t="n">
        <v>-94.34606</v>
      </c>
      <c r="J1795" s="4" t="s">
        <v>7368</v>
      </c>
      <c r="K1795" s="6" t="str">
        <f aca="false">HYPERLINK("https://www.google.com/search?q=Cass+County+Public+Library+Harrisonville+MO+library+website","Search")</f>
        <v>Search</v>
      </c>
      <c r="L1795" s="7"/>
      <c r="M1795" s="7"/>
    </row>
    <row r="1796" customFormat="false" ht="15" hidden="false" customHeight="true" outlineLevel="0" collapsed="false">
      <c r="A1796" s="4" t="s">
        <v>7336</v>
      </c>
      <c r="B1796" s="4" t="s">
        <v>7369</v>
      </c>
      <c r="C1796" s="4" t="s">
        <v>1498</v>
      </c>
      <c r="D1796" s="4" t="s">
        <v>7370</v>
      </c>
      <c r="E1796" s="5" t="n">
        <v>14188</v>
      </c>
      <c r="F1796" s="4" t="n">
        <v>2</v>
      </c>
      <c r="G1796" s="4" t="s">
        <v>7371</v>
      </c>
      <c r="H1796" s="4" t="n">
        <v>37.69886</v>
      </c>
      <c r="I1796" s="4" t="n">
        <v>-93.78822</v>
      </c>
      <c r="J1796" s="4" t="s">
        <v>7372</v>
      </c>
      <c r="K1796" s="6" t="str">
        <f aca="false">HYPERLINK("https://www.google.com/search?q=Cedar+County+Library+District+Stockton+MO+library+website","Search")</f>
        <v>Search</v>
      </c>
      <c r="L1796" s="7"/>
      <c r="M1796" s="7"/>
    </row>
    <row r="1797" customFormat="false" ht="15" hidden="false" customHeight="true" outlineLevel="0" collapsed="false">
      <c r="A1797" s="4" t="s">
        <v>7336</v>
      </c>
      <c r="B1797" s="4" t="s">
        <v>7373</v>
      </c>
      <c r="C1797" s="4" t="s">
        <v>7374</v>
      </c>
      <c r="D1797" s="4" t="s">
        <v>4112</v>
      </c>
      <c r="E1797" s="5" t="n">
        <v>88842</v>
      </c>
      <c r="F1797" s="4" t="n">
        <v>4</v>
      </c>
      <c r="G1797" s="4" t="s">
        <v>7375</v>
      </c>
      <c r="H1797" s="4" t="n">
        <v>37.04455</v>
      </c>
      <c r="I1797" s="4" t="n">
        <v>-93.30035</v>
      </c>
      <c r="J1797" s="4" t="s">
        <v>7376</v>
      </c>
      <c r="K1797" s="6" t="str">
        <f aca="false">HYPERLINK("https://www.google.com/search?q=Christian+County+Library+Nixa+MO+library+website","Search")</f>
        <v>Search</v>
      </c>
      <c r="L1797" s="7"/>
      <c r="M1797" s="7"/>
    </row>
    <row r="1798" customFormat="false" ht="15" hidden="false" customHeight="true" outlineLevel="0" collapsed="false">
      <c r="A1798" s="4" t="s">
        <v>7336</v>
      </c>
      <c r="B1798" s="4" t="s">
        <v>7377</v>
      </c>
      <c r="C1798" s="4" t="s">
        <v>7133</v>
      </c>
      <c r="D1798" s="4" t="s">
        <v>7378</v>
      </c>
      <c r="E1798" s="5" t="n">
        <v>301578</v>
      </c>
      <c r="F1798" s="4" t="n">
        <v>16</v>
      </c>
      <c r="G1798" s="4" t="s">
        <v>7379</v>
      </c>
      <c r="H1798" s="4" t="n">
        <v>38.63044</v>
      </c>
      <c r="I1798" s="4" t="n">
        <v>-90.20088</v>
      </c>
      <c r="J1798" s="4" t="s">
        <v>7380</v>
      </c>
      <c r="K1798" s="6" t="str">
        <f aca="false">HYPERLINK("https://www.google.com/search?q=City+Of+St.+Louis+Municipal+Library+District+St.+Louis+MO+library+website","Search")</f>
        <v>Search</v>
      </c>
      <c r="L1798" s="7"/>
      <c r="M1798" s="7"/>
    </row>
    <row r="1799" customFormat="false" ht="15" hidden="false" customHeight="true" outlineLevel="0" collapsed="false">
      <c r="A1799" s="4" t="s">
        <v>7336</v>
      </c>
      <c r="B1799" s="4" t="s">
        <v>6567</v>
      </c>
      <c r="C1799" s="4" t="s">
        <v>7381</v>
      </c>
      <c r="D1799" s="4" t="s">
        <v>516</v>
      </c>
      <c r="E1799" s="5" t="n">
        <v>21563</v>
      </c>
      <c r="F1799" s="4" t="n">
        <v>3</v>
      </c>
      <c r="G1799" s="4" t="s">
        <v>7382</v>
      </c>
      <c r="H1799" s="4" t="n">
        <v>37.96668</v>
      </c>
      <c r="I1799" s="4" t="n">
        <v>-91.36004</v>
      </c>
      <c r="J1799" s="4" t="s">
        <v>7383</v>
      </c>
      <c r="K1799" s="6" t="str">
        <f aca="false">HYPERLINK("https://www.google.com/search?q=Crawford+County+Library+Steelville+MO+library+website","Search")</f>
        <v>Search</v>
      </c>
      <c r="L1799" s="7"/>
      <c r="M1799" s="7"/>
    </row>
    <row r="1800" customFormat="false" ht="15" hidden="false" customHeight="true" outlineLevel="0" collapsed="false">
      <c r="A1800" s="4" t="s">
        <v>7336</v>
      </c>
      <c r="B1800" s="4" t="s">
        <v>7384</v>
      </c>
      <c r="C1800" s="4" t="s">
        <v>7385</v>
      </c>
      <c r="D1800" s="4" t="s">
        <v>394</v>
      </c>
      <c r="E1800" s="5" t="n">
        <v>17071</v>
      </c>
      <c r="F1800" s="4" t="n">
        <v>1</v>
      </c>
      <c r="G1800" s="4" t="s">
        <v>7386</v>
      </c>
      <c r="H1800" s="4" t="n">
        <v>37.64408</v>
      </c>
      <c r="I1800" s="4" t="n">
        <v>-93.09395</v>
      </c>
      <c r="J1800" s="4" t="s">
        <v>7387</v>
      </c>
      <c r="K1800" s="6" t="str">
        <f aca="false">HYPERLINK("https://www.google.com/search?q=Dallas+County+Library+Buffalo+MO+library+website","Search")</f>
        <v>Search</v>
      </c>
      <c r="L1800" s="7"/>
      <c r="M1800" s="7"/>
    </row>
    <row r="1801" customFormat="false" ht="15" hidden="false" customHeight="true" outlineLevel="0" collapsed="false">
      <c r="A1801" s="4" t="s">
        <v>7336</v>
      </c>
      <c r="B1801" s="4" t="s">
        <v>7388</v>
      </c>
      <c r="C1801" s="4" t="s">
        <v>506</v>
      </c>
      <c r="D1801" s="4" t="s">
        <v>486</v>
      </c>
      <c r="E1801" s="5" t="n">
        <v>223840</v>
      </c>
      <c r="F1801" s="4" t="n">
        <v>4</v>
      </c>
      <c r="G1801" s="4" t="s">
        <v>7389</v>
      </c>
      <c r="H1801" s="4" t="n">
        <v>38.95152</v>
      </c>
      <c r="I1801" s="4" t="n">
        <v>-92.33978</v>
      </c>
      <c r="J1801" s="4" t="s">
        <v>7390</v>
      </c>
      <c r="K1801" s="6" t="str">
        <f aca="false">HYPERLINK("https://www.google.com/search?q=Daniel+Boone+Regional+Library+Columbia+MO+library+website","Search")</f>
        <v>Search</v>
      </c>
      <c r="L1801" s="7"/>
      <c r="M1801" s="8" t="str">
        <f aca="false">HYPERLINK("https://dbrl.overdrive.com","https://dbrl.overdrive.com")</f>
        <v>https://dbrl.overdrive.com</v>
      </c>
    </row>
    <row r="1802" customFormat="false" ht="15" hidden="false" customHeight="true" outlineLevel="0" collapsed="false">
      <c r="A1802" s="4" t="s">
        <v>7336</v>
      </c>
      <c r="B1802" s="4" t="s">
        <v>7391</v>
      </c>
      <c r="C1802" s="4" t="s">
        <v>7392</v>
      </c>
      <c r="D1802" s="4" t="s">
        <v>4265</v>
      </c>
      <c r="E1802" s="5" t="n">
        <v>10679</v>
      </c>
      <c r="F1802" s="4" t="n">
        <v>2</v>
      </c>
      <c r="G1802" s="4" t="s">
        <v>7393</v>
      </c>
      <c r="H1802" s="4" t="n">
        <v>36.61837</v>
      </c>
      <c r="I1802" s="4" t="n">
        <v>-90.82514</v>
      </c>
      <c r="J1802" s="4" t="s">
        <v>7394</v>
      </c>
      <c r="K1802" s="6" t="str">
        <f aca="false">HYPERLINK("https://www.google.com/search?q=Doniphan-Ripley+County+Library+District+Doniphan+MO+library+website","Search")</f>
        <v>Search</v>
      </c>
      <c r="L1802" s="7"/>
      <c r="M1802" s="7"/>
    </row>
    <row r="1803" customFormat="false" ht="15" hidden="false" customHeight="true" outlineLevel="0" collapsed="false">
      <c r="A1803" s="4" t="s">
        <v>7336</v>
      </c>
      <c r="B1803" s="4" t="s">
        <v>7395</v>
      </c>
      <c r="C1803" s="4" t="s">
        <v>7396</v>
      </c>
      <c r="D1803" s="4" t="s">
        <v>719</v>
      </c>
      <c r="E1803" s="5" t="n">
        <v>11578</v>
      </c>
      <c r="F1803" s="4" t="n">
        <v>1</v>
      </c>
      <c r="G1803" s="4" t="s">
        <v>7397</v>
      </c>
      <c r="H1803" s="4" t="n">
        <v>36.95079</v>
      </c>
      <c r="I1803" s="4" t="n">
        <v>-92.66071</v>
      </c>
      <c r="J1803" s="4" t="s">
        <v>7398</v>
      </c>
      <c r="K1803" s="6" t="str">
        <f aca="false">HYPERLINK("https://www.google.com/search?q=Douglas+County+Public+Library+Ava+MO+library+website","Search")</f>
        <v>Search</v>
      </c>
      <c r="L1803" s="7"/>
      <c r="M1803" s="7"/>
    </row>
    <row r="1804" customFormat="false" ht="15" hidden="false" customHeight="true" outlineLevel="0" collapsed="false">
      <c r="A1804" s="4" t="s">
        <v>7336</v>
      </c>
      <c r="B1804" s="4" t="s">
        <v>7399</v>
      </c>
      <c r="C1804" s="4" t="s">
        <v>7400</v>
      </c>
      <c r="D1804" s="4" t="s">
        <v>7401</v>
      </c>
      <c r="E1804" s="5" t="n">
        <v>28283</v>
      </c>
      <c r="F1804" s="4" t="n">
        <v>8</v>
      </c>
      <c r="G1804" s="4" t="s">
        <v>7402</v>
      </c>
      <c r="H1804" s="4" t="n">
        <v>36.23781</v>
      </c>
      <c r="I1804" s="4" t="n">
        <v>-90.05686</v>
      </c>
      <c r="J1804" s="4" t="s">
        <v>7403</v>
      </c>
      <c r="K1804" s="6" t="str">
        <f aca="false">HYPERLINK("https://www.google.com/search?q=Dunklin+County+Library+Kennett+MO+library+website","Search")</f>
        <v>Search</v>
      </c>
      <c r="L1804" s="7"/>
      <c r="M1804" s="7"/>
    </row>
    <row r="1805" customFormat="false" ht="15" hidden="false" customHeight="true" outlineLevel="0" collapsed="false">
      <c r="A1805" s="4" t="s">
        <v>7336</v>
      </c>
      <c r="B1805" s="4" t="s">
        <v>7404</v>
      </c>
      <c r="C1805" s="4" t="s">
        <v>1923</v>
      </c>
      <c r="D1805" s="4" t="s">
        <v>7405</v>
      </c>
      <c r="E1805" s="5" t="n">
        <v>18217</v>
      </c>
      <c r="F1805" s="4" t="n">
        <v>1</v>
      </c>
      <c r="G1805" s="4" t="s">
        <v>7406</v>
      </c>
      <c r="H1805" s="4" t="n">
        <v>37.78166</v>
      </c>
      <c r="I1805" s="4" t="n">
        <v>-90.42433</v>
      </c>
      <c r="J1805" s="4" t="s">
        <v>7407</v>
      </c>
      <c r="K1805" s="6" t="str">
        <f aca="false">HYPERLINK("https://www.google.com/search?q=Farmington+Public+Library+Farmington+MO+library+website","Search")</f>
        <v>Search</v>
      </c>
      <c r="L1805" s="7"/>
      <c r="M1805" s="7"/>
    </row>
    <row r="1806" customFormat="false" ht="15" hidden="false" customHeight="true" outlineLevel="0" collapsed="false">
      <c r="A1806" s="4" t="s">
        <v>7336</v>
      </c>
      <c r="B1806" s="4" t="s">
        <v>7408</v>
      </c>
      <c r="C1806" s="4" t="s">
        <v>7409</v>
      </c>
      <c r="D1806" s="4" t="s">
        <v>7133</v>
      </c>
      <c r="E1806" s="5" t="n">
        <v>18527</v>
      </c>
      <c r="F1806" s="4" t="n">
        <v>1</v>
      </c>
      <c r="G1806" s="4" t="s">
        <v>7410</v>
      </c>
      <c r="H1806" s="4" t="n">
        <v>38.74589</v>
      </c>
      <c r="I1806" s="4" t="n">
        <v>-90.30552</v>
      </c>
      <c r="J1806" s="4" t="s">
        <v>7411</v>
      </c>
      <c r="K1806" s="6" t="str">
        <f aca="false">HYPERLINK("https://www.google.com/search?q=Ferguson+Municipal+Public+Library+District+Ferguson+MO+library+website","Search")</f>
        <v>Search</v>
      </c>
      <c r="L1806" s="7"/>
      <c r="M1806" s="7"/>
    </row>
    <row r="1807" customFormat="false" ht="15" hidden="false" customHeight="true" outlineLevel="0" collapsed="false">
      <c r="A1807" s="4" t="s">
        <v>7336</v>
      </c>
      <c r="B1807" s="4" t="s">
        <v>7412</v>
      </c>
      <c r="C1807" s="4" t="s">
        <v>7413</v>
      </c>
      <c r="D1807" s="4" t="s">
        <v>98</v>
      </c>
      <c r="E1807" s="5" t="n">
        <v>12706</v>
      </c>
      <c r="F1807" s="4" t="n">
        <v>1</v>
      </c>
      <c r="G1807" s="4" t="s">
        <v>7414</v>
      </c>
      <c r="H1807" s="4" t="n">
        <v>38.21975</v>
      </c>
      <c r="I1807" s="4" t="n">
        <v>-90.39436</v>
      </c>
      <c r="J1807" s="4" t="s">
        <v>7415</v>
      </c>
      <c r="K1807" s="6" t="str">
        <f aca="false">HYPERLINK("https://www.google.com/search?q=Festus+Public+Library+Festus+MO+library+website","Search")</f>
        <v>Search</v>
      </c>
      <c r="L1807" s="7"/>
      <c r="M1807" s="7"/>
    </row>
    <row r="1808" customFormat="false" ht="15" hidden="false" customHeight="true" outlineLevel="0" collapsed="false">
      <c r="A1808" s="4" t="s">
        <v>7336</v>
      </c>
      <c r="B1808" s="4" t="s">
        <v>7416</v>
      </c>
      <c r="C1808" s="4" t="s">
        <v>7417</v>
      </c>
      <c r="D1808" s="4" t="s">
        <v>572</v>
      </c>
      <c r="E1808" s="5" t="n">
        <v>17086</v>
      </c>
      <c r="F1808" s="4" t="n">
        <v>1</v>
      </c>
      <c r="G1808" s="4" t="s">
        <v>7418</v>
      </c>
      <c r="H1808" s="4" t="n">
        <v>39.70724</v>
      </c>
      <c r="I1808" s="4" t="n">
        <v>-91.35838</v>
      </c>
      <c r="J1808" s="4" t="s">
        <v>7419</v>
      </c>
      <c r="K1808" s="6" t="str">
        <f aca="false">HYPERLINK("https://www.google.com/search?q=Hannibal+Free+Public+Library+Hannibal+MO+library+website","Search")</f>
        <v>Search</v>
      </c>
      <c r="L1808" s="7"/>
      <c r="M1808" s="7"/>
    </row>
    <row r="1809" customFormat="false" ht="15" hidden="false" customHeight="true" outlineLevel="0" collapsed="false">
      <c r="A1809" s="4" t="s">
        <v>7336</v>
      </c>
      <c r="B1809" s="4" t="s">
        <v>7420</v>
      </c>
      <c r="C1809" s="4" t="s">
        <v>7421</v>
      </c>
      <c r="D1809" s="4" t="s">
        <v>7422</v>
      </c>
      <c r="E1809" s="5" t="n">
        <v>33154</v>
      </c>
      <c r="F1809" s="4" t="n">
        <v>4</v>
      </c>
      <c r="G1809" s="4" t="s">
        <v>7423</v>
      </c>
      <c r="H1809" s="4" t="n">
        <v>38.18501</v>
      </c>
      <c r="I1809" s="4" t="n">
        <v>-91.94753</v>
      </c>
      <c r="J1809" s="4" t="s">
        <v>7424</v>
      </c>
      <c r="K1809" s="6" t="str">
        <f aca="false">HYPERLINK("https://www.google.com/search?q=Heartland+Regional+Library+System+Vienna+MO+library+website","Search")</f>
        <v>Search</v>
      </c>
      <c r="L1809" s="7"/>
      <c r="M1809" s="7"/>
    </row>
    <row r="1810" customFormat="false" ht="15" hidden="false" customHeight="true" outlineLevel="0" collapsed="false">
      <c r="A1810" s="4" t="s">
        <v>7336</v>
      </c>
      <c r="B1810" s="4" t="s">
        <v>7425</v>
      </c>
      <c r="C1810" s="4" t="s">
        <v>1964</v>
      </c>
      <c r="D1810" s="4" t="s">
        <v>2715</v>
      </c>
      <c r="E1810" s="5" t="n">
        <v>21946</v>
      </c>
      <c r="F1810" s="4" t="n">
        <v>2</v>
      </c>
      <c r="G1810" s="4" t="s">
        <v>7426</v>
      </c>
      <c r="H1810" s="4" t="n">
        <v>38.37203</v>
      </c>
      <c r="I1810" s="4" t="n">
        <v>-93.77437</v>
      </c>
      <c r="J1810" s="4" t="s">
        <v>7427</v>
      </c>
      <c r="K1810" s="6" t="str">
        <f aca="false">HYPERLINK("https://www.google.com/search?q=Henry+County+Library+Clinton+MO+library+website","Search")</f>
        <v>Search</v>
      </c>
      <c r="L1810" s="7"/>
      <c r="M1810" s="7"/>
    </row>
    <row r="1811" customFormat="false" ht="15" hidden="false" customHeight="true" outlineLevel="0" collapsed="false">
      <c r="A1811" s="4" t="s">
        <v>7336</v>
      </c>
      <c r="B1811" s="4" t="s">
        <v>7428</v>
      </c>
      <c r="C1811" s="4" t="s">
        <v>7429</v>
      </c>
      <c r="D1811" s="4" t="s">
        <v>98</v>
      </c>
      <c r="E1811" s="5" t="n">
        <v>135409</v>
      </c>
      <c r="F1811" s="4" t="n">
        <v>3</v>
      </c>
      <c r="G1811" s="4" t="s">
        <v>7430</v>
      </c>
      <c r="H1811" s="4" t="n">
        <v>38.45567</v>
      </c>
      <c r="I1811" s="4" t="n">
        <v>-90.53592</v>
      </c>
      <c r="J1811" s="4" t="s">
        <v>7431</v>
      </c>
      <c r="K1811" s="6" t="str">
        <f aca="false">HYPERLINK("https://www.google.com/search?q=Jefferson+County+Library+District+High+Ridge+MO+library+website","Search")</f>
        <v>Search</v>
      </c>
      <c r="L1811" s="7"/>
      <c r="M1811" s="7"/>
    </row>
    <row r="1812" customFormat="false" ht="15" hidden="false" customHeight="true" outlineLevel="0" collapsed="false">
      <c r="A1812" s="4" t="s">
        <v>7336</v>
      </c>
      <c r="B1812" s="4" t="s">
        <v>7432</v>
      </c>
      <c r="C1812" s="4" t="s">
        <v>7433</v>
      </c>
      <c r="D1812" s="4" t="s">
        <v>273</v>
      </c>
      <c r="E1812" s="5" t="n">
        <v>48784</v>
      </c>
      <c r="F1812" s="4" t="n">
        <v>1</v>
      </c>
      <c r="G1812" s="4" t="s">
        <v>7434</v>
      </c>
      <c r="H1812" s="4" t="n">
        <v>37.06929</v>
      </c>
      <c r="I1812" s="4" t="n">
        <v>-94.49408</v>
      </c>
      <c r="J1812" s="4" t="s">
        <v>7435</v>
      </c>
      <c r="K1812" s="6" t="str">
        <f aca="false">HYPERLINK("https://www.google.com/search?q=Joplin+Public+Library+Joplin+MO+library+website","Search")</f>
        <v>Search</v>
      </c>
      <c r="L1812" s="7"/>
      <c r="M1812" s="7"/>
    </row>
    <row r="1813" customFormat="false" ht="15" hidden="false" customHeight="true" outlineLevel="0" collapsed="false">
      <c r="A1813" s="4" t="s">
        <v>7336</v>
      </c>
      <c r="B1813" s="4" t="s">
        <v>7436</v>
      </c>
      <c r="C1813" s="4" t="s">
        <v>4744</v>
      </c>
      <c r="D1813" s="4" t="s">
        <v>389</v>
      </c>
      <c r="E1813" s="5" t="n">
        <v>232498</v>
      </c>
      <c r="F1813" s="4" t="n">
        <v>10</v>
      </c>
      <c r="G1813" s="4" t="s">
        <v>7437</v>
      </c>
      <c r="H1813" s="4" t="n">
        <v>39.10313</v>
      </c>
      <c r="I1813" s="4" t="n">
        <v>-94.58413</v>
      </c>
      <c r="J1813" s="4" t="s">
        <v>7438</v>
      </c>
      <c r="K1813" s="6" t="str">
        <f aca="false">HYPERLINK("https://www.google.com/search?q=Kansas+City+Public+Library+Kansas+City+MO+library+website","Search")</f>
        <v>Search</v>
      </c>
      <c r="L1813" s="7"/>
      <c r="M1813" s="8" t="str">
        <f aca="false">HYPERLINK("https://kclibrary.overdrive.com","https://kclibrary.overdrive.com")</f>
        <v>https://kclibrary.overdrive.com</v>
      </c>
    </row>
    <row r="1814" customFormat="false" ht="15" hidden="false" customHeight="true" outlineLevel="0" collapsed="false">
      <c r="A1814" s="4" t="s">
        <v>7336</v>
      </c>
      <c r="B1814" s="4" t="s">
        <v>7439</v>
      </c>
      <c r="C1814" s="4" t="s">
        <v>7440</v>
      </c>
      <c r="D1814" s="4" t="s">
        <v>7133</v>
      </c>
      <c r="E1814" s="5" t="n">
        <v>29461</v>
      </c>
      <c r="F1814" s="4" t="n">
        <v>1</v>
      </c>
      <c r="G1814" s="4" t="s">
        <v>7441</v>
      </c>
      <c r="H1814" s="4" t="n">
        <v>38.58219</v>
      </c>
      <c r="I1814" s="4" t="n">
        <v>-90.4045</v>
      </c>
      <c r="J1814" s="4" t="s">
        <v>7442</v>
      </c>
      <c r="K1814" s="6" t="str">
        <f aca="false">HYPERLINK("https://www.google.com/search?q=Kirkwood+Public+Library+Kirkwood+MO+library+website","Search")</f>
        <v>Search</v>
      </c>
      <c r="L1814" s="7"/>
      <c r="M1814" s="7"/>
    </row>
    <row r="1815" customFormat="false" ht="15" hidden="false" customHeight="true" outlineLevel="0" collapsed="false">
      <c r="A1815" s="4" t="s">
        <v>7336</v>
      </c>
      <c r="B1815" s="4" t="s">
        <v>7443</v>
      </c>
      <c r="C1815" s="4" t="s">
        <v>4459</v>
      </c>
      <c r="D1815" s="4" t="s">
        <v>7444</v>
      </c>
      <c r="E1815" s="5" t="n">
        <v>36039</v>
      </c>
      <c r="F1815" s="4" t="n">
        <v>1</v>
      </c>
      <c r="G1815" s="4" t="s">
        <v>7445</v>
      </c>
      <c r="H1815" s="4" t="n">
        <v>37.67356</v>
      </c>
      <c r="I1815" s="4" t="n">
        <v>-92.65476</v>
      </c>
      <c r="J1815" s="4" t="s">
        <v>7446</v>
      </c>
      <c r="K1815" s="6" t="str">
        <f aca="false">HYPERLINK("https://www.google.com/search?q=Lebanon-Laclede+County+Library+Lebanon+MO+library+website","Search")</f>
        <v>Search</v>
      </c>
      <c r="L1815" s="7"/>
      <c r="M1815" s="7"/>
    </row>
    <row r="1816" customFormat="false" ht="15" hidden="false" customHeight="true" outlineLevel="0" collapsed="false">
      <c r="A1816" s="4" t="s">
        <v>7336</v>
      </c>
      <c r="B1816" s="4" t="s">
        <v>7447</v>
      </c>
      <c r="C1816" s="4" t="s">
        <v>7448</v>
      </c>
      <c r="D1816" s="4" t="s">
        <v>6061</v>
      </c>
      <c r="E1816" s="5" t="n">
        <v>31406</v>
      </c>
      <c r="F1816" s="4" t="n">
        <v>4</v>
      </c>
      <c r="G1816" s="4" t="s">
        <v>7449</v>
      </c>
      <c r="H1816" s="4" t="n">
        <v>39.41914</v>
      </c>
      <c r="I1816" s="4" t="n">
        <v>-92.44036</v>
      </c>
      <c r="J1816" s="4" t="s">
        <v>7450</v>
      </c>
      <c r="K1816" s="6" t="str">
        <f aca="false">HYPERLINK("https://www.google.com/search?q=Little+Dixie+Regional+Libraries+Moberly+MO+library+website","Search")</f>
        <v>Search</v>
      </c>
      <c r="L1816" s="7"/>
      <c r="M1816" s="7"/>
    </row>
    <row r="1817" customFormat="false" ht="15" hidden="false" customHeight="true" outlineLevel="0" collapsed="false">
      <c r="A1817" s="4" t="s">
        <v>7336</v>
      </c>
      <c r="B1817" s="4" t="s">
        <v>7451</v>
      </c>
      <c r="C1817" s="4" t="s">
        <v>3450</v>
      </c>
      <c r="D1817" s="4" t="s">
        <v>3979</v>
      </c>
      <c r="E1817" s="5" t="n">
        <v>14557</v>
      </c>
      <c r="F1817" s="4" t="n">
        <v>2</v>
      </c>
      <c r="G1817" s="4" t="s">
        <v>7452</v>
      </c>
      <c r="H1817" s="4" t="n">
        <v>39.7918</v>
      </c>
      <c r="I1817" s="4" t="n">
        <v>-93.55274</v>
      </c>
      <c r="J1817" s="4" t="s">
        <v>7453</v>
      </c>
      <c r="K1817" s="6" t="str">
        <f aca="false">HYPERLINK("https://www.google.com/search?q=Livingston+County+Library+Chillicothe+MO+library+website","Search")</f>
        <v>Search</v>
      </c>
      <c r="L1817" s="7"/>
      <c r="M1817" s="7"/>
    </row>
    <row r="1818" customFormat="false" ht="15" hidden="false" customHeight="true" outlineLevel="0" collapsed="false">
      <c r="A1818" s="4" t="s">
        <v>7336</v>
      </c>
      <c r="B1818" s="4" t="s">
        <v>7454</v>
      </c>
      <c r="C1818" s="4" t="s">
        <v>58</v>
      </c>
      <c r="D1818" s="4" t="s">
        <v>3663</v>
      </c>
      <c r="E1818" s="5" t="n">
        <v>13806</v>
      </c>
      <c r="F1818" s="4" t="n">
        <v>1</v>
      </c>
      <c r="G1818" s="4" t="s">
        <v>7455</v>
      </c>
      <c r="H1818" s="4" t="n">
        <v>39.12261</v>
      </c>
      <c r="I1818" s="4" t="n">
        <v>-93.19722</v>
      </c>
      <c r="J1818" s="4" t="s">
        <v>7456</v>
      </c>
      <c r="K1818" s="6" t="str">
        <f aca="false">HYPERLINK("https://www.google.com/search?q=Marshall+Public+Library+Marshall+MO+library+website","Search")</f>
        <v>Search</v>
      </c>
      <c r="L1818" s="7"/>
      <c r="M1818" s="7"/>
    </row>
    <row r="1819" customFormat="false" ht="15" hidden="false" customHeight="true" outlineLevel="0" collapsed="false">
      <c r="A1819" s="4" t="s">
        <v>7336</v>
      </c>
      <c r="B1819" s="4" t="s">
        <v>7457</v>
      </c>
      <c r="C1819" s="4" t="s">
        <v>3818</v>
      </c>
      <c r="D1819" s="4" t="s">
        <v>7458</v>
      </c>
      <c r="E1819" s="5" t="n">
        <v>10633</v>
      </c>
      <c r="F1819" s="4" t="n">
        <v>1</v>
      </c>
      <c r="G1819" s="4" t="s">
        <v>7459</v>
      </c>
      <c r="H1819" s="4" t="n">
        <v>40.34994</v>
      </c>
      <c r="I1819" s="4" t="n">
        <v>-94.8728</v>
      </c>
      <c r="J1819" s="4" t="s">
        <v>7460</v>
      </c>
      <c r="K1819" s="6" t="str">
        <f aca="false">HYPERLINK("https://www.google.com/search?q=Maryville+Public+Library+Maryville+MO+library+website","Search")</f>
        <v>Search</v>
      </c>
      <c r="L1819" s="7"/>
      <c r="M1819" s="7"/>
    </row>
    <row r="1820" customFormat="false" ht="15" hidden="false" customHeight="true" outlineLevel="0" collapsed="false">
      <c r="A1820" s="4" t="s">
        <v>7336</v>
      </c>
      <c r="B1820" s="4" t="s">
        <v>7461</v>
      </c>
      <c r="C1820" s="4" t="s">
        <v>7462</v>
      </c>
      <c r="D1820" s="4" t="s">
        <v>7463</v>
      </c>
      <c r="E1820" s="5" t="n">
        <v>23303</v>
      </c>
      <c r="F1820" s="4" t="n">
        <v>3</v>
      </c>
      <c r="G1820" s="4" t="s">
        <v>7464</v>
      </c>
      <c r="H1820" s="4" t="n">
        <v>36.59701</v>
      </c>
      <c r="I1820" s="4" t="n">
        <v>-94.38381</v>
      </c>
      <c r="J1820" s="4" t="s">
        <v>7465</v>
      </c>
      <c r="K1820" s="6" t="str">
        <f aca="false">HYPERLINK("https://www.google.com/search?q=Mcdonald+County+Library+Pineville+MO+library+website","Search")</f>
        <v>Search</v>
      </c>
      <c r="L1820" s="7"/>
      <c r="M1820" s="7"/>
    </row>
    <row r="1821" customFormat="false" ht="15" hidden="false" customHeight="true" outlineLevel="0" collapsed="false">
      <c r="A1821" s="4" t="s">
        <v>7336</v>
      </c>
      <c r="B1821" s="4" t="s">
        <v>7466</v>
      </c>
      <c r="C1821" s="4" t="s">
        <v>7467</v>
      </c>
      <c r="D1821" s="4" t="s">
        <v>7468</v>
      </c>
      <c r="E1821" s="5" t="n">
        <v>24962</v>
      </c>
      <c r="F1821" s="4" t="n">
        <v>5</v>
      </c>
      <c r="G1821" s="4" t="s">
        <v>7469</v>
      </c>
      <c r="H1821" s="4" t="n">
        <v>39.17222</v>
      </c>
      <c r="I1821" s="4" t="n">
        <v>-91.88496</v>
      </c>
      <c r="J1821" s="4" t="s">
        <v>7470</v>
      </c>
      <c r="K1821" s="6" t="str">
        <f aca="false">HYPERLINK("https://www.google.com/search?q=Mexico-Audrain+County+Library+District+Mexico+MO+library+website","Search")</f>
        <v>Search</v>
      </c>
      <c r="L1821" s="7"/>
      <c r="M1821" s="7"/>
    </row>
    <row r="1822" customFormat="false" ht="15" hidden="false" customHeight="true" outlineLevel="0" collapsed="false">
      <c r="A1822" s="4" t="s">
        <v>7336</v>
      </c>
      <c r="B1822" s="4" t="s">
        <v>7471</v>
      </c>
      <c r="C1822" s="4" t="s">
        <v>559</v>
      </c>
      <c r="D1822" s="4" t="s">
        <v>389</v>
      </c>
      <c r="E1822" s="5" t="n">
        <v>840292</v>
      </c>
      <c r="F1822" s="4" t="n">
        <v>34</v>
      </c>
      <c r="G1822" s="4" t="s">
        <v>7472</v>
      </c>
      <c r="H1822" s="4" t="n">
        <v>39.11175</v>
      </c>
      <c r="I1822" s="4" t="n">
        <v>-94.39164</v>
      </c>
      <c r="J1822" s="4" t="s">
        <v>7473</v>
      </c>
      <c r="K1822" s="6" t="str">
        <f aca="false">HYPERLINK("https://www.google.com/search?q=Mid-Continent+Public+Library+Independence+MO+library+website","Search")</f>
        <v>Search</v>
      </c>
      <c r="L1822" s="7"/>
      <c r="M1822" s="8" t="str">
        <f aca="false">HYPERLINK("https://mcpl.overdrive.com","https://mcpl.overdrive.com")</f>
        <v>https://mcpl.overdrive.com</v>
      </c>
    </row>
    <row r="1823" customFormat="false" ht="15" hidden="false" customHeight="true" outlineLevel="0" collapsed="false">
      <c r="A1823" s="4" t="s">
        <v>7336</v>
      </c>
      <c r="B1823" s="4" t="s">
        <v>7474</v>
      </c>
      <c r="C1823" s="4" t="s">
        <v>3424</v>
      </c>
      <c r="D1823" s="4" t="s">
        <v>582</v>
      </c>
      <c r="E1823" s="5" t="n">
        <v>12577</v>
      </c>
      <c r="F1823" s="4" t="n">
        <v>2</v>
      </c>
      <c r="G1823" s="4" t="s">
        <v>7475</v>
      </c>
      <c r="H1823" s="4" t="n">
        <v>36.92085</v>
      </c>
      <c r="I1823" s="4" t="n">
        <v>-89.34993</v>
      </c>
      <c r="J1823" s="4" t="s">
        <v>7476</v>
      </c>
      <c r="K1823" s="6" t="str">
        <f aca="false">HYPERLINK("https://www.google.com/search?q=Mississippi+County+Library+District+Charleston+MO+library+website","Search")</f>
        <v>Search</v>
      </c>
      <c r="L1823" s="7"/>
      <c r="M1823" s="7"/>
    </row>
    <row r="1824" customFormat="false" ht="15" hidden="false" customHeight="true" outlineLevel="0" collapsed="false">
      <c r="A1824" s="4" t="s">
        <v>7336</v>
      </c>
      <c r="B1824" s="4" t="s">
        <v>7477</v>
      </c>
      <c r="C1824" s="4" t="s">
        <v>7478</v>
      </c>
      <c r="D1824" s="4" t="s">
        <v>7479</v>
      </c>
      <c r="E1824" s="5" t="n">
        <v>90553</v>
      </c>
      <c r="F1824" s="4" t="n">
        <v>2</v>
      </c>
      <c r="G1824" s="4" t="s">
        <v>7480</v>
      </c>
      <c r="H1824" s="4" t="n">
        <v>38.57483</v>
      </c>
      <c r="I1824" s="4" t="n">
        <v>-92.16947</v>
      </c>
      <c r="J1824" s="4" t="s">
        <v>7481</v>
      </c>
      <c r="K1824" s="6" t="str">
        <f aca="false">HYPERLINK("https://www.google.com/search?q=Missouri+River+Regional+Library+Jefferson+City+MO+library+website","Search")</f>
        <v>Search</v>
      </c>
      <c r="L1824" s="7"/>
      <c r="M1824" s="7"/>
    </row>
    <row r="1825" customFormat="false" ht="15" hidden="false" customHeight="true" outlineLevel="0" collapsed="false">
      <c r="A1825" s="4" t="s">
        <v>7336</v>
      </c>
      <c r="B1825" s="4" t="s">
        <v>7482</v>
      </c>
      <c r="C1825" s="4" t="s">
        <v>7483</v>
      </c>
      <c r="D1825" s="4" t="s">
        <v>7484</v>
      </c>
      <c r="E1825" s="5" t="n">
        <v>12553</v>
      </c>
      <c r="F1825" s="4" t="n">
        <v>1</v>
      </c>
      <c r="G1825" s="4" t="s">
        <v>7485</v>
      </c>
      <c r="H1825" s="4" t="n">
        <v>38.62855</v>
      </c>
      <c r="I1825" s="4" t="n">
        <v>-92.56652</v>
      </c>
      <c r="J1825" s="4" t="s">
        <v>7486</v>
      </c>
      <c r="K1825" s="6" t="str">
        <f aca="false">HYPERLINK("https://www.google.com/search?q=Moniteau+County+Library+California+MO+library+website","Search")</f>
        <v>Search</v>
      </c>
      <c r="L1825" s="7"/>
      <c r="M1825" s="7"/>
    </row>
    <row r="1826" customFormat="false" ht="15" hidden="false" customHeight="true" outlineLevel="0" collapsed="false">
      <c r="A1826" s="4" t="s">
        <v>7336</v>
      </c>
      <c r="B1826" s="4" t="s">
        <v>7487</v>
      </c>
      <c r="C1826" s="4" t="s">
        <v>5212</v>
      </c>
      <c r="D1826" s="4" t="s">
        <v>156</v>
      </c>
      <c r="E1826" s="5" t="n">
        <v>21006</v>
      </c>
      <c r="F1826" s="4" t="n">
        <v>1</v>
      </c>
      <c r="G1826" s="4" t="s">
        <v>7488</v>
      </c>
      <c r="H1826" s="4" t="n">
        <v>38.43791</v>
      </c>
      <c r="I1826" s="4" t="n">
        <v>-92.84484</v>
      </c>
      <c r="J1826" s="4" t="s">
        <v>7489</v>
      </c>
      <c r="K1826" s="6" t="str">
        <f aca="false">HYPERLINK("https://www.google.com/search?q=Morgan+County+Library+Versailles+MO+library+website","Search")</f>
        <v>Search</v>
      </c>
      <c r="L1826" s="7"/>
      <c r="M1826" s="7"/>
    </row>
    <row r="1827" customFormat="false" ht="15" hidden="false" customHeight="true" outlineLevel="0" collapsed="false">
      <c r="A1827" s="4" t="s">
        <v>7336</v>
      </c>
      <c r="B1827" s="4" t="s">
        <v>7490</v>
      </c>
      <c r="C1827" s="4" t="s">
        <v>7491</v>
      </c>
      <c r="D1827" s="4" t="s">
        <v>7491</v>
      </c>
      <c r="E1827" s="5" t="n">
        <v>36170</v>
      </c>
      <c r="F1827" s="4" t="n">
        <v>1</v>
      </c>
      <c r="G1827" s="4" t="s">
        <v>7492</v>
      </c>
      <c r="H1827" s="4" t="n">
        <v>37.31457</v>
      </c>
      <c r="I1827" s="4" t="n">
        <v>-89.54717</v>
      </c>
      <c r="J1827" s="4" t="s">
        <v>7493</v>
      </c>
      <c r="K1827" s="6" t="str">
        <f aca="false">HYPERLINK("https://www.google.com/search?q=Municipal+Library+District+Of+The+City+Of+Cape+Girardeau+Cape+Girardeau+MO+library+website","Search")</f>
        <v>Search</v>
      </c>
      <c r="L1827" s="7"/>
      <c r="M1827" s="7"/>
    </row>
    <row r="1828" customFormat="false" ht="15" hidden="false" customHeight="true" outlineLevel="0" collapsed="false">
      <c r="A1828" s="4" t="s">
        <v>7336</v>
      </c>
      <c r="B1828" s="4" t="s">
        <v>7494</v>
      </c>
      <c r="C1828" s="4" t="s">
        <v>7495</v>
      </c>
      <c r="D1828" s="4" t="s">
        <v>2762</v>
      </c>
      <c r="E1828" s="5" t="n">
        <v>54445</v>
      </c>
      <c r="F1828" s="4" t="n">
        <v>2</v>
      </c>
      <c r="G1828" s="4" t="s">
        <v>7496</v>
      </c>
      <c r="H1828" s="4" t="n">
        <v>36.8697</v>
      </c>
      <c r="I1828" s="4" t="n">
        <v>-94.36979</v>
      </c>
      <c r="J1828" s="4" t="s">
        <v>7497</v>
      </c>
      <c r="K1828" s="6" t="str">
        <f aca="false">HYPERLINK("https://www.google.com/search?q=Neosho%2FNewton+County+Library+Neosho+MO+library+website","Search")</f>
        <v>Search</v>
      </c>
      <c r="L1828" s="7"/>
      <c r="M1828" s="7"/>
    </row>
    <row r="1829" customFormat="false" ht="15" hidden="false" customHeight="true" outlineLevel="0" collapsed="false">
      <c r="A1829" s="4" t="s">
        <v>7336</v>
      </c>
      <c r="B1829" s="4" t="s">
        <v>7498</v>
      </c>
      <c r="C1829" s="4" t="s">
        <v>7499</v>
      </c>
      <c r="D1829" s="4" t="s">
        <v>7500</v>
      </c>
      <c r="E1829" s="5" t="n">
        <v>14829</v>
      </c>
      <c r="F1829" s="4" t="n">
        <v>7</v>
      </c>
      <c r="G1829" s="4" t="s">
        <v>7501</v>
      </c>
      <c r="H1829" s="4" t="n">
        <v>36.42535</v>
      </c>
      <c r="I1829" s="4" t="n">
        <v>-89.69886</v>
      </c>
      <c r="J1829" s="4" t="s">
        <v>7502</v>
      </c>
      <c r="K1829" s="6" t="str">
        <f aca="false">HYPERLINK("https://www.google.com/search?q=New+Madrid+County+Library+Portageville+MO+library+website","Search")</f>
        <v>Search</v>
      </c>
      <c r="L1829" s="7"/>
      <c r="M1829" s="7"/>
    </row>
    <row r="1830" customFormat="false" ht="15" hidden="false" customHeight="true" outlineLevel="0" collapsed="false">
      <c r="A1830" s="4" t="s">
        <v>7336</v>
      </c>
      <c r="B1830" s="4" t="s">
        <v>7503</v>
      </c>
      <c r="C1830" s="4" t="s">
        <v>7504</v>
      </c>
      <c r="D1830" s="4" t="s">
        <v>501</v>
      </c>
      <c r="E1830" s="5" t="n">
        <v>17686</v>
      </c>
      <c r="F1830" s="4" t="n">
        <v>5</v>
      </c>
      <c r="G1830" s="4" t="s">
        <v>7505</v>
      </c>
      <c r="H1830" s="4" t="n">
        <v>40.42242</v>
      </c>
      <c r="I1830" s="4" t="n">
        <v>-91.72094</v>
      </c>
      <c r="J1830" s="4" t="s">
        <v>7506</v>
      </c>
      <c r="K1830" s="6" t="str">
        <f aca="false">HYPERLINK("https://www.google.com/search?q=Northeast+Missouri+Library+Service+Kahoka+MO+library+website","Search")</f>
        <v>Search</v>
      </c>
      <c r="L1830" s="7"/>
      <c r="M1830" s="7"/>
    </row>
    <row r="1831" customFormat="false" ht="15" hidden="false" customHeight="true" outlineLevel="0" collapsed="false">
      <c r="A1831" s="4" t="s">
        <v>7336</v>
      </c>
      <c r="B1831" s="4" t="s">
        <v>7507</v>
      </c>
      <c r="C1831" s="4" t="s">
        <v>7508</v>
      </c>
      <c r="D1831" s="4" t="s">
        <v>7509</v>
      </c>
      <c r="E1831" s="5" t="n">
        <v>22163</v>
      </c>
      <c r="F1831" s="4" t="n">
        <v>4</v>
      </c>
      <c r="G1831" s="4" t="s">
        <v>7510</v>
      </c>
      <c r="H1831" s="4" t="n">
        <v>37.60416</v>
      </c>
      <c r="I1831" s="4" t="n">
        <v>-90.62822</v>
      </c>
      <c r="J1831" s="4" t="s">
        <v>7511</v>
      </c>
      <c r="K1831" s="6" t="str">
        <f aca="false">HYPERLINK("https://www.google.com/search?q=Ozark+Regional+Library+Ironton+MO+library+website","Search")</f>
        <v>Search</v>
      </c>
      <c r="L1831" s="7"/>
      <c r="M1831" s="7"/>
    </row>
    <row r="1832" customFormat="false" ht="15" hidden="false" customHeight="true" outlineLevel="0" collapsed="false">
      <c r="A1832" s="4" t="s">
        <v>7336</v>
      </c>
      <c r="B1832" s="4" t="s">
        <v>7512</v>
      </c>
      <c r="C1832" s="4" t="s">
        <v>7513</v>
      </c>
      <c r="D1832" s="4" t="s">
        <v>2523</v>
      </c>
      <c r="E1832" s="5" t="n">
        <v>31519</v>
      </c>
      <c r="F1832" s="4" t="n">
        <v>4</v>
      </c>
      <c r="G1832" s="4" t="s">
        <v>7514</v>
      </c>
      <c r="H1832" s="4" t="n">
        <v>37.61198</v>
      </c>
      <c r="I1832" s="4" t="n">
        <v>-93.42877</v>
      </c>
      <c r="J1832" s="4" t="s">
        <v>7515</v>
      </c>
      <c r="K1832" s="6" t="str">
        <f aca="false">HYPERLINK("https://www.google.com/search?q=Polk+County+Library+Bolivar+MO+library+website","Search")</f>
        <v>Search</v>
      </c>
      <c r="L1832" s="7"/>
      <c r="M1832" s="7"/>
    </row>
    <row r="1833" customFormat="false" ht="15" hidden="false" customHeight="true" outlineLevel="0" collapsed="false">
      <c r="A1833" s="4" t="s">
        <v>7336</v>
      </c>
      <c r="B1833" s="4" t="s">
        <v>7516</v>
      </c>
      <c r="C1833" s="4" t="s">
        <v>7517</v>
      </c>
      <c r="D1833" s="4" t="s">
        <v>138</v>
      </c>
      <c r="E1833" s="5" t="n">
        <v>16225</v>
      </c>
      <c r="F1833" s="4" t="n">
        <v>2</v>
      </c>
      <c r="G1833" s="4" t="s">
        <v>7518</v>
      </c>
      <c r="H1833" s="4" t="n">
        <v>36.75806</v>
      </c>
      <c r="I1833" s="4" t="n">
        <v>-90.39248</v>
      </c>
      <c r="J1833" s="4" t="s">
        <v>7519</v>
      </c>
      <c r="K1833" s="6" t="str">
        <f aca="false">HYPERLINK("https://www.google.com/search?q=Poplar+Bluff+Municipal+Library+District+Poplar+Bluff+MO+library+website","Search")</f>
        <v>Search</v>
      </c>
      <c r="L1833" s="7"/>
      <c r="M1833" s="7"/>
    </row>
    <row r="1834" customFormat="false" ht="15" hidden="false" customHeight="true" outlineLevel="0" collapsed="false">
      <c r="A1834" s="4" t="s">
        <v>7336</v>
      </c>
      <c r="B1834" s="4" t="s">
        <v>7520</v>
      </c>
      <c r="C1834" s="4" t="s">
        <v>7521</v>
      </c>
      <c r="D1834" s="4" t="s">
        <v>496</v>
      </c>
      <c r="E1834" s="5" t="n">
        <v>52759</v>
      </c>
      <c r="F1834" s="4" t="n">
        <v>3</v>
      </c>
      <c r="G1834" s="4" t="s">
        <v>7522</v>
      </c>
      <c r="H1834" s="4" t="n">
        <v>37.82562</v>
      </c>
      <c r="I1834" s="4" t="n">
        <v>-92.20981</v>
      </c>
      <c r="J1834" s="4" t="s">
        <v>7523</v>
      </c>
      <c r="K1834" s="6" t="str">
        <f aca="false">HYPERLINK("https://www.google.com/search?q=Pulaski+County+Library+Waynesville+MO+library+website","Search")</f>
        <v>Search</v>
      </c>
      <c r="L1834" s="7"/>
      <c r="M1834" s="7"/>
    </row>
    <row r="1835" customFormat="false" ht="15" hidden="false" customHeight="true" outlineLevel="0" collapsed="false">
      <c r="A1835" s="4" t="s">
        <v>7336</v>
      </c>
      <c r="B1835" s="4" t="s">
        <v>7524</v>
      </c>
      <c r="C1835" s="4" t="s">
        <v>7525</v>
      </c>
      <c r="D1835" s="4" t="s">
        <v>7526</v>
      </c>
      <c r="E1835" s="5" t="n">
        <v>10065</v>
      </c>
      <c r="F1835" s="4" t="n">
        <v>1</v>
      </c>
      <c r="G1835" s="4" t="s">
        <v>7527</v>
      </c>
      <c r="H1835" s="4" t="n">
        <v>39.50954</v>
      </c>
      <c r="I1835" s="4" t="n">
        <v>-91.52918</v>
      </c>
      <c r="J1835" s="4" t="s">
        <v>7528</v>
      </c>
      <c r="K1835" s="6" t="str">
        <f aca="false">HYPERLINK("https://www.google.com/search?q=Ralls+County+Library+Center+MO+library+website","Search")</f>
        <v>Search</v>
      </c>
      <c r="L1835" s="7"/>
      <c r="M1835" s="7"/>
    </row>
    <row r="1836" customFormat="false" ht="15" hidden="false" customHeight="true" outlineLevel="0" collapsed="false">
      <c r="A1836" s="4" t="s">
        <v>7336</v>
      </c>
      <c r="B1836" s="4" t="s">
        <v>7529</v>
      </c>
      <c r="C1836" s="4" t="s">
        <v>1348</v>
      </c>
      <c r="D1836" s="4" t="s">
        <v>7530</v>
      </c>
      <c r="E1836" s="5" t="n">
        <v>23158</v>
      </c>
      <c r="F1836" s="4" t="n">
        <v>1</v>
      </c>
      <c r="G1836" s="4" t="s">
        <v>7531</v>
      </c>
      <c r="H1836" s="4" t="n">
        <v>39.27688</v>
      </c>
      <c r="I1836" s="4" t="n">
        <v>-93.97422</v>
      </c>
      <c r="J1836" s="4" t="s">
        <v>7532</v>
      </c>
      <c r="K1836" s="6" t="str">
        <f aca="false">HYPERLINK("https://www.google.com/search?q=Ray+County+Library+Richmond+MO+library+website","Search")</f>
        <v>Search</v>
      </c>
      <c r="L1836" s="7"/>
      <c r="M1836" s="7"/>
    </row>
    <row r="1837" customFormat="false" ht="15" hidden="false" customHeight="true" outlineLevel="0" collapsed="false">
      <c r="A1837" s="4" t="s">
        <v>7336</v>
      </c>
      <c r="B1837" s="4" t="s">
        <v>7533</v>
      </c>
      <c r="C1837" s="4" t="s">
        <v>389</v>
      </c>
      <c r="D1837" s="4" t="s">
        <v>7491</v>
      </c>
      <c r="E1837" s="5" t="n">
        <v>85846</v>
      </c>
      <c r="F1837" s="4" t="n">
        <v>6</v>
      </c>
      <c r="G1837" s="4" t="s">
        <v>7534</v>
      </c>
      <c r="H1837" s="4" t="n">
        <v>37.3705</v>
      </c>
      <c r="I1837" s="4" t="n">
        <v>-89.64623</v>
      </c>
      <c r="J1837" s="4" t="s">
        <v>7535</v>
      </c>
      <c r="K1837" s="6" t="str">
        <f aca="false">HYPERLINK("https://www.google.com/search?q=Riverside+Regional+Library+Jackson+MO+library+website","Search")</f>
        <v>Search</v>
      </c>
      <c r="L1837" s="7"/>
      <c r="M1837" s="7"/>
    </row>
    <row r="1838" customFormat="false" ht="15" hidden="false" customHeight="true" outlineLevel="0" collapsed="false">
      <c r="A1838" s="4" t="s">
        <v>7336</v>
      </c>
      <c r="B1838" s="4" t="s">
        <v>7536</v>
      </c>
      <c r="C1838" s="4" t="s">
        <v>7537</v>
      </c>
      <c r="D1838" s="4" t="s">
        <v>7538</v>
      </c>
      <c r="E1838" s="5" t="n">
        <v>19943</v>
      </c>
      <c r="F1838" s="4" t="n">
        <v>1</v>
      </c>
      <c r="G1838" s="4" t="s">
        <v>7539</v>
      </c>
      <c r="H1838" s="4" t="n">
        <v>37.95097</v>
      </c>
      <c r="I1838" s="4" t="n">
        <v>-91.77155</v>
      </c>
      <c r="J1838" s="4" t="s">
        <v>7540</v>
      </c>
      <c r="K1838" s="6" t="str">
        <f aca="false">HYPERLINK("https://www.google.com/search?q=Rolla+Public+Library+Rolla+MO+library+website","Search")</f>
        <v>Search</v>
      </c>
      <c r="L1838" s="7"/>
      <c r="M1838" s="7"/>
    </row>
    <row r="1839" customFormat="false" ht="15" hidden="false" customHeight="true" outlineLevel="0" collapsed="false">
      <c r="A1839" s="4" t="s">
        <v>7336</v>
      </c>
      <c r="B1839" s="4" t="s">
        <v>7541</v>
      </c>
      <c r="C1839" s="4" t="s">
        <v>7031</v>
      </c>
      <c r="D1839" s="4" t="s">
        <v>3007</v>
      </c>
      <c r="E1839" s="5" t="n">
        <v>41674</v>
      </c>
      <c r="F1839" s="4" t="n">
        <v>2</v>
      </c>
      <c r="G1839" s="4" t="s">
        <v>7542</v>
      </c>
      <c r="H1839" s="4" t="n">
        <v>39.7836</v>
      </c>
      <c r="I1839" s="4" t="n">
        <v>-94.80322</v>
      </c>
      <c r="J1839" s="4" t="s">
        <v>7543</v>
      </c>
      <c r="K1839" s="6" t="str">
        <f aca="false">HYPERLINK("https://www.google.com/search?q=Rolling+Hills+Consolidated+St.+Joseph+MO+library+website","Search")</f>
        <v>Search</v>
      </c>
      <c r="L1839" s="7"/>
      <c r="M1839" s="7"/>
    </row>
    <row r="1840" customFormat="false" ht="15" hidden="false" customHeight="true" outlineLevel="0" collapsed="false">
      <c r="A1840" s="4" t="s">
        <v>7336</v>
      </c>
      <c r="B1840" s="4" t="s">
        <v>7544</v>
      </c>
      <c r="C1840" s="4" t="s">
        <v>7545</v>
      </c>
      <c r="D1840" s="4" t="s">
        <v>5399</v>
      </c>
      <c r="E1840" s="5" t="n">
        <v>405262</v>
      </c>
      <c r="F1840" s="4" t="n">
        <v>11</v>
      </c>
      <c r="G1840" s="4" t="s">
        <v>7546</v>
      </c>
      <c r="H1840" s="4" t="n">
        <v>38.78471</v>
      </c>
      <c r="I1840" s="4" t="n">
        <v>-90.59996</v>
      </c>
      <c r="J1840" s="4" t="s">
        <v>7547</v>
      </c>
      <c r="K1840" s="6" t="str">
        <f aca="false">HYPERLINK("https://www.google.com/search?q=Saint+Charles+City-County+Library+District+St.+Peters+MO+library+website","Search")</f>
        <v>Search</v>
      </c>
      <c r="L1840" s="7"/>
      <c r="M1840" s="7"/>
    </row>
    <row r="1841" customFormat="false" ht="15" hidden="false" customHeight="true" outlineLevel="0" collapsed="false">
      <c r="A1841" s="4" t="s">
        <v>7336</v>
      </c>
      <c r="B1841" s="4" t="s">
        <v>7548</v>
      </c>
      <c r="C1841" s="4" t="s">
        <v>7031</v>
      </c>
      <c r="D1841" s="4" t="s">
        <v>3007</v>
      </c>
      <c r="E1841" s="5" t="n">
        <v>61254</v>
      </c>
      <c r="F1841" s="4" t="n">
        <v>4</v>
      </c>
      <c r="G1841" s="4" t="s">
        <v>7549</v>
      </c>
      <c r="H1841" s="4" t="n">
        <v>39.76666</v>
      </c>
      <c r="I1841" s="4" t="n">
        <v>-94.84848</v>
      </c>
      <c r="J1841" s="4" t="s">
        <v>7550</v>
      </c>
      <c r="K1841" s="6" t="str">
        <f aca="false">HYPERLINK("https://www.google.com/search?q=Saint+Joseph+Public+Library+St.+Joseph+MO+library+website","Search")</f>
        <v>Search</v>
      </c>
      <c r="L1841" s="7"/>
      <c r="M1841" s="7"/>
    </row>
    <row r="1842" customFormat="false" ht="15" hidden="false" customHeight="true" outlineLevel="0" collapsed="false">
      <c r="A1842" s="4" t="s">
        <v>7336</v>
      </c>
      <c r="B1842" s="4" t="s">
        <v>7551</v>
      </c>
      <c r="C1842" s="4" t="s">
        <v>7133</v>
      </c>
      <c r="D1842" s="4" t="s">
        <v>7133</v>
      </c>
      <c r="E1842" s="5" t="n">
        <v>863407</v>
      </c>
      <c r="F1842" s="4" t="n">
        <v>20</v>
      </c>
      <c r="G1842" s="4" t="s">
        <v>7552</v>
      </c>
      <c r="H1842" s="4" t="n">
        <v>38.63015</v>
      </c>
      <c r="I1842" s="4" t="n">
        <v>-90.4057</v>
      </c>
      <c r="J1842" s="4" t="s">
        <v>7553</v>
      </c>
      <c r="K1842" s="6" t="str">
        <f aca="false">HYPERLINK("https://www.google.com/search?q=Saint+Louis+County+Library+St.+Louis+MO+library+website","Search")</f>
        <v>Search</v>
      </c>
      <c r="L1842" s="7"/>
      <c r="M1842" s="7"/>
    </row>
    <row r="1843" customFormat="false" ht="15" hidden="false" customHeight="true" outlineLevel="0" collapsed="false">
      <c r="A1843" s="4" t="s">
        <v>7336</v>
      </c>
      <c r="B1843" s="4" t="s">
        <v>7554</v>
      </c>
      <c r="C1843" s="4" t="s">
        <v>467</v>
      </c>
      <c r="D1843" s="4" t="s">
        <v>384</v>
      </c>
      <c r="E1843" s="5" t="n">
        <v>147730</v>
      </c>
      <c r="F1843" s="4" t="n">
        <v>9</v>
      </c>
      <c r="G1843" s="4" t="s">
        <v>7555</v>
      </c>
      <c r="H1843" s="4" t="n">
        <v>38.46179</v>
      </c>
      <c r="I1843" s="4" t="n">
        <v>-91.00427</v>
      </c>
      <c r="J1843" s="4" t="s">
        <v>7556</v>
      </c>
      <c r="K1843" s="6" t="str">
        <f aca="false">HYPERLINK("https://www.google.com/search?q=Scenic+Regional+Library+Union+MO+library+website","Search")</f>
        <v>Search</v>
      </c>
      <c r="L1843" s="7"/>
      <c r="M1843" s="8" t="str">
        <f aca="false">HYPERLINK("https://scenicregional.overdrive.com","https://scenicregional.overdrive.com")</f>
        <v>https://scenicregional.overdrive.com</v>
      </c>
    </row>
    <row r="1844" customFormat="false" ht="15" hidden="false" customHeight="true" outlineLevel="0" collapsed="false">
      <c r="A1844" s="4" t="s">
        <v>7336</v>
      </c>
      <c r="B1844" s="4" t="s">
        <v>7557</v>
      </c>
      <c r="C1844" s="4" t="s">
        <v>7353</v>
      </c>
      <c r="D1844" s="4" t="s">
        <v>7354</v>
      </c>
      <c r="E1844" s="5" t="n">
        <v>20022</v>
      </c>
      <c r="F1844" s="4" t="n">
        <v>1</v>
      </c>
      <c r="G1844" s="4" t="s">
        <v>7558</v>
      </c>
      <c r="H1844" s="4" t="n">
        <v>38.70867</v>
      </c>
      <c r="I1844" s="4" t="n">
        <v>-93.23045</v>
      </c>
      <c r="J1844" s="4" t="s">
        <v>7559</v>
      </c>
      <c r="K1844" s="6" t="str">
        <f aca="false">HYPERLINK("https://www.google.com/search?q=Sedalia+Public+Library+Sedalia+MO+library+website","Search")</f>
        <v>Search</v>
      </c>
      <c r="L1844" s="7"/>
      <c r="M1844" s="7"/>
    </row>
    <row r="1845" customFormat="false" ht="15" hidden="false" customHeight="true" outlineLevel="0" collapsed="false">
      <c r="A1845" s="4" t="s">
        <v>7336</v>
      </c>
      <c r="B1845" s="4" t="s">
        <v>7560</v>
      </c>
      <c r="C1845" s="4" t="s">
        <v>7561</v>
      </c>
      <c r="D1845" s="4" t="s">
        <v>2895</v>
      </c>
      <c r="E1845" s="5" t="n">
        <v>14435</v>
      </c>
      <c r="F1845" s="4" t="n">
        <v>1</v>
      </c>
      <c r="G1845" s="4" t="s">
        <v>7562</v>
      </c>
      <c r="H1845" s="4" t="n">
        <v>36.87864</v>
      </c>
      <c r="I1845" s="4" t="n">
        <v>-89.58964</v>
      </c>
      <c r="J1845" s="4" t="s">
        <v>7563</v>
      </c>
      <c r="K1845" s="6" t="str">
        <f aca="false">HYPERLINK("https://www.google.com/search?q=Sikeston+Public+Library+Sikeston+MO+library+website","Search")</f>
        <v>Search</v>
      </c>
      <c r="L1845" s="7"/>
      <c r="M1845" s="7"/>
    </row>
    <row r="1846" customFormat="false" ht="15" hidden="false" customHeight="true" outlineLevel="0" collapsed="false">
      <c r="A1846" s="4" t="s">
        <v>7336</v>
      </c>
      <c r="B1846" s="4" t="s">
        <v>7564</v>
      </c>
      <c r="C1846" s="4" t="s">
        <v>3770</v>
      </c>
      <c r="D1846" s="4" t="s">
        <v>591</v>
      </c>
      <c r="E1846" s="5" t="n">
        <v>298915</v>
      </c>
      <c r="F1846" s="4" t="n">
        <v>10</v>
      </c>
      <c r="G1846" s="4" t="s">
        <v>7565</v>
      </c>
      <c r="H1846" s="4" t="n">
        <v>37.13085</v>
      </c>
      <c r="I1846" s="4" t="n">
        <v>-93.29716</v>
      </c>
      <c r="J1846" s="4" t="s">
        <v>7566</v>
      </c>
      <c r="K1846" s="6" t="str">
        <f aca="false">HYPERLINK("https://www.google.com/search?q=Springfield-Greene+County+Library+District+Springfield+MO+library+website","Search")</f>
        <v>Search</v>
      </c>
      <c r="L1846" s="7"/>
      <c r="M1846" s="8" t="str">
        <f aca="false">HYPERLINK("https://springfield.overdrive.com","https://springfield.overdrive.com")</f>
        <v>https://springfield.overdrive.com</v>
      </c>
    </row>
    <row r="1847" customFormat="false" ht="15" hidden="false" customHeight="true" outlineLevel="0" collapsed="false">
      <c r="A1847" s="4" t="s">
        <v>7336</v>
      </c>
      <c r="B1847" s="4" t="s">
        <v>7567</v>
      </c>
      <c r="C1847" s="4" t="s">
        <v>7568</v>
      </c>
      <c r="D1847" s="4" t="s">
        <v>665</v>
      </c>
      <c r="E1847" s="5" t="n">
        <v>31076</v>
      </c>
      <c r="F1847" s="4" t="n">
        <v>3</v>
      </c>
      <c r="G1847" s="4" t="s">
        <v>7569</v>
      </c>
      <c r="H1847" s="4" t="n">
        <v>36.80609</v>
      </c>
      <c r="I1847" s="4" t="n">
        <v>-93.46699</v>
      </c>
      <c r="J1847" s="4" t="s">
        <v>7570</v>
      </c>
      <c r="K1847" s="6" t="str">
        <f aca="false">HYPERLINK("https://www.google.com/search?q=Stone+County+Library+Galena+MO+library+website","Search")</f>
        <v>Search</v>
      </c>
      <c r="L1847" s="7"/>
      <c r="M1847" s="7"/>
    </row>
    <row r="1848" customFormat="false" ht="15" hidden="false" customHeight="true" outlineLevel="0" collapsed="false">
      <c r="A1848" s="4" t="s">
        <v>7336</v>
      </c>
      <c r="B1848" s="4" t="s">
        <v>7571</v>
      </c>
      <c r="C1848" s="4" t="s">
        <v>166</v>
      </c>
      <c r="D1848" s="4" t="s">
        <v>7572</v>
      </c>
      <c r="E1848" s="5" t="n">
        <v>24487</v>
      </c>
      <c r="F1848" s="4" t="n">
        <v>4</v>
      </c>
      <c r="G1848" s="4" t="s">
        <v>7573</v>
      </c>
      <c r="H1848" s="4" t="n">
        <v>37.32796</v>
      </c>
      <c r="I1848" s="4" t="n">
        <v>-91.95715</v>
      </c>
      <c r="J1848" s="4" t="s">
        <v>7574</v>
      </c>
      <c r="K1848" s="6" t="str">
        <f aca="false">HYPERLINK("https://www.google.com/search?q=Texas+County+Library+Houston+MO+library+website","Search")</f>
        <v>Search</v>
      </c>
      <c r="L1848" s="7"/>
      <c r="M1848" s="7"/>
    </row>
    <row r="1849" customFormat="false" ht="15" hidden="false" customHeight="true" outlineLevel="0" collapsed="false">
      <c r="A1849" s="4" t="s">
        <v>7336</v>
      </c>
      <c r="B1849" s="4" t="s">
        <v>7575</v>
      </c>
      <c r="C1849" s="4" t="s">
        <v>7576</v>
      </c>
      <c r="D1849" s="4" t="s">
        <v>2942</v>
      </c>
      <c r="E1849" s="5" t="n">
        <v>82736</v>
      </c>
      <c r="F1849" s="4" t="n">
        <v>8</v>
      </c>
      <c r="G1849" s="4" t="s">
        <v>7577</v>
      </c>
      <c r="H1849" s="4" t="n">
        <v>38.76723</v>
      </c>
      <c r="I1849" s="4" t="n">
        <v>-93.74027</v>
      </c>
      <c r="J1849" s="4" t="s">
        <v>7578</v>
      </c>
      <c r="K1849" s="6" t="str">
        <f aca="false">HYPERLINK("https://www.google.com/search?q=Trails+Regional+Library+Warrensburg+MO+library+website","Search")</f>
        <v>Search</v>
      </c>
      <c r="L1849" s="7"/>
      <c r="M1849" s="7"/>
    </row>
    <row r="1850" customFormat="false" ht="15" hidden="false" customHeight="true" outlineLevel="0" collapsed="false">
      <c r="A1850" s="4" t="s">
        <v>7336</v>
      </c>
      <c r="B1850" s="4" t="s">
        <v>7579</v>
      </c>
      <c r="C1850" s="4" t="s">
        <v>7580</v>
      </c>
      <c r="D1850" s="4" t="s">
        <v>7133</v>
      </c>
      <c r="E1850" s="5" t="n">
        <v>35065</v>
      </c>
      <c r="F1850" s="4" t="n">
        <v>1</v>
      </c>
      <c r="G1850" s="4" t="s">
        <v>7581</v>
      </c>
      <c r="H1850" s="4" t="n">
        <v>38.65643</v>
      </c>
      <c r="I1850" s="4" t="n">
        <v>-90.3093</v>
      </c>
      <c r="J1850" s="4" t="s">
        <v>7582</v>
      </c>
      <c r="K1850" s="6" t="str">
        <f aca="false">HYPERLINK("https://www.google.com/search?q=University+City+Public+Library+University+City+MO+library+website","Search")</f>
        <v>Search</v>
      </c>
      <c r="L1850" s="7"/>
      <c r="M1850" s="7"/>
    </row>
    <row r="1851" customFormat="false" ht="15" hidden="false" customHeight="true" outlineLevel="0" collapsed="false">
      <c r="A1851" s="4" t="s">
        <v>7336</v>
      </c>
      <c r="B1851" s="4" t="s">
        <v>7320</v>
      </c>
      <c r="C1851" s="4" t="s">
        <v>7583</v>
      </c>
      <c r="D1851" s="4" t="s">
        <v>441</v>
      </c>
      <c r="E1851" s="5" t="n">
        <v>23514</v>
      </c>
      <c r="F1851" s="4" t="n">
        <v>1</v>
      </c>
      <c r="G1851" s="4" t="s">
        <v>7584</v>
      </c>
      <c r="H1851" s="4" t="n">
        <v>37.93448</v>
      </c>
      <c r="I1851" s="4" t="n">
        <v>-90.78483</v>
      </c>
      <c r="J1851" s="4" t="s">
        <v>7585</v>
      </c>
      <c r="K1851" s="6" t="str">
        <f aca="false">HYPERLINK("https://www.google.com/search?q=Washington+County+Library+Potosi+MO+library+website","Search")</f>
        <v>Search</v>
      </c>
      <c r="L1851" s="7"/>
      <c r="M1851" s="7"/>
    </row>
    <row r="1852" customFormat="false" ht="15" hidden="false" customHeight="true" outlineLevel="0" collapsed="false">
      <c r="A1852" s="4" t="s">
        <v>7336</v>
      </c>
      <c r="B1852" s="4" t="s">
        <v>7586</v>
      </c>
      <c r="C1852" s="4" t="s">
        <v>7587</v>
      </c>
      <c r="D1852" s="4" t="s">
        <v>273</v>
      </c>
      <c r="E1852" s="5" t="n">
        <v>13031</v>
      </c>
      <c r="F1852" s="4" t="n">
        <v>1</v>
      </c>
      <c r="G1852" s="4" t="s">
        <v>7588</v>
      </c>
      <c r="H1852" s="4" t="n">
        <v>37.14483</v>
      </c>
      <c r="I1852" s="4" t="n">
        <v>-94.46519</v>
      </c>
      <c r="J1852" s="4" t="s">
        <v>7589</v>
      </c>
      <c r="K1852" s="6" t="str">
        <f aca="false">HYPERLINK("https://www.google.com/search?q=Webb+City+Public+Library+Webb+City+MO+library+website","Search")</f>
        <v>Search</v>
      </c>
      <c r="L1852" s="7"/>
      <c r="M1852" s="7"/>
    </row>
    <row r="1853" customFormat="false" ht="15" hidden="false" customHeight="true" outlineLevel="0" collapsed="false">
      <c r="A1853" s="4" t="s">
        <v>7336</v>
      </c>
      <c r="B1853" s="4" t="s">
        <v>7590</v>
      </c>
      <c r="C1853" s="4" t="s">
        <v>6073</v>
      </c>
      <c r="D1853" s="4" t="s">
        <v>2982</v>
      </c>
      <c r="E1853" s="5" t="n">
        <v>38092</v>
      </c>
      <c r="F1853" s="4" t="n">
        <v>2</v>
      </c>
      <c r="G1853" s="4" t="s">
        <v>7591</v>
      </c>
      <c r="H1853" s="4" t="n">
        <v>37.33732</v>
      </c>
      <c r="I1853" s="4" t="n">
        <v>-92.90825</v>
      </c>
      <c r="J1853" s="4" t="s">
        <v>7592</v>
      </c>
      <c r="K1853" s="6" t="str">
        <f aca="false">HYPERLINK("https://www.google.com/search?q=Webster+County+Library+Marshfield+MO+library+website","Search")</f>
        <v>Search</v>
      </c>
      <c r="L1853" s="7"/>
      <c r="M1853" s="7"/>
    </row>
    <row r="1854" customFormat="false" ht="15" hidden="false" customHeight="true" outlineLevel="0" collapsed="false">
      <c r="A1854" s="4" t="s">
        <v>7336</v>
      </c>
      <c r="B1854" s="4" t="s">
        <v>7593</v>
      </c>
      <c r="C1854" s="4" t="s">
        <v>7594</v>
      </c>
      <c r="D1854" s="4" t="s">
        <v>7133</v>
      </c>
      <c r="E1854" s="5" t="n">
        <v>24010</v>
      </c>
      <c r="F1854" s="4" t="n">
        <v>1</v>
      </c>
      <c r="G1854" s="4" t="s">
        <v>7595</v>
      </c>
      <c r="H1854" s="4" t="n">
        <v>38.59209</v>
      </c>
      <c r="I1854" s="4" t="n">
        <v>-90.35047</v>
      </c>
      <c r="J1854" s="4" t="s">
        <v>7596</v>
      </c>
      <c r="K1854" s="6" t="str">
        <f aca="false">HYPERLINK("https://www.google.com/search?q=Webster+Groves+Public+Library+Webster+Groves+MO+library+website","Search")</f>
        <v>Search</v>
      </c>
      <c r="L1854" s="7"/>
      <c r="M1854" s="7"/>
    </row>
    <row r="1855" customFormat="false" ht="15" hidden="false" customHeight="true" outlineLevel="0" collapsed="false">
      <c r="A1855" s="4" t="s">
        <v>7336</v>
      </c>
      <c r="B1855" s="4" t="s">
        <v>7597</v>
      </c>
      <c r="C1855" s="4" t="s">
        <v>7598</v>
      </c>
      <c r="D1855" s="4" t="s">
        <v>6756</v>
      </c>
      <c r="E1855" s="5" t="n">
        <v>12184</v>
      </c>
      <c r="F1855" s="4" t="n">
        <v>1</v>
      </c>
      <c r="G1855" s="4" t="s">
        <v>7599</v>
      </c>
      <c r="H1855" s="4" t="n">
        <v>36.73121</v>
      </c>
      <c r="I1855" s="4" t="n">
        <v>-91.85996</v>
      </c>
      <c r="J1855" s="4" t="s">
        <v>7600</v>
      </c>
      <c r="K1855" s="6" t="str">
        <f aca="false">HYPERLINK("https://www.google.com/search?q=West+Plains+Public+Library+West+Plains+MO+library+website","Search")</f>
        <v>Search</v>
      </c>
      <c r="L1855" s="7"/>
      <c r="M1855" s="7"/>
    </row>
    <row r="1856" customFormat="false" ht="15" hidden="false" customHeight="true" outlineLevel="0" collapsed="false">
      <c r="A1856" s="4" t="s">
        <v>7336</v>
      </c>
      <c r="B1856" s="4" t="s">
        <v>7601</v>
      </c>
      <c r="C1856" s="4" t="s">
        <v>7602</v>
      </c>
      <c r="D1856" s="4" t="s">
        <v>7603</v>
      </c>
      <c r="E1856" s="5" t="n">
        <v>18188</v>
      </c>
      <c r="F1856" s="4" t="n">
        <v>3</v>
      </c>
      <c r="G1856" s="4" t="s">
        <v>7604</v>
      </c>
      <c r="H1856" s="4" t="n">
        <v>37.24912</v>
      </c>
      <c r="I1856" s="4" t="n">
        <v>-92.50866</v>
      </c>
      <c r="J1856" s="4" t="s">
        <v>7605</v>
      </c>
      <c r="K1856" s="6" t="str">
        <f aca="false">HYPERLINK("https://www.google.com/search?q=Wright+County+Library+Hartville+MO+library+website","Search")</f>
        <v>Search</v>
      </c>
      <c r="L1856" s="7"/>
      <c r="M1856" s="7"/>
    </row>
    <row r="1857" customFormat="false" ht="15" hidden="false" customHeight="true" outlineLevel="0" collapsed="false">
      <c r="A1857" s="4" t="s">
        <v>7606</v>
      </c>
      <c r="B1857" s="4" t="s">
        <v>7607</v>
      </c>
      <c r="C1857" s="4" t="s">
        <v>7608</v>
      </c>
      <c r="D1857" s="4" t="s">
        <v>7513</v>
      </c>
      <c r="E1857" s="5" t="n">
        <v>29370</v>
      </c>
      <c r="F1857" s="4" t="n">
        <v>5</v>
      </c>
      <c r="G1857" s="4" t="s">
        <v>7609</v>
      </c>
      <c r="H1857" s="4" t="n">
        <v>33.744</v>
      </c>
      <c r="I1857" s="4" t="n">
        <v>-90.72633</v>
      </c>
      <c r="J1857" s="4" t="s">
        <v>7610</v>
      </c>
      <c r="K1857" s="6" t="str">
        <f aca="false">HYPERLINK("https://www.google.com/search?q=Bolivar+County+Library+Cleveland+MS+library+website","Search")</f>
        <v>Search</v>
      </c>
      <c r="L1857" s="7"/>
      <c r="M1857" s="7"/>
    </row>
    <row r="1858" customFormat="false" ht="15" hidden="false" customHeight="true" outlineLevel="0" collapsed="false">
      <c r="A1858" s="4" t="s">
        <v>7606</v>
      </c>
      <c r="B1858" s="4" t="s">
        <v>7611</v>
      </c>
      <c r="C1858" s="4" t="s">
        <v>7612</v>
      </c>
      <c r="D1858" s="4" t="s">
        <v>7613</v>
      </c>
      <c r="E1858" s="5" t="n">
        <v>20197</v>
      </c>
      <c r="F1858" s="4" t="n">
        <v>1</v>
      </c>
      <c r="G1858" s="4" t="s">
        <v>7614</v>
      </c>
      <c r="H1858" s="4" t="n">
        <v>34.20369</v>
      </c>
      <c r="I1858" s="4" t="n">
        <v>-90.57523</v>
      </c>
      <c r="J1858" s="4" t="s">
        <v>7615</v>
      </c>
      <c r="K1858" s="6" t="str">
        <f aca="false">HYPERLINK("https://www.google.com/search?q=Carnegie+Public+Library+Clarksdale+MS+library+website","Search")</f>
        <v>Search</v>
      </c>
      <c r="L1858" s="7"/>
      <c r="M1858" s="7"/>
    </row>
    <row r="1859" customFormat="false" ht="15" hidden="false" customHeight="true" outlineLevel="0" collapsed="false">
      <c r="A1859" s="4" t="s">
        <v>7606</v>
      </c>
      <c r="B1859" s="4" t="s">
        <v>7616</v>
      </c>
      <c r="C1859" s="4" t="s">
        <v>7617</v>
      </c>
      <c r="D1859" s="4" t="s">
        <v>7618</v>
      </c>
      <c r="E1859" s="5" t="n">
        <v>226365</v>
      </c>
      <c r="F1859" s="4" t="n">
        <v>20</v>
      </c>
      <c r="G1859" s="4" t="s">
        <v>7619</v>
      </c>
      <c r="H1859" s="4" t="n">
        <v>32.27425</v>
      </c>
      <c r="I1859" s="4" t="n">
        <v>-89.98687</v>
      </c>
      <c r="J1859" s="4" t="s">
        <v>7620</v>
      </c>
      <c r="K1859" s="6" t="str">
        <f aca="false">HYPERLINK("https://www.google.com/search?q=Central+Mississippi+Regional+Library+Brandon+MS+library+website","Search")</f>
        <v>Search</v>
      </c>
      <c r="L1859" s="7"/>
      <c r="M1859" s="7"/>
    </row>
    <row r="1860" customFormat="false" ht="15" hidden="false" customHeight="true" outlineLevel="0" collapsed="false">
      <c r="A1860" s="4" t="s">
        <v>7606</v>
      </c>
      <c r="B1860" s="4" t="s">
        <v>7621</v>
      </c>
      <c r="C1860" s="4" t="s">
        <v>2626</v>
      </c>
      <c r="D1860" s="4" t="s">
        <v>2831</v>
      </c>
      <c r="E1860" s="5" t="n">
        <v>57603</v>
      </c>
      <c r="F1860" s="4" t="n">
        <v>4</v>
      </c>
      <c r="G1860" s="4" t="s">
        <v>7622</v>
      </c>
      <c r="H1860" s="4" t="n">
        <v>33.49792</v>
      </c>
      <c r="I1860" s="4" t="n">
        <v>-88.42614</v>
      </c>
      <c r="J1860" s="4" t="s">
        <v>7623</v>
      </c>
      <c r="K1860" s="6" t="str">
        <f aca="false">HYPERLINK("https://www.google.com/search?q=Columbus-Lowndes+Public+Library+Columbus+MS+library+website","Search")</f>
        <v>Search</v>
      </c>
      <c r="L1860" s="7"/>
      <c r="M1860" s="7"/>
    </row>
    <row r="1861" customFormat="false" ht="15" hidden="false" customHeight="true" outlineLevel="0" collapsed="false">
      <c r="A1861" s="4" t="s">
        <v>7606</v>
      </c>
      <c r="B1861" s="4" t="s">
        <v>7624</v>
      </c>
      <c r="C1861" s="4" t="s">
        <v>7625</v>
      </c>
      <c r="D1861" s="4" t="s">
        <v>7626</v>
      </c>
      <c r="E1861" s="5" t="n">
        <v>34806</v>
      </c>
      <c r="F1861" s="4" t="n">
        <v>5</v>
      </c>
      <c r="G1861" s="4" t="s">
        <v>7627</v>
      </c>
      <c r="H1861" s="4" t="n">
        <v>31.8577</v>
      </c>
      <c r="I1861" s="4" t="n">
        <v>-90.39654</v>
      </c>
      <c r="J1861" s="4" t="s">
        <v>7628</v>
      </c>
      <c r="K1861" s="6" t="str">
        <f aca="false">HYPERLINK("https://www.google.com/search?q=Copiah-Jefferson+Regional+Library+Hazlehurst+MS+library+website","Search")</f>
        <v>Search</v>
      </c>
      <c r="L1861" s="7"/>
      <c r="M1861" s="7"/>
    </row>
    <row r="1862" customFormat="false" ht="15" hidden="false" customHeight="true" outlineLevel="0" collapsed="false">
      <c r="A1862" s="4" t="s">
        <v>7606</v>
      </c>
      <c r="B1862" s="4" t="s">
        <v>7629</v>
      </c>
      <c r="C1862" s="4" t="s">
        <v>7630</v>
      </c>
      <c r="D1862" s="4" t="s">
        <v>68</v>
      </c>
      <c r="E1862" s="5" t="n">
        <v>18098</v>
      </c>
      <c r="F1862" s="4" t="n">
        <v>3</v>
      </c>
      <c r="G1862" s="4" t="s">
        <v>7631</v>
      </c>
      <c r="H1862" s="4" t="n">
        <v>31.64119</v>
      </c>
      <c r="I1862" s="4" t="n">
        <v>-89.55552</v>
      </c>
      <c r="J1862" s="4" t="s">
        <v>7632</v>
      </c>
      <c r="K1862" s="6" t="str">
        <f aca="false">HYPERLINK("https://www.google.com/search?q=Covington+County+Library+System+Collins+MS+library+website","Search")</f>
        <v>Search</v>
      </c>
      <c r="L1862" s="7"/>
      <c r="M1862" s="7"/>
    </row>
    <row r="1863" customFormat="false" ht="15" hidden="false" customHeight="true" outlineLevel="0" collapsed="false">
      <c r="A1863" s="4" t="s">
        <v>7606</v>
      </c>
      <c r="B1863" s="4" t="s">
        <v>7633</v>
      </c>
      <c r="C1863" s="4" t="s">
        <v>7634</v>
      </c>
      <c r="D1863" s="4" t="s">
        <v>7634</v>
      </c>
      <c r="E1863" s="5" t="n">
        <v>60982</v>
      </c>
      <c r="F1863" s="4" t="n">
        <v>8</v>
      </c>
      <c r="G1863" s="4" t="s">
        <v>7635</v>
      </c>
      <c r="H1863" s="4" t="n">
        <v>34.24984</v>
      </c>
      <c r="I1863" s="4" t="n">
        <v>-88.99964</v>
      </c>
      <c r="J1863" s="4" t="s">
        <v>7636</v>
      </c>
      <c r="K1863" s="6" t="str">
        <f aca="false">HYPERLINK("https://www.google.com/search?q=Dixie+Regional+Library+System+Pontotoc+MS+library+website","Search")</f>
        <v>Search</v>
      </c>
      <c r="L1863" s="7"/>
      <c r="M1863" s="7"/>
    </row>
    <row r="1864" customFormat="false" ht="15" hidden="false" customHeight="true" outlineLevel="0" collapsed="false">
      <c r="A1864" s="4" t="s">
        <v>7606</v>
      </c>
      <c r="B1864" s="4" t="s">
        <v>7637</v>
      </c>
      <c r="C1864" s="4" t="s">
        <v>2616</v>
      </c>
      <c r="D1864" s="4" t="s">
        <v>2597</v>
      </c>
      <c r="E1864" s="5" t="n">
        <v>31438</v>
      </c>
      <c r="F1864" s="4" t="n">
        <v>6</v>
      </c>
      <c r="G1864" s="4" t="s">
        <v>7638</v>
      </c>
      <c r="H1864" s="4" t="n">
        <v>32.03859</v>
      </c>
      <c r="I1864" s="4" t="n">
        <v>-88.72628</v>
      </c>
      <c r="J1864" s="4" t="s">
        <v>7639</v>
      </c>
      <c r="K1864" s="6" t="str">
        <f aca="false">HYPERLINK("https://www.google.com/search?q=East+Mississippi+Regional+Library+Quitman+MS+library+website","Search")</f>
        <v>Search</v>
      </c>
      <c r="L1864" s="7"/>
      <c r="M1864" s="7"/>
    </row>
    <row r="1865" customFormat="false" ht="15" hidden="false" customHeight="true" outlineLevel="0" collapsed="false">
      <c r="A1865" s="4" t="s">
        <v>7606</v>
      </c>
      <c r="B1865" s="4" t="s">
        <v>7640</v>
      </c>
      <c r="C1865" s="4" t="s">
        <v>7641</v>
      </c>
      <c r="D1865" s="4" t="s">
        <v>7641</v>
      </c>
      <c r="E1865" s="5" t="n">
        <v>21088</v>
      </c>
      <c r="F1865" s="4" t="n">
        <v>1</v>
      </c>
      <c r="G1865" s="4" t="s">
        <v>7642</v>
      </c>
      <c r="H1865" s="4" t="n">
        <v>33.7739</v>
      </c>
      <c r="I1865" s="4" t="n">
        <v>-89.80781</v>
      </c>
      <c r="J1865" s="4" t="s">
        <v>7643</v>
      </c>
      <c r="K1865" s="6" t="str">
        <f aca="false">HYPERLINK("https://www.google.com/search?q=Elizabeth+Jones+Library+Grenada+MS+library+website","Search")</f>
        <v>Search</v>
      </c>
      <c r="L1865" s="7"/>
      <c r="M1865" s="7"/>
    </row>
    <row r="1866" customFormat="false" ht="15" hidden="false" customHeight="true" outlineLevel="0" collapsed="false">
      <c r="A1866" s="4" t="s">
        <v>7606</v>
      </c>
      <c r="B1866" s="4" t="s">
        <v>7644</v>
      </c>
      <c r="C1866" s="4" t="s">
        <v>2374</v>
      </c>
      <c r="D1866" s="4" t="s">
        <v>5274</v>
      </c>
      <c r="E1866" s="5" t="n">
        <v>319753</v>
      </c>
      <c r="F1866" s="4" t="n">
        <v>14</v>
      </c>
      <c r="G1866" s="4" t="s">
        <v>7645</v>
      </c>
      <c r="H1866" s="4" t="n">
        <v>34.82356</v>
      </c>
      <c r="I1866" s="4" t="n">
        <v>-89.99585</v>
      </c>
      <c r="J1866" s="4" t="s">
        <v>7646</v>
      </c>
      <c r="K1866" s="6" t="str">
        <f aca="false">HYPERLINK("https://www.google.com/search?q=First+Regional+Library+Hernando+MS+library+website","Search")</f>
        <v>Search</v>
      </c>
      <c r="L1866" s="7"/>
      <c r="M1866" s="8" t="str">
        <f aca="false">HYPERLINK("https://first.overdrive.com","https://first.overdrive.com")</f>
        <v>https://first.overdrive.com</v>
      </c>
    </row>
    <row r="1867" customFormat="false" ht="15" hidden="false" customHeight="true" outlineLevel="0" collapsed="false">
      <c r="A1867" s="4" t="s">
        <v>7606</v>
      </c>
      <c r="B1867" s="4" t="s">
        <v>7647</v>
      </c>
      <c r="C1867" s="4" t="s">
        <v>619</v>
      </c>
      <c r="D1867" s="4" t="s">
        <v>7648</v>
      </c>
      <c r="E1867" s="5" t="n">
        <v>26570</v>
      </c>
      <c r="F1867" s="4" t="n">
        <v>2</v>
      </c>
      <c r="G1867" s="4" t="s">
        <v>7649</v>
      </c>
      <c r="H1867" s="4" t="n">
        <v>33.5189</v>
      </c>
      <c r="I1867" s="4" t="n">
        <v>-90.18512</v>
      </c>
      <c r="J1867" s="4" t="s">
        <v>7650</v>
      </c>
      <c r="K1867" s="6" t="str">
        <f aca="false">HYPERLINK("https://www.google.com/search?q=Greenwood-Leflore+Public+Library+Greenwood+MS+library+website","Search")</f>
        <v>Search</v>
      </c>
      <c r="L1867" s="7"/>
      <c r="M1867" s="7"/>
    </row>
    <row r="1868" customFormat="false" ht="15" hidden="false" customHeight="true" outlineLevel="0" collapsed="false">
      <c r="A1868" s="4" t="s">
        <v>7606</v>
      </c>
      <c r="B1868" s="4" t="s">
        <v>7651</v>
      </c>
      <c r="C1868" s="4" t="s">
        <v>7652</v>
      </c>
      <c r="D1868" s="4" t="s">
        <v>4339</v>
      </c>
      <c r="E1868" s="5" t="n">
        <v>46094</v>
      </c>
      <c r="F1868" s="4" t="n">
        <v>5</v>
      </c>
      <c r="G1868" s="4" t="s">
        <v>7653</v>
      </c>
      <c r="H1868" s="4" t="n">
        <v>30.31891</v>
      </c>
      <c r="I1868" s="4" t="n">
        <v>-89.33984</v>
      </c>
      <c r="J1868" s="4" t="s">
        <v>7654</v>
      </c>
      <c r="K1868" s="6" t="str">
        <f aca="false">HYPERLINK("https://www.google.com/search?q=Hancock+County+Library+Bay+Saint+Louis+MS+library+website","Search")</f>
        <v>Search</v>
      </c>
      <c r="L1868" s="7"/>
      <c r="M1868" s="7"/>
    </row>
    <row r="1869" customFormat="false" ht="15" hidden="false" customHeight="true" outlineLevel="0" collapsed="false">
      <c r="A1869" s="4" t="s">
        <v>7606</v>
      </c>
      <c r="B1869" s="4" t="s">
        <v>7655</v>
      </c>
      <c r="C1869" s="4" t="s">
        <v>7656</v>
      </c>
      <c r="D1869" s="4" t="s">
        <v>485</v>
      </c>
      <c r="E1869" s="5" t="n">
        <v>211044</v>
      </c>
      <c r="F1869" s="4" t="n">
        <v>9</v>
      </c>
      <c r="G1869" s="4" t="s">
        <v>7657</v>
      </c>
      <c r="H1869" s="4" t="n">
        <v>30.46106</v>
      </c>
      <c r="I1869" s="4" t="n">
        <v>-89.10408</v>
      </c>
      <c r="J1869" s="4" t="s">
        <v>7658</v>
      </c>
      <c r="K1869" s="6" t="str">
        <f aca="false">HYPERLINK("https://www.google.com/search?q=Harrison+County+Library+System+Gulfport+MS+library+website","Search")</f>
        <v>Search</v>
      </c>
      <c r="L1869" s="7"/>
      <c r="M1869" s="7"/>
    </row>
    <row r="1870" customFormat="false" ht="15" hidden="false" customHeight="true" outlineLevel="0" collapsed="false">
      <c r="A1870" s="4" t="s">
        <v>7606</v>
      </c>
      <c r="B1870" s="4" t="s">
        <v>7659</v>
      </c>
      <c r="C1870" s="4" t="s">
        <v>7660</v>
      </c>
      <c r="D1870" s="4" t="s">
        <v>389</v>
      </c>
      <c r="E1870" s="5" t="n">
        <v>170181</v>
      </c>
      <c r="F1870" s="4" t="n">
        <v>8</v>
      </c>
      <c r="G1870" s="4" t="s">
        <v>7661</v>
      </c>
      <c r="H1870" s="4" t="n">
        <v>30.36646</v>
      </c>
      <c r="I1870" s="4" t="n">
        <v>-88.55665</v>
      </c>
      <c r="J1870" s="4" t="s">
        <v>7662</v>
      </c>
      <c r="K1870" s="6" t="str">
        <f aca="false">HYPERLINK("https://www.google.com/search?q=Jackson-George+Regional+Library+System+Pascagoula+MS+library+website","Search")</f>
        <v>Search</v>
      </c>
      <c r="L1870" s="7"/>
      <c r="M1870" s="8" t="str">
        <f aca="false">HYPERLINK("https://jgrls.overdrive.com","https://jgrls.overdrive.com")</f>
        <v>https://jgrls.overdrive.com</v>
      </c>
    </row>
    <row r="1871" customFormat="false" ht="15" hidden="false" customHeight="true" outlineLevel="0" collapsed="false">
      <c r="A1871" s="4" t="s">
        <v>7606</v>
      </c>
      <c r="B1871" s="4" t="s">
        <v>7663</v>
      </c>
      <c r="C1871" s="4" t="s">
        <v>389</v>
      </c>
      <c r="D1871" s="4" t="s">
        <v>7664</v>
      </c>
      <c r="E1871" s="5" t="n">
        <v>217730</v>
      </c>
      <c r="F1871" s="4" t="n">
        <v>14</v>
      </c>
      <c r="G1871" s="4" t="s">
        <v>7665</v>
      </c>
      <c r="H1871" s="4" t="n">
        <v>32.30167</v>
      </c>
      <c r="I1871" s="4" t="n">
        <v>-90.1799</v>
      </c>
      <c r="J1871" s="4" t="s">
        <v>7666</v>
      </c>
      <c r="K1871" s="6" t="str">
        <f aca="false">HYPERLINK("https://www.google.com/search?q=Jackson%2FHinds+Library+System+Jackson+MS+library+website","Search")</f>
        <v>Search</v>
      </c>
      <c r="L1871" s="7"/>
      <c r="M1871" s="8" t="str">
        <f aca="false">HYPERLINK("https://jhlibrary.overdrive.com","https://jhlibrary.overdrive.com")</f>
        <v>https://jhlibrary.overdrive.com</v>
      </c>
    </row>
    <row r="1872" customFormat="false" ht="15" hidden="false" customHeight="true" outlineLevel="0" collapsed="false">
      <c r="A1872" s="4" t="s">
        <v>7606</v>
      </c>
      <c r="B1872" s="4" t="s">
        <v>7667</v>
      </c>
      <c r="C1872" s="4" t="s">
        <v>7668</v>
      </c>
      <c r="D1872" s="4" t="s">
        <v>1749</v>
      </c>
      <c r="E1872" s="5" t="n">
        <v>28408</v>
      </c>
      <c r="F1872" s="4" t="n">
        <v>1</v>
      </c>
      <c r="G1872" s="4" t="s">
        <v>7669</v>
      </c>
      <c r="H1872" s="4" t="n">
        <v>31.55833</v>
      </c>
      <c r="I1872" s="4" t="n">
        <v>-91.40365</v>
      </c>
      <c r="J1872" s="4" t="s">
        <v>7670</v>
      </c>
      <c r="K1872" s="6" t="str">
        <f aca="false">HYPERLINK("https://www.google.com/search?q=Judge+Armstrong+Library+Natchez+MS+library+website","Search")</f>
        <v>Search</v>
      </c>
      <c r="L1872" s="7"/>
      <c r="M1872" s="7"/>
    </row>
    <row r="1873" customFormat="false" ht="15" hidden="false" customHeight="true" outlineLevel="0" collapsed="false">
      <c r="A1873" s="4" t="s">
        <v>7606</v>
      </c>
      <c r="B1873" s="4" t="s">
        <v>7671</v>
      </c>
      <c r="C1873" s="4" t="s">
        <v>467</v>
      </c>
      <c r="D1873" s="4" t="s">
        <v>2762</v>
      </c>
      <c r="E1873" s="5" t="n">
        <v>29683</v>
      </c>
      <c r="F1873" s="4" t="n">
        <v>5</v>
      </c>
      <c r="G1873" s="4" t="s">
        <v>7672</v>
      </c>
      <c r="H1873" s="4" t="n">
        <v>32.5719</v>
      </c>
      <c r="I1873" s="4" t="n">
        <v>-89.1184</v>
      </c>
      <c r="J1873" s="4" t="s">
        <v>7673</v>
      </c>
      <c r="K1873" s="6" t="str">
        <f aca="false">HYPERLINK("https://www.google.com/search?q=Kemper-Newton+Regional+Library+Union+MS+library+website","Search")</f>
        <v>Search</v>
      </c>
      <c r="L1873" s="7"/>
      <c r="M1873" s="7"/>
    </row>
    <row r="1874" customFormat="false" ht="15" hidden="false" customHeight="true" outlineLevel="0" collapsed="false">
      <c r="A1874" s="4" t="s">
        <v>7606</v>
      </c>
      <c r="B1874" s="4" t="s">
        <v>7674</v>
      </c>
      <c r="C1874" s="4" t="s">
        <v>7675</v>
      </c>
      <c r="D1874" s="4" t="s">
        <v>1686</v>
      </c>
      <c r="E1874" s="5" t="n">
        <v>65783</v>
      </c>
      <c r="F1874" s="4" t="n">
        <v>4</v>
      </c>
      <c r="G1874" s="4" t="s">
        <v>7676</v>
      </c>
      <c r="H1874" s="4" t="n">
        <v>31.1432</v>
      </c>
      <c r="I1874" s="4" t="n">
        <v>-89.40737</v>
      </c>
      <c r="J1874" s="4" t="s">
        <v>7677</v>
      </c>
      <c r="K1874" s="6" t="str">
        <f aca="false">HYPERLINK("https://www.google.com/search?q=Lamar+County+Library+System+Purvis+MS+library+website","Search")</f>
        <v>Search</v>
      </c>
      <c r="L1874" s="7"/>
      <c r="M1874" s="7"/>
    </row>
    <row r="1875" customFormat="false" ht="15" hidden="false" customHeight="true" outlineLevel="0" collapsed="false">
      <c r="A1875" s="4" t="s">
        <v>7606</v>
      </c>
      <c r="B1875" s="4" t="s">
        <v>7678</v>
      </c>
      <c r="C1875" s="4" t="s">
        <v>2246</v>
      </c>
      <c r="D1875" s="4" t="s">
        <v>2886</v>
      </c>
      <c r="E1875" s="5" t="n">
        <v>66569</v>
      </c>
      <c r="F1875" s="4" t="n">
        <v>2</v>
      </c>
      <c r="G1875" s="4" t="s">
        <v>7679</v>
      </c>
      <c r="H1875" s="4" t="n">
        <v>31.69261</v>
      </c>
      <c r="I1875" s="4" t="n">
        <v>-89.13258</v>
      </c>
      <c r="J1875" s="4" t="s">
        <v>7680</v>
      </c>
      <c r="K1875" s="6" t="str">
        <f aca="false">HYPERLINK("https://www.google.com/search?q=Laurel-Jones+County+Library+System%2C+Inc.+Laurel+MS+library+website","Search")</f>
        <v>Search</v>
      </c>
      <c r="L1875" s="7"/>
      <c r="M1875" s="7"/>
    </row>
    <row r="1876" customFormat="false" ht="15" hidden="false" customHeight="true" outlineLevel="0" collapsed="false">
      <c r="A1876" s="4" t="s">
        <v>7606</v>
      </c>
      <c r="B1876" s="4" t="s">
        <v>7681</v>
      </c>
      <c r="C1876" s="4" t="s">
        <v>7682</v>
      </c>
      <c r="D1876" s="4" t="s">
        <v>83</v>
      </c>
      <c r="E1876" s="5" t="n">
        <v>109862</v>
      </c>
      <c r="F1876" s="4" t="n">
        <v>2</v>
      </c>
      <c r="G1876" s="4" t="s">
        <v>7683</v>
      </c>
      <c r="H1876" s="4" t="n">
        <v>34.25839</v>
      </c>
      <c r="I1876" s="4" t="n">
        <v>-88.71128</v>
      </c>
      <c r="J1876" s="4" t="s">
        <v>7684</v>
      </c>
      <c r="K1876" s="6" t="str">
        <f aca="false">HYPERLINK("https://www.google.com/search?q=Lee-Itawamba+Library+System+Tupelo+MS+library+website","Search")</f>
        <v>Search</v>
      </c>
      <c r="L1876" s="7"/>
      <c r="M1876" s="7"/>
    </row>
    <row r="1877" customFormat="false" ht="15" hidden="false" customHeight="true" outlineLevel="0" collapsed="false">
      <c r="A1877" s="4" t="s">
        <v>7606</v>
      </c>
      <c r="B1877" s="4" t="s">
        <v>7685</v>
      </c>
      <c r="C1877" s="4" t="s">
        <v>7686</v>
      </c>
      <c r="D1877" s="4" t="s">
        <v>1131</v>
      </c>
      <c r="E1877" s="5" t="n">
        <v>54072</v>
      </c>
      <c r="F1877" s="4" t="n">
        <v>4</v>
      </c>
      <c r="G1877" s="4" t="s">
        <v>7687</v>
      </c>
      <c r="H1877" s="4" t="n">
        <v>31.5801</v>
      </c>
      <c r="I1877" s="4" t="n">
        <v>-90.44445</v>
      </c>
      <c r="J1877" s="4" t="s">
        <v>7688</v>
      </c>
      <c r="K1877" s="6" t="str">
        <f aca="false">HYPERLINK("https://www.google.com/search?q=Lincoln-Lawrence-Franklin+Regional+Library+Brookhaven+MS+library+website","Search")</f>
        <v>Search</v>
      </c>
      <c r="L1877" s="7"/>
      <c r="M1877" s="7"/>
    </row>
    <row r="1878" customFormat="false" ht="15" hidden="false" customHeight="true" outlineLevel="0" collapsed="false">
      <c r="A1878" s="4" t="s">
        <v>7606</v>
      </c>
      <c r="B1878" s="4" t="s">
        <v>1148</v>
      </c>
      <c r="C1878" s="4" t="s">
        <v>1149</v>
      </c>
      <c r="D1878" s="4" t="s">
        <v>485</v>
      </c>
      <c r="E1878" s="5" t="n">
        <v>16856</v>
      </c>
      <c r="F1878" s="4" t="n">
        <v>1</v>
      </c>
      <c r="G1878" s="4" t="s">
        <v>7689</v>
      </c>
      <c r="H1878" s="4" t="n">
        <v>30.34874</v>
      </c>
      <c r="I1878" s="4" t="n">
        <v>-89.15026</v>
      </c>
      <c r="J1878" s="4" t="s">
        <v>7690</v>
      </c>
      <c r="K1878" s="6" t="str">
        <f aca="false">HYPERLINK("https://www.google.com/search?q=Long+Beach+Public+Library+Long+Beach+MS+library+website","Search")</f>
        <v>Search</v>
      </c>
      <c r="L1878" s="7"/>
      <c r="M1878" s="7"/>
    </row>
    <row r="1879" customFormat="false" ht="15" hidden="false" customHeight="true" outlineLevel="0" collapsed="false">
      <c r="A1879" s="4" t="s">
        <v>7606</v>
      </c>
      <c r="B1879" s="4" t="s">
        <v>7691</v>
      </c>
      <c r="C1879" s="4" t="s">
        <v>1853</v>
      </c>
      <c r="D1879" s="4" t="s">
        <v>261</v>
      </c>
      <c r="E1879" s="5" t="n">
        <v>111113</v>
      </c>
      <c r="F1879" s="4" t="n">
        <v>5</v>
      </c>
      <c r="G1879" s="4" t="s">
        <v>7692</v>
      </c>
      <c r="H1879" s="4" t="n">
        <v>32.61242</v>
      </c>
      <c r="I1879" s="4" t="n">
        <v>-90.03233</v>
      </c>
      <c r="J1879" s="4" t="s">
        <v>7693</v>
      </c>
      <c r="K1879" s="6" t="str">
        <f aca="false">HYPERLINK("https://www.google.com/search?q=Madison+County+Library+System+Canton+MS+library+website","Search")</f>
        <v>Search</v>
      </c>
      <c r="L1879" s="7"/>
      <c r="M1879" s="7"/>
    </row>
    <row r="1880" customFormat="false" ht="15" hidden="false" customHeight="true" outlineLevel="0" collapsed="false">
      <c r="A1880" s="4" t="s">
        <v>7606</v>
      </c>
      <c r="B1880" s="4" t="s">
        <v>7694</v>
      </c>
      <c r="C1880" s="4" t="s">
        <v>7695</v>
      </c>
      <c r="D1880" s="4" t="s">
        <v>58</v>
      </c>
      <c r="E1880" s="5" t="n">
        <v>34110</v>
      </c>
      <c r="F1880" s="4" t="n">
        <v>3</v>
      </c>
      <c r="G1880" s="4" t="s">
        <v>7696</v>
      </c>
      <c r="H1880" s="4" t="n">
        <v>34.76646</v>
      </c>
      <c r="I1880" s="4" t="n">
        <v>-89.44777</v>
      </c>
      <c r="J1880" s="4" t="s">
        <v>7697</v>
      </c>
      <c r="K1880" s="6" t="str">
        <f aca="false">HYPERLINK("https://www.google.com/search?q=Marshall+County+Library+Holly+Springs+MS+library+website","Search")</f>
        <v>Search</v>
      </c>
      <c r="L1880" s="7"/>
      <c r="M1880" s="7"/>
    </row>
    <row r="1881" customFormat="false" ht="15" hidden="false" customHeight="true" outlineLevel="0" collapsed="false">
      <c r="A1881" s="4" t="s">
        <v>7606</v>
      </c>
      <c r="B1881" s="4" t="s">
        <v>7698</v>
      </c>
      <c r="C1881" s="4" t="s">
        <v>3254</v>
      </c>
      <c r="D1881" s="4" t="s">
        <v>202</v>
      </c>
      <c r="E1881" s="5" t="n">
        <v>70904</v>
      </c>
      <c r="F1881" s="4" t="n">
        <v>1</v>
      </c>
      <c r="G1881" s="4" t="s">
        <v>7699</v>
      </c>
      <c r="H1881" s="4" t="n">
        <v>32.36414</v>
      </c>
      <c r="I1881" s="4" t="n">
        <v>-88.70409</v>
      </c>
      <c r="J1881" s="4" t="s">
        <v>7700</v>
      </c>
      <c r="K1881" s="6" t="str">
        <f aca="false">HYPERLINK("https://www.google.com/search?q=Meridian-Lauderdale+County+Public+Library+Meridian+MS+library+website","Search")</f>
        <v>Search</v>
      </c>
      <c r="L1881" s="7"/>
      <c r="M1881" s="7"/>
    </row>
    <row r="1882" customFormat="false" ht="15" hidden="false" customHeight="true" outlineLevel="0" collapsed="false">
      <c r="A1882" s="4" t="s">
        <v>7606</v>
      </c>
      <c r="B1882" s="4" t="s">
        <v>7701</v>
      </c>
      <c r="C1882" s="4" t="s">
        <v>4644</v>
      </c>
      <c r="D1882" s="4" t="s">
        <v>7702</v>
      </c>
      <c r="E1882" s="5" t="n">
        <v>81838</v>
      </c>
      <c r="F1882" s="4" t="n">
        <v>13</v>
      </c>
      <c r="G1882" s="4" t="s">
        <v>7703</v>
      </c>
      <c r="H1882" s="4" t="n">
        <v>33.05656</v>
      </c>
      <c r="I1882" s="4" t="n">
        <v>-89.58762</v>
      </c>
      <c r="J1882" s="4" t="s">
        <v>7704</v>
      </c>
      <c r="K1882" s="6" t="str">
        <f aca="false">HYPERLINK("https://www.google.com/search?q=Mid-Mississippi+Regional+Library+Kosciusko+MS+library+website","Search")</f>
        <v>Search</v>
      </c>
      <c r="L1882" s="7"/>
      <c r="M1882" s="7"/>
    </row>
    <row r="1883" customFormat="false" ht="15" hidden="false" customHeight="true" outlineLevel="0" collapsed="false">
      <c r="A1883" s="4" t="s">
        <v>7606</v>
      </c>
      <c r="B1883" s="4" t="s">
        <v>7705</v>
      </c>
      <c r="C1883" s="4" t="s">
        <v>7706</v>
      </c>
      <c r="D1883" s="4" t="s">
        <v>7707</v>
      </c>
      <c r="E1883" s="5" t="n">
        <v>28673</v>
      </c>
      <c r="F1883" s="4" t="n">
        <v>1</v>
      </c>
      <c r="G1883" s="4" t="s">
        <v>7708</v>
      </c>
      <c r="H1883" s="4" t="n">
        <v>32.77159</v>
      </c>
      <c r="I1883" s="4" t="n">
        <v>-89.114</v>
      </c>
      <c r="J1883" s="4" t="s">
        <v>7709</v>
      </c>
      <c r="K1883" s="6" t="str">
        <f aca="false">HYPERLINK("https://www.google.com/search?q=Neshoba+County+Public+Library+Philadelphia+MS+library+website","Search")</f>
        <v>Search</v>
      </c>
      <c r="L1883" s="7"/>
      <c r="M1883" s="7"/>
    </row>
    <row r="1884" customFormat="false" ht="15" hidden="false" customHeight="true" outlineLevel="0" collapsed="false">
      <c r="A1884" s="4" t="s">
        <v>7606</v>
      </c>
      <c r="B1884" s="4" t="s">
        <v>7710</v>
      </c>
      <c r="C1884" s="4" t="s">
        <v>7711</v>
      </c>
      <c r="D1884" s="4" t="s">
        <v>7712</v>
      </c>
      <c r="E1884" s="5" t="n">
        <v>99730</v>
      </c>
      <c r="F1884" s="4" t="n">
        <v>13</v>
      </c>
      <c r="G1884" s="4" t="s">
        <v>7713</v>
      </c>
      <c r="H1884" s="4" t="n">
        <v>34.93907</v>
      </c>
      <c r="I1884" s="4" t="n">
        <v>-88.5189</v>
      </c>
      <c r="J1884" s="4" t="s">
        <v>7714</v>
      </c>
      <c r="K1884" s="6" t="str">
        <f aca="false">HYPERLINK("https://www.google.com/search?q=Northeast+Regional+Library+Corinth+MS+library+website","Search")</f>
        <v>Search</v>
      </c>
      <c r="L1884" s="7"/>
      <c r="M1884" s="7"/>
    </row>
    <row r="1885" customFormat="false" ht="15" hidden="false" customHeight="true" outlineLevel="0" collapsed="false">
      <c r="A1885" s="4" t="s">
        <v>7606</v>
      </c>
      <c r="B1885" s="4" t="s">
        <v>7715</v>
      </c>
      <c r="C1885" s="4" t="s">
        <v>293</v>
      </c>
      <c r="D1885" s="4" t="s">
        <v>7716</v>
      </c>
      <c r="E1885" s="5" t="n">
        <v>10123</v>
      </c>
      <c r="F1885" s="4" t="n">
        <v>3</v>
      </c>
      <c r="G1885" s="4" t="s">
        <v>7717</v>
      </c>
      <c r="H1885" s="4" t="n">
        <v>33.10618</v>
      </c>
      <c r="I1885" s="4" t="n">
        <v>-88.56061</v>
      </c>
      <c r="J1885" s="4" t="s">
        <v>7718</v>
      </c>
      <c r="K1885" s="6" t="str">
        <f aca="false">HYPERLINK("https://www.google.com/search?q=Noxubee+County+Library+Macon+MS+library+website","Search")</f>
        <v>Search</v>
      </c>
      <c r="L1885" s="7"/>
      <c r="M1885" s="7"/>
    </row>
    <row r="1886" customFormat="false" ht="15" hidden="false" customHeight="true" outlineLevel="0" collapsed="false">
      <c r="A1886" s="4" t="s">
        <v>7606</v>
      </c>
      <c r="B1886" s="4" t="s">
        <v>7719</v>
      </c>
      <c r="C1886" s="4" t="s">
        <v>7720</v>
      </c>
      <c r="D1886" s="4" t="s">
        <v>7721</v>
      </c>
      <c r="E1886" s="5" t="n">
        <v>57261</v>
      </c>
      <c r="F1886" s="4" t="n">
        <v>2</v>
      </c>
      <c r="G1886" s="4" t="s">
        <v>7722</v>
      </c>
      <c r="H1886" s="4" t="n">
        <v>30.53088</v>
      </c>
      <c r="I1886" s="4" t="n">
        <v>-89.68876</v>
      </c>
      <c r="J1886" s="4" t="s">
        <v>7723</v>
      </c>
      <c r="K1886" s="6" t="str">
        <f aca="false">HYPERLINK("https://www.google.com/search?q=Pearl+River+County+Library+System+Picayune+MS+library+website","Search")</f>
        <v>Search</v>
      </c>
      <c r="L1886" s="7"/>
      <c r="M1886" s="7"/>
    </row>
    <row r="1887" customFormat="false" ht="15" hidden="false" customHeight="true" outlineLevel="0" collapsed="false">
      <c r="A1887" s="4" t="s">
        <v>7606</v>
      </c>
      <c r="B1887" s="4" t="s">
        <v>7724</v>
      </c>
      <c r="C1887" s="4" t="s">
        <v>7725</v>
      </c>
      <c r="D1887" s="4" t="s">
        <v>415</v>
      </c>
      <c r="E1887" s="5" t="n">
        <v>66024</v>
      </c>
      <c r="F1887" s="4" t="n">
        <v>9</v>
      </c>
      <c r="G1887" s="4" t="s">
        <v>7726</v>
      </c>
      <c r="H1887" s="4" t="n">
        <v>31.24429</v>
      </c>
      <c r="I1887" s="4" t="n">
        <v>-90.46732</v>
      </c>
      <c r="J1887" s="4" t="s">
        <v>7727</v>
      </c>
      <c r="K1887" s="6" t="str">
        <f aca="false">HYPERLINK("https://www.google.com/search?q=Pike-Amite-Walthall+Library+System+Mccomb+MS+library+website","Search")</f>
        <v>Search</v>
      </c>
      <c r="L1887" s="7"/>
      <c r="M1887" s="7"/>
    </row>
    <row r="1888" customFormat="false" ht="15" hidden="false" customHeight="true" outlineLevel="0" collapsed="false">
      <c r="A1888" s="4" t="s">
        <v>7606</v>
      </c>
      <c r="B1888" s="4" t="s">
        <v>7728</v>
      </c>
      <c r="C1888" s="4" t="s">
        <v>7729</v>
      </c>
      <c r="D1888" s="4" t="s">
        <v>2719</v>
      </c>
      <c r="E1888" s="5" t="n">
        <v>43589</v>
      </c>
      <c r="F1888" s="4" t="n">
        <v>6</v>
      </c>
      <c r="G1888" s="4" t="s">
        <v>7730</v>
      </c>
      <c r="H1888" s="4" t="n">
        <v>31.35041</v>
      </c>
      <c r="I1888" s="4" t="n">
        <v>-88.93583</v>
      </c>
      <c r="J1888" s="4" t="s">
        <v>7731</v>
      </c>
      <c r="K1888" s="6" t="str">
        <f aca="false">HYPERLINK("https://www.google.com/search?q=Pine+Forest+Regional+Library+Richton+MS+library+website","Search")</f>
        <v>Search</v>
      </c>
      <c r="L1888" s="7"/>
      <c r="M1888" s="7"/>
    </row>
    <row r="1889" customFormat="false" ht="15" hidden="false" customHeight="true" outlineLevel="0" collapsed="false">
      <c r="A1889" s="4" t="s">
        <v>7606</v>
      </c>
      <c r="B1889" s="4" t="s">
        <v>7732</v>
      </c>
      <c r="C1889" s="4" t="s">
        <v>506</v>
      </c>
      <c r="D1889" s="4" t="s">
        <v>572</v>
      </c>
      <c r="E1889" s="5" t="n">
        <v>35512</v>
      </c>
      <c r="F1889" s="4" t="n">
        <v>3</v>
      </c>
      <c r="G1889" s="4" t="s">
        <v>7733</v>
      </c>
      <c r="H1889" s="4" t="n">
        <v>31.2507</v>
      </c>
      <c r="I1889" s="4" t="n">
        <v>-89.82324</v>
      </c>
      <c r="J1889" s="4" t="s">
        <v>7734</v>
      </c>
      <c r="K1889" s="6" t="str">
        <f aca="false">HYPERLINK("https://www.google.com/search?q=South+Mississippi+Regional+Library+Columbia+MS+library+website","Search")</f>
        <v>Search</v>
      </c>
      <c r="L1889" s="7"/>
      <c r="M1889" s="7"/>
    </row>
    <row r="1890" customFormat="false" ht="15" hidden="false" customHeight="true" outlineLevel="0" collapsed="false">
      <c r="A1890" s="4" t="s">
        <v>7606</v>
      </c>
      <c r="B1890" s="4" t="s">
        <v>7735</v>
      </c>
      <c r="C1890" s="4" t="s">
        <v>7736</v>
      </c>
      <c r="D1890" s="4" t="s">
        <v>7737</v>
      </c>
      <c r="E1890" s="5" t="n">
        <v>51427</v>
      </c>
      <c r="F1890" s="4" t="n">
        <v>3</v>
      </c>
      <c r="G1890" s="4" t="s">
        <v>7738</v>
      </c>
      <c r="H1890" s="4" t="n">
        <v>33.46384</v>
      </c>
      <c r="I1890" s="4" t="n">
        <v>-88.81083</v>
      </c>
      <c r="J1890" s="4" t="s">
        <v>7739</v>
      </c>
      <c r="K1890" s="6" t="str">
        <f aca="false">HYPERLINK("https://www.google.com/search?q=Starkville-Oktibbeha+County+Public+Library+System+Starkville+MS+library+website","Search")</f>
        <v>Search</v>
      </c>
      <c r="L1890" s="7"/>
      <c r="M1890" s="7"/>
    </row>
    <row r="1891" customFormat="false" ht="15" hidden="false" customHeight="true" outlineLevel="0" collapsed="false">
      <c r="A1891" s="4" t="s">
        <v>7606</v>
      </c>
      <c r="B1891" s="4" t="s">
        <v>7740</v>
      </c>
      <c r="C1891" s="4" t="s">
        <v>3011</v>
      </c>
      <c r="D1891" s="4" t="s">
        <v>7741</v>
      </c>
      <c r="E1891" s="5" t="n">
        <v>24811</v>
      </c>
      <c r="F1891" s="4" t="n">
        <v>5</v>
      </c>
      <c r="G1891" s="4" t="s">
        <v>7742</v>
      </c>
      <c r="H1891" s="4" t="n">
        <v>33.45253</v>
      </c>
      <c r="I1891" s="4" t="n">
        <v>-90.64836</v>
      </c>
      <c r="J1891" s="4" t="s">
        <v>7743</v>
      </c>
      <c r="K1891" s="6" t="str">
        <f aca="false">HYPERLINK("https://www.google.com/search?q=Sunflower+County+Library+Indianola+MS+library+website","Search")</f>
        <v>Search</v>
      </c>
      <c r="L1891" s="7"/>
      <c r="M1891" s="7"/>
    </row>
    <row r="1892" customFormat="false" ht="15" hidden="false" customHeight="true" outlineLevel="0" collapsed="false">
      <c r="A1892" s="4" t="s">
        <v>7606</v>
      </c>
      <c r="B1892" s="4" t="s">
        <v>7744</v>
      </c>
      <c r="C1892" s="4" t="s">
        <v>3424</v>
      </c>
      <c r="D1892" s="4" t="s">
        <v>7745</v>
      </c>
      <c r="E1892" s="5" t="n">
        <v>12035</v>
      </c>
      <c r="F1892" s="4" t="n">
        <v>2</v>
      </c>
      <c r="G1892" s="4" t="s">
        <v>7746</v>
      </c>
      <c r="H1892" s="4" t="n">
        <v>34.00602</v>
      </c>
      <c r="I1892" s="4" t="n">
        <v>-90.05822</v>
      </c>
      <c r="J1892" s="4" t="s">
        <v>7747</v>
      </c>
      <c r="K1892" s="6" t="str">
        <f aca="false">HYPERLINK("https://www.google.com/search?q=Tallahatchie+County+Library+Charleston+MS+library+website","Search")</f>
        <v>Search</v>
      </c>
      <c r="L1892" s="7"/>
      <c r="M1892" s="7"/>
    </row>
    <row r="1893" customFormat="false" ht="15" hidden="false" customHeight="true" outlineLevel="0" collapsed="false">
      <c r="A1893" s="4" t="s">
        <v>7606</v>
      </c>
      <c r="B1893" s="4" t="s">
        <v>7748</v>
      </c>
      <c r="C1893" s="4" t="s">
        <v>7749</v>
      </c>
      <c r="D1893" s="4" t="s">
        <v>7750</v>
      </c>
      <c r="E1893" s="5" t="n">
        <v>78110</v>
      </c>
      <c r="F1893" s="4" t="n">
        <v>2</v>
      </c>
      <c r="G1893" s="4" t="s">
        <v>7751</v>
      </c>
      <c r="H1893" s="4" t="n">
        <v>31.32479</v>
      </c>
      <c r="I1893" s="4" t="n">
        <v>-89.29572</v>
      </c>
      <c r="J1893" s="4" t="s">
        <v>7752</v>
      </c>
      <c r="K1893" s="6" t="str">
        <f aca="false">HYPERLINK("https://www.google.com/search?q=The+Library+Of+Hattiesburg%2C+Petal+%26+Forrest+C+Hattiesburg+MS+library+website","Search")</f>
        <v>Search</v>
      </c>
      <c r="L1893" s="7"/>
      <c r="M1893" s="7"/>
    </row>
    <row r="1894" customFormat="false" ht="15" hidden="false" customHeight="true" outlineLevel="0" collapsed="false">
      <c r="A1894" s="4" t="s">
        <v>7606</v>
      </c>
      <c r="B1894" s="4" t="s">
        <v>7753</v>
      </c>
      <c r="C1894" s="4" t="s">
        <v>7754</v>
      </c>
      <c r="D1894" s="4" t="s">
        <v>2322</v>
      </c>
      <c r="E1894" s="5" t="n">
        <v>61950</v>
      </c>
      <c r="F1894" s="4" t="n">
        <v>8</v>
      </c>
      <c r="G1894" s="4" t="s">
        <v>7755</v>
      </c>
      <c r="H1894" s="4" t="n">
        <v>33.60391</v>
      </c>
      <c r="I1894" s="4" t="n">
        <v>-88.64727</v>
      </c>
      <c r="J1894" s="4" t="s">
        <v>7756</v>
      </c>
      <c r="K1894" s="6" t="str">
        <f aca="false">HYPERLINK("https://www.google.com/search?q=Tombigbee+Regional+Library+West+Point+MS+library+website","Search")</f>
        <v>Search</v>
      </c>
      <c r="L1894" s="7"/>
      <c r="M1894" s="7"/>
    </row>
    <row r="1895" customFormat="false" ht="15" hidden="false" customHeight="true" outlineLevel="0" collapsed="false">
      <c r="A1895" s="4" t="s">
        <v>7606</v>
      </c>
      <c r="B1895" s="4" t="s">
        <v>7757</v>
      </c>
      <c r="C1895" s="4" t="s">
        <v>4519</v>
      </c>
      <c r="D1895" s="4" t="s">
        <v>467</v>
      </c>
      <c r="E1895" s="5" t="n">
        <v>28125</v>
      </c>
      <c r="F1895" s="4" t="n">
        <v>2</v>
      </c>
      <c r="G1895" s="4" t="s">
        <v>7758</v>
      </c>
      <c r="H1895" s="4" t="n">
        <v>34.49188</v>
      </c>
      <c r="I1895" s="4" t="n">
        <v>-89.00957</v>
      </c>
      <c r="J1895" s="4" t="s">
        <v>7759</v>
      </c>
      <c r="K1895" s="6" t="str">
        <f aca="false">HYPERLINK("https://www.google.com/search?q=Union+County+Library+System+New+Albany+MS+library+website","Search")</f>
        <v>Search</v>
      </c>
      <c r="L1895" s="7"/>
      <c r="M1895" s="7"/>
    </row>
    <row r="1896" customFormat="false" ht="15" hidden="false" customHeight="true" outlineLevel="0" collapsed="false">
      <c r="A1896" s="4" t="s">
        <v>7606</v>
      </c>
      <c r="B1896" s="4" t="s">
        <v>7760</v>
      </c>
      <c r="C1896" s="4" t="s">
        <v>7080</v>
      </c>
      <c r="D1896" s="4" t="s">
        <v>3012</v>
      </c>
      <c r="E1896" s="5" t="n">
        <v>42649</v>
      </c>
      <c r="F1896" s="4" t="n">
        <v>1</v>
      </c>
      <c r="G1896" s="4" t="s">
        <v>7761</v>
      </c>
      <c r="H1896" s="4" t="n">
        <v>32.34699</v>
      </c>
      <c r="I1896" s="4" t="n">
        <v>-90.88261</v>
      </c>
      <c r="J1896" s="4" t="s">
        <v>7762</v>
      </c>
      <c r="K1896" s="6" t="str">
        <f aca="false">HYPERLINK("https://www.google.com/search?q=Warren+County-Vicksburg+Public+Library+Vicksburg+MS+library+website","Search")</f>
        <v>Search</v>
      </c>
      <c r="L1896" s="7"/>
      <c r="M1896" s="8" t="str">
        <f aca="false">HYPERLINK("https://warrenco.overdrive.com","https://warrenco.overdrive.com")</f>
        <v>https://warrenco.overdrive.com</v>
      </c>
    </row>
    <row r="1897" customFormat="false" ht="15" hidden="false" customHeight="true" outlineLevel="0" collapsed="false">
      <c r="A1897" s="4" t="s">
        <v>7606</v>
      </c>
      <c r="B1897" s="4" t="s">
        <v>7320</v>
      </c>
      <c r="C1897" s="4" t="s">
        <v>224</v>
      </c>
      <c r="D1897" s="4" t="s">
        <v>441</v>
      </c>
      <c r="E1897" s="5" t="n">
        <v>42514</v>
      </c>
      <c r="F1897" s="4" t="n">
        <v>7</v>
      </c>
      <c r="G1897" s="4" t="s">
        <v>7763</v>
      </c>
      <c r="H1897" s="4" t="n">
        <v>33.41063</v>
      </c>
      <c r="I1897" s="4" t="n">
        <v>-91.06288</v>
      </c>
      <c r="J1897" s="4" t="s">
        <v>7764</v>
      </c>
      <c r="K1897" s="6" t="str">
        <f aca="false">HYPERLINK("https://www.google.com/search?q=Washington+County+Library+Greenville+MS+library+website","Search")</f>
        <v>Search</v>
      </c>
      <c r="L1897" s="7"/>
      <c r="M1897" s="7"/>
    </row>
    <row r="1898" customFormat="false" ht="15" hidden="false" customHeight="true" outlineLevel="0" collapsed="false">
      <c r="A1898" s="4" t="s">
        <v>7606</v>
      </c>
      <c r="B1898" s="4" t="s">
        <v>7765</v>
      </c>
      <c r="C1898" s="4" t="s">
        <v>7766</v>
      </c>
      <c r="D1898" s="4" t="s">
        <v>2849</v>
      </c>
      <c r="E1898" s="5" t="n">
        <v>19681</v>
      </c>
      <c r="F1898" s="4" t="n">
        <v>1</v>
      </c>
      <c r="G1898" s="4" t="s">
        <v>7767</v>
      </c>
      <c r="H1898" s="4" t="n">
        <v>31.6828</v>
      </c>
      <c r="I1898" s="4" t="n">
        <v>-88.64682</v>
      </c>
      <c r="J1898" s="4" t="s">
        <v>7768</v>
      </c>
      <c r="K1898" s="6" t="str">
        <f aca="false">HYPERLINK("https://www.google.com/search?q=Waynesboro-Wayne+County+Library+System+Waynesboro+MS+library+website","Search")</f>
        <v>Search</v>
      </c>
      <c r="L1898" s="7"/>
      <c r="M1898" s="7"/>
    </row>
    <row r="1899" customFormat="false" ht="15" hidden="false" customHeight="true" outlineLevel="0" collapsed="false">
      <c r="A1899" s="4" t="s">
        <v>7606</v>
      </c>
      <c r="B1899" s="4" t="s">
        <v>7769</v>
      </c>
      <c r="C1899" s="4" t="s">
        <v>7770</v>
      </c>
      <c r="D1899" s="4" t="s">
        <v>7771</v>
      </c>
      <c r="E1899" s="5" t="n">
        <v>12364</v>
      </c>
      <c r="F1899" s="4" t="n">
        <v>2</v>
      </c>
      <c r="G1899" s="4" t="s">
        <v>7772</v>
      </c>
      <c r="H1899" s="4" t="n">
        <v>33.97656</v>
      </c>
      <c r="I1899" s="4" t="n">
        <v>-89.67293</v>
      </c>
      <c r="J1899" s="4" t="s">
        <v>7773</v>
      </c>
      <c r="K1899" s="6" t="str">
        <f aca="false">HYPERLINK("https://www.google.com/search?q=Yalobusha+County+Library+Coffeeville+MS+library+website","Search")</f>
        <v>Search</v>
      </c>
      <c r="L1899" s="7"/>
      <c r="M1899" s="7"/>
    </row>
    <row r="1900" customFormat="false" ht="15" hidden="false" customHeight="true" outlineLevel="0" collapsed="false">
      <c r="A1900" s="4" t="s">
        <v>7606</v>
      </c>
      <c r="B1900" s="4" t="s">
        <v>7774</v>
      </c>
      <c r="C1900" s="4" t="s">
        <v>7775</v>
      </c>
      <c r="D1900" s="4" t="s">
        <v>7776</v>
      </c>
      <c r="E1900" s="5" t="n">
        <v>25948</v>
      </c>
      <c r="F1900" s="4" t="n">
        <v>1</v>
      </c>
      <c r="G1900" s="4" t="s">
        <v>7777</v>
      </c>
      <c r="H1900" s="4" t="n">
        <v>32.84928</v>
      </c>
      <c r="I1900" s="4" t="n">
        <v>-90.41243</v>
      </c>
      <c r="J1900" s="4" t="s">
        <v>7778</v>
      </c>
      <c r="K1900" s="6" t="str">
        <f aca="false">HYPERLINK("https://www.google.com/search?q=Yazoo+Library+Association+Yazoo+City+MS+library+website","Search")</f>
        <v>Search</v>
      </c>
      <c r="L1900" s="7"/>
      <c r="M1900" s="7"/>
    </row>
    <row r="1901" customFormat="false" ht="15" hidden="false" customHeight="true" outlineLevel="0" collapsed="false">
      <c r="A1901" s="4" t="s">
        <v>7779</v>
      </c>
      <c r="B1901" s="4" t="s">
        <v>7780</v>
      </c>
      <c r="C1901" s="4" t="s">
        <v>7781</v>
      </c>
      <c r="D1901" s="4" t="s">
        <v>7782</v>
      </c>
      <c r="E1901" s="5" t="n">
        <v>17426</v>
      </c>
      <c r="F1901" s="4" t="n">
        <v>1</v>
      </c>
      <c r="G1901" s="4" t="s">
        <v>7783</v>
      </c>
      <c r="H1901" s="4" t="n">
        <v>45.7773</v>
      </c>
      <c r="I1901" s="4" t="n">
        <v>-111.1759</v>
      </c>
      <c r="J1901" s="4" t="s">
        <v>7784</v>
      </c>
      <c r="K1901" s="6" t="str">
        <f aca="false">HYPERLINK("https://www.google.com/search?q=Belgrade+Community+Library+Belgrade+MT+library+website","Search")</f>
        <v>Search</v>
      </c>
      <c r="L1901" s="7"/>
      <c r="M1901" s="7"/>
    </row>
    <row r="1902" customFormat="false" ht="15" hidden="false" customHeight="true" outlineLevel="0" collapsed="false">
      <c r="A1902" s="4" t="s">
        <v>7779</v>
      </c>
      <c r="B1902" s="4" t="s">
        <v>7785</v>
      </c>
      <c r="C1902" s="4" t="s">
        <v>4958</v>
      </c>
      <c r="D1902" s="4" t="s">
        <v>7786</v>
      </c>
      <c r="E1902" s="5" t="n">
        <v>13124</v>
      </c>
      <c r="F1902" s="4" t="n">
        <v>1</v>
      </c>
      <c r="G1902" s="4" t="s">
        <v>7787</v>
      </c>
      <c r="H1902" s="4" t="n">
        <v>45.73311</v>
      </c>
      <c r="I1902" s="4" t="n">
        <v>-107.60746</v>
      </c>
      <c r="J1902" s="4" t="s">
        <v>7788</v>
      </c>
      <c r="K1902" s="6" t="str">
        <f aca="false">HYPERLINK("https://www.google.com/search?q=Big+Horn+County+Public+Library+Hardin+MT+library+website","Search")</f>
        <v>Search</v>
      </c>
      <c r="L1902" s="7"/>
      <c r="M1902" s="7"/>
    </row>
    <row r="1903" customFormat="false" ht="15" hidden="false" customHeight="true" outlineLevel="0" collapsed="false">
      <c r="A1903" s="4" t="s">
        <v>7779</v>
      </c>
      <c r="B1903" s="4" t="s">
        <v>7789</v>
      </c>
      <c r="C1903" s="4" t="s">
        <v>7790</v>
      </c>
      <c r="D1903" s="4" t="s">
        <v>7791</v>
      </c>
      <c r="E1903" s="5" t="n">
        <v>157509</v>
      </c>
      <c r="F1903" s="4" t="n">
        <v>1</v>
      </c>
      <c r="G1903" s="4" t="s">
        <v>7792</v>
      </c>
      <c r="H1903" s="4" t="n">
        <v>45.78557</v>
      </c>
      <c r="I1903" s="4" t="n">
        <v>-108.50929</v>
      </c>
      <c r="J1903" s="4" t="s">
        <v>7793</v>
      </c>
      <c r="K1903" s="6" t="str">
        <f aca="false">HYPERLINK("https://www.google.com/search?q=Billings+Public+Library+Billings+MT+library+website","Search")</f>
        <v>Search</v>
      </c>
      <c r="L1903" s="7"/>
      <c r="M1903" s="7"/>
    </row>
    <row r="1904" customFormat="false" ht="15" hidden="false" customHeight="true" outlineLevel="0" collapsed="false">
      <c r="A1904" s="4" t="s">
        <v>7779</v>
      </c>
      <c r="B1904" s="4" t="s">
        <v>7794</v>
      </c>
      <c r="C1904" s="4" t="s">
        <v>3025</v>
      </c>
      <c r="D1904" s="4" t="s">
        <v>7795</v>
      </c>
      <c r="E1904" s="5" t="n">
        <v>27928</v>
      </c>
      <c r="F1904" s="4" t="n">
        <v>1</v>
      </c>
      <c r="G1904" s="4" t="s">
        <v>7796</v>
      </c>
      <c r="H1904" s="4" t="n">
        <v>46.24585</v>
      </c>
      <c r="I1904" s="4" t="n">
        <v>-114.1595</v>
      </c>
      <c r="J1904" s="4" t="s">
        <v>7797</v>
      </c>
      <c r="K1904" s="6" t="str">
        <f aca="false">HYPERLINK("https://www.google.com/search?q=Bitterroot+Public+Library+Hamilton+MT+library+website","Search")</f>
        <v>Search</v>
      </c>
      <c r="L1904" s="7"/>
      <c r="M1904" s="7"/>
    </row>
    <row r="1905" customFormat="false" ht="15" hidden="false" customHeight="true" outlineLevel="0" collapsed="false">
      <c r="A1905" s="4" t="s">
        <v>7779</v>
      </c>
      <c r="B1905" s="4" t="s">
        <v>7798</v>
      </c>
      <c r="C1905" s="4" t="s">
        <v>7799</v>
      </c>
      <c r="D1905" s="4" t="s">
        <v>7782</v>
      </c>
      <c r="E1905" s="5" t="n">
        <v>84410</v>
      </c>
      <c r="F1905" s="4" t="n">
        <v>1</v>
      </c>
      <c r="G1905" s="4" t="s">
        <v>7800</v>
      </c>
      <c r="H1905" s="4" t="n">
        <v>45.67935</v>
      </c>
      <c r="I1905" s="4" t="n">
        <v>-111.02721</v>
      </c>
      <c r="J1905" s="4" t="s">
        <v>7801</v>
      </c>
      <c r="K1905" s="6" t="str">
        <f aca="false">HYPERLINK("https://www.google.com/search?q=Bozeman+Public+Library+Bozeman+MT+library+website","Search")</f>
        <v>Search</v>
      </c>
      <c r="L1905" s="7"/>
      <c r="M1905" s="7"/>
    </row>
    <row r="1906" customFormat="false" ht="15" hidden="false" customHeight="true" outlineLevel="0" collapsed="false">
      <c r="A1906" s="4" t="s">
        <v>7779</v>
      </c>
      <c r="B1906" s="4" t="s">
        <v>7802</v>
      </c>
      <c r="C1906" s="4" t="s">
        <v>948</v>
      </c>
      <c r="D1906" s="4" t="s">
        <v>7803</v>
      </c>
      <c r="E1906" s="5" t="n">
        <v>35133</v>
      </c>
      <c r="F1906" s="4" t="n">
        <v>2</v>
      </c>
      <c r="G1906" s="4" t="s">
        <v>7804</v>
      </c>
      <c r="H1906" s="4" t="n">
        <v>46.01335</v>
      </c>
      <c r="I1906" s="4" t="n">
        <v>-112.54018</v>
      </c>
      <c r="J1906" s="4" t="s">
        <v>7805</v>
      </c>
      <c r="K1906" s="6" t="str">
        <f aca="false">HYPERLINK("https://www.google.com/search?q=Butte-Silver+Bow+Public+Library+Butte+MT+library+website","Search")</f>
        <v>Search</v>
      </c>
      <c r="L1906" s="7"/>
      <c r="M1906" s="7"/>
    </row>
    <row r="1907" customFormat="false" ht="15" hidden="false" customHeight="true" outlineLevel="0" collapsed="false">
      <c r="A1907" s="4" t="s">
        <v>7779</v>
      </c>
      <c r="B1907" s="4" t="s">
        <v>7806</v>
      </c>
      <c r="C1907" s="4" t="s">
        <v>7807</v>
      </c>
      <c r="D1907" s="4" t="s">
        <v>7808</v>
      </c>
      <c r="E1907" s="5" t="n">
        <v>13778</v>
      </c>
      <c r="F1907" s="4" t="n">
        <v>3</v>
      </c>
      <c r="G1907" s="4" t="s">
        <v>7809</v>
      </c>
      <c r="H1907" s="4" t="n">
        <v>48.63507</v>
      </c>
      <c r="I1907" s="4" t="n">
        <v>-112.3317</v>
      </c>
      <c r="J1907" s="4" t="s">
        <v>7810</v>
      </c>
      <c r="K1907" s="6" t="str">
        <f aca="false">HYPERLINK("https://www.google.com/search?q=Glacier+County+Library+Cut+Bank+MT+library+website","Search")</f>
        <v>Search</v>
      </c>
      <c r="L1907" s="7"/>
      <c r="M1907" s="7"/>
    </row>
    <row r="1908" customFormat="false" ht="15" hidden="false" customHeight="true" outlineLevel="0" collapsed="false">
      <c r="A1908" s="4" t="s">
        <v>7779</v>
      </c>
      <c r="B1908" s="4" t="s">
        <v>7811</v>
      </c>
      <c r="C1908" s="4" t="s">
        <v>7812</v>
      </c>
      <c r="D1908" s="4" t="s">
        <v>7813</v>
      </c>
      <c r="E1908" s="5" t="n">
        <v>81475</v>
      </c>
      <c r="F1908" s="4" t="n">
        <v>1</v>
      </c>
      <c r="G1908" s="4" t="s">
        <v>7814</v>
      </c>
      <c r="H1908" s="4" t="n">
        <v>47.50754</v>
      </c>
      <c r="I1908" s="4" t="n">
        <v>-111.30204</v>
      </c>
      <c r="J1908" s="4" t="s">
        <v>7815</v>
      </c>
      <c r="K1908" s="6" t="str">
        <f aca="false">HYPERLINK("https://www.google.com/search?q=Great+Falls+Public+Library+Great+Falls+MT+library+website","Search")</f>
        <v>Search</v>
      </c>
      <c r="L1908" s="7"/>
      <c r="M1908" s="7"/>
    </row>
    <row r="1909" customFormat="false" ht="15" hidden="false" customHeight="true" outlineLevel="0" collapsed="false">
      <c r="A1909" s="4" t="s">
        <v>7779</v>
      </c>
      <c r="B1909" s="4" t="s">
        <v>7816</v>
      </c>
      <c r="C1909" s="4" t="s">
        <v>7817</v>
      </c>
      <c r="D1909" s="4" t="s">
        <v>7818</v>
      </c>
      <c r="E1909" s="5" t="n">
        <v>16309</v>
      </c>
      <c r="F1909" s="4" t="n">
        <v>1</v>
      </c>
      <c r="G1909" s="4" t="s">
        <v>7819</v>
      </c>
      <c r="H1909" s="4" t="n">
        <v>48.55129</v>
      </c>
      <c r="I1909" s="4" t="n">
        <v>-109.67674</v>
      </c>
      <c r="J1909" s="4" t="s">
        <v>7820</v>
      </c>
      <c r="K1909" s="6" t="str">
        <f aca="false">HYPERLINK("https://www.google.com/search?q=Havre-Hill+County+Library+Havre+MT+library+website","Search")</f>
        <v>Search</v>
      </c>
      <c r="L1909" s="7"/>
      <c r="M1909" s="7"/>
    </row>
    <row r="1910" customFormat="false" ht="15" hidden="false" customHeight="true" outlineLevel="0" collapsed="false">
      <c r="A1910" s="4" t="s">
        <v>7779</v>
      </c>
      <c r="B1910" s="4" t="s">
        <v>7821</v>
      </c>
      <c r="C1910" s="4" t="s">
        <v>7822</v>
      </c>
      <c r="D1910" s="4" t="s">
        <v>7823</v>
      </c>
      <c r="E1910" s="5" t="n">
        <v>96606</v>
      </c>
      <c r="F1910" s="4" t="n">
        <v>4</v>
      </c>
      <c r="G1910" s="4" t="s">
        <v>7824</v>
      </c>
      <c r="H1910" s="4" t="n">
        <v>48.19613</v>
      </c>
      <c r="I1910" s="4" t="n">
        <v>-114.3112</v>
      </c>
      <c r="J1910" s="4" t="s">
        <v>7825</v>
      </c>
      <c r="K1910" s="6" t="str">
        <f aca="false">HYPERLINK("https://www.google.com/search?q=Imagineif+Kalispell+Kalispell+MT+library+website","Search")</f>
        <v>Search</v>
      </c>
      <c r="L1910" s="7"/>
      <c r="M1910" s="7"/>
    </row>
    <row r="1911" customFormat="false" ht="15" hidden="false" customHeight="true" outlineLevel="0" collapsed="false">
      <c r="A1911" s="4" t="s">
        <v>7779</v>
      </c>
      <c r="B1911" s="4" t="s">
        <v>7826</v>
      </c>
      <c r="C1911" s="4" t="s">
        <v>240</v>
      </c>
      <c r="D1911" s="4" t="s">
        <v>7827</v>
      </c>
      <c r="E1911" s="5" t="n">
        <v>70973</v>
      </c>
      <c r="F1911" s="4" t="n">
        <v>4</v>
      </c>
      <c r="G1911" s="4" t="s">
        <v>7828</v>
      </c>
      <c r="H1911" s="4" t="n">
        <v>46.58498</v>
      </c>
      <c r="I1911" s="4" t="n">
        <v>-112.0415</v>
      </c>
      <c r="J1911" s="4" t="s">
        <v>7829</v>
      </c>
      <c r="K1911" s="6" t="str">
        <f aca="false">HYPERLINK("https://www.google.com/search?q=Lewis+And+Clark+Library+Helena+MT+library+website","Search")</f>
        <v>Search</v>
      </c>
      <c r="L1911" s="7"/>
      <c r="M1911" s="7"/>
    </row>
    <row r="1912" customFormat="false" ht="15" hidden="false" customHeight="true" outlineLevel="0" collapsed="false">
      <c r="A1912" s="4" t="s">
        <v>7779</v>
      </c>
      <c r="B1912" s="4" t="s">
        <v>7830</v>
      </c>
      <c r="C1912" s="4" t="s">
        <v>7831</v>
      </c>
      <c r="D1912" s="4" t="s">
        <v>1131</v>
      </c>
      <c r="E1912" s="5" t="n">
        <v>19677</v>
      </c>
      <c r="F1912" s="4" t="n">
        <v>3</v>
      </c>
      <c r="G1912" s="4" t="s">
        <v>7832</v>
      </c>
      <c r="H1912" s="4" t="n">
        <v>48.39121</v>
      </c>
      <c r="I1912" s="4" t="n">
        <v>-115.55495</v>
      </c>
      <c r="J1912" s="4" t="s">
        <v>7833</v>
      </c>
      <c r="K1912" s="6" t="str">
        <f aca="false">HYPERLINK("https://www.google.com/search?q=Lincoln+County+Public+Libraries+Libby+MT+library+website","Search")</f>
        <v>Search</v>
      </c>
      <c r="L1912" s="7"/>
      <c r="M1912" s="7"/>
    </row>
    <row r="1913" customFormat="false" ht="15" hidden="false" customHeight="true" outlineLevel="0" collapsed="false">
      <c r="A1913" s="4" t="s">
        <v>7779</v>
      </c>
      <c r="B1913" s="4" t="s">
        <v>7834</v>
      </c>
      <c r="C1913" s="4" t="s">
        <v>3979</v>
      </c>
      <c r="D1913" s="4" t="s">
        <v>1721</v>
      </c>
      <c r="E1913" s="5" t="n">
        <v>17191</v>
      </c>
      <c r="F1913" s="4" t="n">
        <v>1</v>
      </c>
      <c r="G1913" s="4" t="s">
        <v>7835</v>
      </c>
      <c r="H1913" s="4" t="n">
        <v>45.66028</v>
      </c>
      <c r="I1913" s="4" t="n">
        <v>-110.56221</v>
      </c>
      <c r="J1913" s="4" t="s">
        <v>7836</v>
      </c>
      <c r="K1913" s="6" t="str">
        <f aca="false">HYPERLINK("https://www.google.com/search?q=Livingston-Park+County+Public+Library+Livingston+MT+library+website","Search")</f>
        <v>Search</v>
      </c>
      <c r="L1913" s="7"/>
      <c r="M1913" s="7"/>
    </row>
    <row r="1914" customFormat="false" ht="15" hidden="false" customHeight="true" outlineLevel="0" collapsed="false">
      <c r="A1914" s="4" t="s">
        <v>7779</v>
      </c>
      <c r="B1914" s="4" t="s">
        <v>7837</v>
      </c>
      <c r="C1914" s="4" t="s">
        <v>7838</v>
      </c>
      <c r="D1914" s="4" t="s">
        <v>7839</v>
      </c>
      <c r="E1914" s="5" t="n">
        <v>11867</v>
      </c>
      <c r="F1914" s="4" t="n">
        <v>1</v>
      </c>
      <c r="G1914" s="4" t="s">
        <v>7840</v>
      </c>
      <c r="H1914" s="4" t="n">
        <v>46.40742</v>
      </c>
      <c r="I1914" s="4" t="n">
        <v>-105.84566</v>
      </c>
      <c r="J1914" s="4" t="s">
        <v>7841</v>
      </c>
      <c r="K1914" s="6" t="str">
        <f aca="false">HYPERLINK("https://www.google.com/search?q=Miles+City+Public+Library+Miles+City+MT+library+website","Search")</f>
        <v>Search</v>
      </c>
      <c r="L1914" s="7"/>
      <c r="M1914" s="7"/>
    </row>
    <row r="1915" customFormat="false" ht="15" hidden="false" customHeight="true" outlineLevel="0" collapsed="false">
      <c r="A1915" s="4" t="s">
        <v>7779</v>
      </c>
      <c r="B1915" s="4" t="s">
        <v>7842</v>
      </c>
      <c r="C1915" s="4" t="s">
        <v>7843</v>
      </c>
      <c r="D1915" s="4" t="s">
        <v>7843</v>
      </c>
      <c r="E1915" s="5" t="n">
        <v>117922</v>
      </c>
      <c r="F1915" s="4" t="n">
        <v>7</v>
      </c>
      <c r="G1915" s="4" t="s">
        <v>7844</v>
      </c>
      <c r="H1915" s="4" t="n">
        <v>46.86998</v>
      </c>
      <c r="I1915" s="4" t="n">
        <v>-113.98966</v>
      </c>
      <c r="J1915" s="4" t="s">
        <v>7845</v>
      </c>
      <c r="K1915" s="6" t="str">
        <f aca="false">HYPERLINK("https://www.google.com/search?q=Missoula+Public+Library+Missoula+MT+library+website","Search")</f>
        <v>Search</v>
      </c>
      <c r="L1915" s="7"/>
      <c r="M1915" s="7"/>
    </row>
    <row r="1916" customFormat="false" ht="15" hidden="false" customHeight="true" outlineLevel="0" collapsed="false">
      <c r="A1916" s="4" t="s">
        <v>7779</v>
      </c>
      <c r="B1916" s="4" t="s">
        <v>7846</v>
      </c>
      <c r="C1916" s="4" t="s">
        <v>7847</v>
      </c>
      <c r="D1916" s="4" t="s">
        <v>1118</v>
      </c>
      <c r="E1916" s="5" t="n">
        <v>12688</v>
      </c>
      <c r="F1916" s="4" t="n">
        <v>1</v>
      </c>
      <c r="G1916" s="4" t="s">
        <v>7848</v>
      </c>
      <c r="H1916" s="4" t="n">
        <v>47.69543</v>
      </c>
      <c r="I1916" s="4" t="n">
        <v>-114.1623</v>
      </c>
      <c r="J1916" s="4" t="s">
        <v>7849</v>
      </c>
      <c r="K1916" s="6" t="str">
        <f aca="false">HYPERLINK("https://www.google.com/search?q=North+Lake+County+Public+Library+Polson+MT+library+website","Search")</f>
        <v>Search</v>
      </c>
      <c r="L1916" s="7"/>
      <c r="M1916" s="7"/>
    </row>
    <row r="1917" customFormat="false" ht="15" hidden="false" customHeight="true" outlineLevel="0" collapsed="false">
      <c r="A1917" s="4" t="s">
        <v>7779</v>
      </c>
      <c r="B1917" s="4" t="s">
        <v>7850</v>
      </c>
      <c r="C1917" s="4" t="s">
        <v>6805</v>
      </c>
      <c r="D1917" s="4" t="s">
        <v>7795</v>
      </c>
      <c r="E1917" s="5" t="n">
        <v>11923</v>
      </c>
      <c r="F1917" s="4" t="n">
        <v>1</v>
      </c>
      <c r="G1917" s="4" t="s">
        <v>7851</v>
      </c>
      <c r="H1917" s="4" t="n">
        <v>46.51091</v>
      </c>
      <c r="I1917" s="4" t="n">
        <v>-114.0932</v>
      </c>
      <c r="J1917" s="4" t="s">
        <v>7852</v>
      </c>
      <c r="K1917" s="6" t="str">
        <f aca="false">HYPERLINK("https://www.google.com/search?q=North+Valley+Public+Library+Stevensville+MT+library+website","Search")</f>
        <v>Search</v>
      </c>
      <c r="L1917" s="7"/>
      <c r="M1917" s="7"/>
    </row>
    <row r="1918" customFormat="false" ht="15" hidden="false" customHeight="true" outlineLevel="0" collapsed="false">
      <c r="A1918" s="4" t="s">
        <v>7779</v>
      </c>
      <c r="B1918" s="4" t="s">
        <v>7853</v>
      </c>
      <c r="C1918" s="4" t="s">
        <v>7854</v>
      </c>
      <c r="D1918" s="4" t="s">
        <v>7855</v>
      </c>
      <c r="E1918" s="5" t="n">
        <v>10794</v>
      </c>
      <c r="F1918" s="4" t="n">
        <v>3</v>
      </c>
      <c r="G1918" s="4" t="s">
        <v>7856</v>
      </c>
      <c r="H1918" s="4" t="n">
        <v>48.08954</v>
      </c>
      <c r="I1918" s="4" t="n">
        <v>-105.63879</v>
      </c>
      <c r="J1918" s="4" t="s">
        <v>7857</v>
      </c>
      <c r="K1918" s="6" t="str">
        <f aca="false">HYPERLINK("https://www.google.com/search?q=Roosevelt+County+Library+Wolf+Point+MT+library+website","Search")</f>
        <v>Search</v>
      </c>
      <c r="L1918" s="7"/>
      <c r="M1918" s="7"/>
    </row>
    <row r="1919" customFormat="false" ht="15" hidden="false" customHeight="true" outlineLevel="0" collapsed="false">
      <c r="A1919" s="4" t="s">
        <v>7779</v>
      </c>
      <c r="B1919" s="4" t="s">
        <v>7858</v>
      </c>
      <c r="C1919" s="4" t="s">
        <v>7859</v>
      </c>
      <c r="D1919" s="4" t="s">
        <v>5379</v>
      </c>
      <c r="E1919" s="5" t="n">
        <v>11491</v>
      </c>
      <c r="F1919" s="4" t="n">
        <v>1</v>
      </c>
      <c r="G1919" s="4" t="s">
        <v>7860</v>
      </c>
      <c r="H1919" s="4" t="n">
        <v>47.71689</v>
      </c>
      <c r="I1919" s="4" t="n">
        <v>-104.15947</v>
      </c>
      <c r="J1919" s="4" t="s">
        <v>7861</v>
      </c>
      <c r="K1919" s="6" t="str">
        <f aca="false">HYPERLINK("https://www.google.com/search?q=Sidney-Richland+County+Library+Sidney+MT+library+website","Search")</f>
        <v>Search</v>
      </c>
      <c r="L1919" s="7"/>
      <c r="M1919" s="7"/>
    </row>
    <row r="1920" customFormat="false" ht="15" hidden="false" customHeight="true" outlineLevel="0" collapsed="false">
      <c r="A1920" s="4" t="s">
        <v>7862</v>
      </c>
      <c r="B1920" s="4" t="s">
        <v>7863</v>
      </c>
      <c r="C1920" s="4" t="s">
        <v>2903</v>
      </c>
      <c r="D1920" s="4" t="s">
        <v>7864</v>
      </c>
      <c r="E1920" s="5" t="n">
        <v>169813</v>
      </c>
      <c r="F1920" s="4" t="n">
        <v>4</v>
      </c>
      <c r="G1920" s="4" t="s">
        <v>7865</v>
      </c>
      <c r="H1920" s="4" t="n">
        <v>36.09279</v>
      </c>
      <c r="I1920" s="4" t="n">
        <v>-79.43682</v>
      </c>
      <c r="J1920" s="4" t="s">
        <v>7866</v>
      </c>
      <c r="K1920" s="6" t="str">
        <f aca="false">HYPERLINK("https://www.google.com/search?q=Alamance+County+Public+Libraries+Burlington+NC+library+website","Search")</f>
        <v>Search</v>
      </c>
      <c r="L1920" s="7"/>
      <c r="M1920" s="8" t="str">
        <f aca="false">HYPERLINK("https://alamancelibraries.overdrive.com","https://alamancelibraries.overdrive.com")</f>
        <v>https://alamancelibraries.overdrive.com</v>
      </c>
    </row>
    <row r="1921" customFormat="false" ht="15" hidden="false" customHeight="true" outlineLevel="0" collapsed="false">
      <c r="A1921" s="4" t="s">
        <v>7862</v>
      </c>
      <c r="B1921" s="4" t="s">
        <v>7867</v>
      </c>
      <c r="C1921" s="4" t="s">
        <v>7868</v>
      </c>
      <c r="D1921" s="4" t="s">
        <v>7869</v>
      </c>
      <c r="E1921" s="5" t="n">
        <v>64526</v>
      </c>
      <c r="F1921" s="4" t="n">
        <v>7</v>
      </c>
      <c r="G1921" s="4" t="s">
        <v>7870</v>
      </c>
      <c r="H1921" s="4" t="n">
        <v>36.39703</v>
      </c>
      <c r="I1921" s="4" t="n">
        <v>-76.93495</v>
      </c>
      <c r="J1921" s="4" t="s">
        <v>7871</v>
      </c>
      <c r="K1921" s="6" t="str">
        <f aca="false">HYPERLINK("https://www.google.com/search?q=Albemarle+Regional+Library+Winton+NC+library+website","Search")</f>
        <v>Search</v>
      </c>
      <c r="L1921" s="7"/>
      <c r="M1921" s="7"/>
    </row>
    <row r="1922" customFormat="false" ht="15" hidden="false" customHeight="true" outlineLevel="0" collapsed="false">
      <c r="A1922" s="4" t="s">
        <v>7862</v>
      </c>
      <c r="B1922" s="4" t="s">
        <v>7872</v>
      </c>
      <c r="C1922" s="4" t="s">
        <v>5174</v>
      </c>
      <c r="D1922" s="4" t="s">
        <v>7873</v>
      </c>
      <c r="E1922" s="5" t="n">
        <v>36325</v>
      </c>
      <c r="F1922" s="4" t="n">
        <v>3</v>
      </c>
      <c r="G1922" s="4" t="s">
        <v>7874</v>
      </c>
      <c r="H1922" s="4" t="n">
        <v>35.9209</v>
      </c>
      <c r="I1922" s="4" t="n">
        <v>-81.17594</v>
      </c>
      <c r="J1922" s="4" t="s">
        <v>7875</v>
      </c>
      <c r="K1922" s="6" t="str">
        <f aca="false">HYPERLINK("https://www.google.com/search?q=Alexander+County+Library+Taylorsville+NC+library+website","Search")</f>
        <v>Search</v>
      </c>
      <c r="L1922" s="7"/>
      <c r="M1922" s="7"/>
    </row>
    <row r="1923" customFormat="false" ht="15" hidden="false" customHeight="true" outlineLevel="0" collapsed="false">
      <c r="A1923" s="4" t="s">
        <v>7862</v>
      </c>
      <c r="B1923" s="4" t="s">
        <v>7876</v>
      </c>
      <c r="C1923" s="4" t="s">
        <v>7877</v>
      </c>
      <c r="D1923" s="4" t="s">
        <v>7878</v>
      </c>
      <c r="E1923" s="5" t="n">
        <v>146871</v>
      </c>
      <c r="F1923" s="4" t="n">
        <v>5</v>
      </c>
      <c r="G1923" s="4" t="s">
        <v>7879</v>
      </c>
      <c r="H1923" s="4" t="n">
        <v>36.40057</v>
      </c>
      <c r="I1923" s="4" t="n">
        <v>-81.49367</v>
      </c>
      <c r="J1923" s="4" t="s">
        <v>7880</v>
      </c>
      <c r="K1923" s="6" t="str">
        <f aca="false">HYPERLINK("https://www.google.com/search?q=Appalachian+Regional+Library+West+Jefferson+NC+library+website","Search")</f>
        <v>Search</v>
      </c>
      <c r="L1923" s="7"/>
      <c r="M1923" s="7"/>
    </row>
    <row r="1924" customFormat="false" ht="15" hidden="false" customHeight="true" outlineLevel="0" collapsed="false">
      <c r="A1924" s="4" t="s">
        <v>7862</v>
      </c>
      <c r="B1924" s="4" t="s">
        <v>7881</v>
      </c>
      <c r="C1924" s="4" t="s">
        <v>7882</v>
      </c>
      <c r="D1924" s="4" t="s">
        <v>7883</v>
      </c>
      <c r="E1924" s="5" t="n">
        <v>51354</v>
      </c>
      <c r="F1924" s="4" t="n">
        <v>4</v>
      </c>
      <c r="G1924" s="4" t="s">
        <v>7884</v>
      </c>
      <c r="H1924" s="4" t="n">
        <v>35.91572</v>
      </c>
      <c r="I1924" s="4" t="n">
        <v>-82.26215</v>
      </c>
      <c r="J1924" s="4" t="s">
        <v>7885</v>
      </c>
      <c r="K1924" s="6" t="str">
        <f aca="false">HYPERLINK("https://www.google.com/search?q=Avery-Mitchell-Yancey+Regional+Library+Burnsville+NC+library+website","Search")</f>
        <v>Search</v>
      </c>
      <c r="L1924" s="7"/>
      <c r="M1924" s="7"/>
    </row>
    <row r="1925" customFormat="false" ht="15" hidden="false" customHeight="true" outlineLevel="0" collapsed="false">
      <c r="A1925" s="4" t="s">
        <v>7862</v>
      </c>
      <c r="B1925" s="4" t="s">
        <v>7886</v>
      </c>
      <c r="C1925" s="4" t="s">
        <v>441</v>
      </c>
      <c r="D1925" s="4" t="s">
        <v>7887</v>
      </c>
      <c r="E1925" s="5" t="n">
        <v>61032</v>
      </c>
      <c r="F1925" s="4" t="n">
        <v>8</v>
      </c>
      <c r="G1925" s="4" t="s">
        <v>7888</v>
      </c>
      <c r="H1925" s="4" t="n">
        <v>35.5431</v>
      </c>
      <c r="I1925" s="4" t="n">
        <v>-77.05442</v>
      </c>
      <c r="J1925" s="4" t="s">
        <v>7889</v>
      </c>
      <c r="K1925" s="6" t="str">
        <f aca="false">HYPERLINK("https://www.google.com/search?q=Beaufort-Hyde-Martin+Regional+Library+Washington+NC+library+website","Search")</f>
        <v>Search</v>
      </c>
      <c r="L1925" s="7"/>
      <c r="M1925" s="7"/>
    </row>
    <row r="1926" customFormat="false" ht="15" hidden="false" customHeight="true" outlineLevel="0" collapsed="false">
      <c r="A1926" s="4" t="s">
        <v>7862</v>
      </c>
      <c r="B1926" s="4" t="s">
        <v>7890</v>
      </c>
      <c r="C1926" s="4" t="s">
        <v>4957</v>
      </c>
      <c r="D1926" s="4" t="s">
        <v>7891</v>
      </c>
      <c r="E1926" s="5" t="n">
        <v>29402</v>
      </c>
      <c r="F1926" s="4" t="n">
        <v>3</v>
      </c>
      <c r="G1926" s="4" t="s">
        <v>7892</v>
      </c>
      <c r="H1926" s="4" t="n">
        <v>34.62937</v>
      </c>
      <c r="I1926" s="4" t="n">
        <v>-78.60379</v>
      </c>
      <c r="J1926" s="4" t="s">
        <v>7893</v>
      </c>
      <c r="K1926" s="6" t="str">
        <f aca="false">HYPERLINK("https://www.google.com/search?q=Bladen+County+Public+Library+Elizabethtown+NC+library+website","Search")</f>
        <v>Search</v>
      </c>
      <c r="L1926" s="7"/>
      <c r="M1926" s="7"/>
    </row>
    <row r="1927" customFormat="false" ht="15" hidden="false" customHeight="true" outlineLevel="0" collapsed="false">
      <c r="A1927" s="4" t="s">
        <v>7862</v>
      </c>
      <c r="B1927" s="4" t="s">
        <v>7894</v>
      </c>
      <c r="C1927" s="4" t="s">
        <v>7895</v>
      </c>
      <c r="D1927" s="4" t="s">
        <v>7896</v>
      </c>
      <c r="E1927" s="5" t="n">
        <v>89736</v>
      </c>
      <c r="F1927" s="4" t="n">
        <v>5</v>
      </c>
      <c r="G1927" s="4" t="s">
        <v>7897</v>
      </c>
      <c r="H1927" s="4" t="n">
        <v>35.95003</v>
      </c>
      <c r="I1927" s="4" t="n">
        <v>-77.79663</v>
      </c>
      <c r="J1927" s="4" t="s">
        <v>7898</v>
      </c>
      <c r="K1927" s="6" t="str">
        <f aca="false">HYPERLINK("https://www.google.com/search?q=Braswell+Memorial+Public+Library+Rocky+Mount+NC+library+website","Search")</f>
        <v>Search</v>
      </c>
      <c r="L1927" s="7"/>
      <c r="M1927" s="7"/>
    </row>
    <row r="1928" customFormat="false" ht="15" hidden="false" customHeight="true" outlineLevel="0" collapsed="false">
      <c r="A1928" s="4" t="s">
        <v>7862</v>
      </c>
      <c r="B1928" s="4" t="s">
        <v>7899</v>
      </c>
      <c r="C1928" s="4" t="s">
        <v>2053</v>
      </c>
      <c r="D1928" s="4" t="s">
        <v>2744</v>
      </c>
      <c r="E1928" s="5" t="n">
        <v>143550</v>
      </c>
      <c r="F1928" s="4" t="n">
        <v>5</v>
      </c>
      <c r="G1928" s="4" t="s">
        <v>7900</v>
      </c>
      <c r="H1928" s="4" t="n">
        <v>33.91805</v>
      </c>
      <c r="I1928" s="4" t="n">
        <v>-78.01998</v>
      </c>
      <c r="J1928" s="4" t="s">
        <v>7901</v>
      </c>
      <c r="K1928" s="6" t="str">
        <f aca="false">HYPERLINK("https://www.google.com/search?q=Brunswick+County+Library+Southport+NC+library+website","Search")</f>
        <v>Search</v>
      </c>
      <c r="L1928" s="7"/>
      <c r="M1928" s="8" t="str">
        <f aca="false">HYPERLINK("https://brunswickcounty.overdrive.com","https://brunswickcounty.overdrive.com")</f>
        <v>https://brunswickcounty.overdrive.com</v>
      </c>
    </row>
    <row r="1929" customFormat="false" ht="15" hidden="false" customHeight="true" outlineLevel="0" collapsed="false">
      <c r="A1929" s="4" t="s">
        <v>7862</v>
      </c>
      <c r="B1929" s="4" t="s">
        <v>7902</v>
      </c>
      <c r="C1929" s="4" t="s">
        <v>7903</v>
      </c>
      <c r="D1929" s="4" t="s">
        <v>7904</v>
      </c>
      <c r="E1929" s="5" t="n">
        <v>271454</v>
      </c>
      <c r="F1929" s="4" t="n">
        <v>12</v>
      </c>
      <c r="G1929" s="4" t="s">
        <v>7905</v>
      </c>
      <c r="H1929" s="4" t="n">
        <v>35.59642</v>
      </c>
      <c r="I1929" s="4" t="n">
        <v>-82.55518</v>
      </c>
      <c r="J1929" s="4" t="s">
        <v>7906</v>
      </c>
      <c r="K1929" s="6" t="str">
        <f aca="false">HYPERLINK("https://www.google.com/search?q=Buncombe+County+Public+Libraries+Asheville+NC+library+website","Search")</f>
        <v>Search</v>
      </c>
      <c r="L1929" s="7"/>
      <c r="M1929" s="7"/>
    </row>
    <row r="1930" customFormat="false" ht="15" hidden="false" customHeight="true" outlineLevel="0" collapsed="false">
      <c r="A1930" s="4" t="s">
        <v>7862</v>
      </c>
      <c r="B1930" s="4" t="s">
        <v>7907</v>
      </c>
      <c r="C1930" s="4" t="s">
        <v>7908</v>
      </c>
      <c r="D1930" s="4" t="s">
        <v>7909</v>
      </c>
      <c r="E1930" s="5" t="n">
        <v>87731</v>
      </c>
      <c r="F1930" s="4" t="n">
        <v>3</v>
      </c>
      <c r="G1930" s="4" t="s">
        <v>7910</v>
      </c>
      <c r="H1930" s="4" t="n">
        <v>35.74332</v>
      </c>
      <c r="I1930" s="4" t="n">
        <v>-81.68732</v>
      </c>
      <c r="J1930" s="4" t="s">
        <v>7911</v>
      </c>
      <c r="K1930" s="6" t="str">
        <f aca="false">HYPERLINK("https://www.google.com/search?q=Burke+County+Public+Library+Morganton+NC+library+website","Search")</f>
        <v>Search</v>
      </c>
      <c r="L1930" s="7"/>
      <c r="M1930" s="7"/>
    </row>
    <row r="1931" customFormat="false" ht="15" hidden="false" customHeight="true" outlineLevel="0" collapsed="false">
      <c r="A1931" s="4" t="s">
        <v>7862</v>
      </c>
      <c r="B1931" s="4" t="s">
        <v>7912</v>
      </c>
      <c r="C1931" s="4" t="s">
        <v>5615</v>
      </c>
      <c r="D1931" s="4" t="s">
        <v>7913</v>
      </c>
      <c r="E1931" s="5" t="n">
        <v>231230</v>
      </c>
      <c r="F1931" s="4" t="n">
        <v>5</v>
      </c>
      <c r="G1931" s="4" t="s">
        <v>7914</v>
      </c>
      <c r="H1931" s="4" t="n">
        <v>35.41114</v>
      </c>
      <c r="I1931" s="4" t="n">
        <v>-80.58204</v>
      </c>
      <c r="J1931" s="4" t="s">
        <v>7915</v>
      </c>
      <c r="K1931" s="6" t="str">
        <f aca="false">HYPERLINK("https://www.google.com/search?q=Cabarrus+County+Public+Library+Concord+NC+library+website","Search")</f>
        <v>Search</v>
      </c>
      <c r="L1931" s="7"/>
      <c r="M1931" s="8" t="str">
        <f aca="false">HYPERLINK("https://cabconc.overdrive.com","https://cabconc.overdrive.com")</f>
        <v>https://cabconc.overdrive.com</v>
      </c>
    </row>
    <row r="1932" customFormat="false" ht="15" hidden="false" customHeight="true" outlineLevel="0" collapsed="false">
      <c r="A1932" s="4" t="s">
        <v>7862</v>
      </c>
      <c r="B1932" s="4" t="s">
        <v>7916</v>
      </c>
      <c r="C1932" s="4" t="s">
        <v>7917</v>
      </c>
      <c r="D1932" s="4" t="s">
        <v>3188</v>
      </c>
      <c r="E1932" s="5" t="n">
        <v>80788</v>
      </c>
      <c r="F1932" s="4" t="n">
        <v>3</v>
      </c>
      <c r="G1932" s="4" t="s">
        <v>7918</v>
      </c>
      <c r="H1932" s="4" t="n">
        <v>35.92263</v>
      </c>
      <c r="I1932" s="4" t="n">
        <v>-81.52375</v>
      </c>
      <c r="J1932" s="4" t="s">
        <v>7919</v>
      </c>
      <c r="K1932" s="6" t="str">
        <f aca="false">HYPERLINK("https://www.google.com/search?q=Caldwell+County+Public+Library+Lenoir+NC+library+website","Search")</f>
        <v>Search</v>
      </c>
      <c r="L1932" s="7"/>
      <c r="M1932" s="7"/>
    </row>
    <row r="1933" customFormat="false" ht="15" hidden="false" customHeight="true" outlineLevel="0" collapsed="false">
      <c r="A1933" s="4" t="s">
        <v>7862</v>
      </c>
      <c r="B1933" s="4" t="s">
        <v>7920</v>
      </c>
      <c r="C1933" s="4" t="s">
        <v>7887</v>
      </c>
      <c r="D1933" s="4" t="s">
        <v>7921</v>
      </c>
      <c r="E1933" s="5" t="n">
        <v>68284</v>
      </c>
      <c r="F1933" s="4" t="n">
        <v>5</v>
      </c>
      <c r="G1933" s="4" t="s">
        <v>7922</v>
      </c>
      <c r="H1933" s="4" t="n">
        <v>34.73</v>
      </c>
      <c r="I1933" s="4" t="n">
        <v>-76.63967</v>
      </c>
      <c r="J1933" s="4" t="s">
        <v>7923</v>
      </c>
      <c r="K1933" s="6" t="str">
        <f aca="false">HYPERLINK("https://www.google.com/search?q=Carteret+County+Public+Library+System+Beaufort+NC+library+website","Search")</f>
        <v>Search</v>
      </c>
      <c r="L1933" s="7"/>
      <c r="M1933" s="7"/>
    </row>
    <row r="1934" customFormat="false" ht="15" hidden="false" customHeight="true" outlineLevel="0" collapsed="false">
      <c r="A1934" s="4" t="s">
        <v>7862</v>
      </c>
      <c r="B1934" s="4" t="s">
        <v>7924</v>
      </c>
      <c r="C1934" s="4" t="s">
        <v>7925</v>
      </c>
      <c r="D1934" s="4" t="s">
        <v>7926</v>
      </c>
      <c r="E1934" s="5" t="n">
        <v>22402</v>
      </c>
      <c r="F1934" s="4" t="n">
        <v>1</v>
      </c>
      <c r="G1934" s="4" t="s">
        <v>7927</v>
      </c>
      <c r="H1934" s="4" t="n">
        <v>36.40396</v>
      </c>
      <c r="I1934" s="4" t="n">
        <v>-79.33308</v>
      </c>
      <c r="J1934" s="4" t="s">
        <v>7928</v>
      </c>
      <c r="K1934" s="6" t="str">
        <f aca="false">HYPERLINK("https://www.google.com/search?q=Caswell+County+Public+Library+Yanceyville+NC+library+website","Search")</f>
        <v>Search</v>
      </c>
      <c r="L1934" s="7"/>
      <c r="M1934" s="7"/>
    </row>
    <row r="1935" customFormat="false" ht="15" hidden="false" customHeight="true" outlineLevel="0" collapsed="false">
      <c r="A1935" s="4" t="s">
        <v>7862</v>
      </c>
      <c r="B1935" s="4" t="s">
        <v>7929</v>
      </c>
      <c r="C1935" s="4" t="s">
        <v>2762</v>
      </c>
      <c r="D1935" s="4" t="s">
        <v>7930</v>
      </c>
      <c r="E1935" s="5" t="n">
        <v>117776</v>
      </c>
      <c r="F1935" s="4" t="n">
        <v>7</v>
      </c>
      <c r="G1935" s="4" t="s">
        <v>7931</v>
      </c>
      <c r="H1935" s="4" t="n">
        <v>35.6618</v>
      </c>
      <c r="I1935" s="4" t="n">
        <v>-81.22464</v>
      </c>
      <c r="J1935" s="4" t="s">
        <v>7932</v>
      </c>
      <c r="K1935" s="6" t="str">
        <f aca="false">HYPERLINK("https://www.google.com/search?q=Catawba+County+Library+Newton+NC+library+website","Search")</f>
        <v>Search</v>
      </c>
      <c r="L1935" s="7"/>
      <c r="M1935" s="7"/>
    </row>
    <row r="1936" customFormat="false" ht="15" hidden="false" customHeight="true" outlineLevel="0" collapsed="false">
      <c r="A1936" s="4" t="s">
        <v>7862</v>
      </c>
      <c r="B1936" s="4" t="s">
        <v>7933</v>
      </c>
      <c r="C1936" s="4" t="s">
        <v>7934</v>
      </c>
      <c r="D1936" s="4" t="s">
        <v>885</v>
      </c>
      <c r="E1936" s="5" t="n">
        <v>61789</v>
      </c>
      <c r="F1936" s="4" t="n">
        <v>1</v>
      </c>
      <c r="G1936" s="4" t="s">
        <v>7935</v>
      </c>
      <c r="H1936" s="4" t="n">
        <v>35.93233</v>
      </c>
      <c r="I1936" s="4" t="n">
        <v>-79.03562</v>
      </c>
      <c r="J1936" s="4" t="s">
        <v>7936</v>
      </c>
      <c r="K1936" s="6" t="str">
        <f aca="false">HYPERLINK("https://www.google.com/search?q=Chapel+Hill+Public+Library+Chapel+Hill+NC+library+website","Search")</f>
        <v>Search</v>
      </c>
      <c r="L1936" s="7"/>
      <c r="M1936" s="7"/>
    </row>
    <row r="1937" customFormat="false" ht="15" hidden="false" customHeight="true" outlineLevel="0" collapsed="false">
      <c r="A1937" s="4" t="s">
        <v>7862</v>
      </c>
      <c r="B1937" s="4" t="s">
        <v>7937</v>
      </c>
      <c r="C1937" s="4" t="s">
        <v>2313</v>
      </c>
      <c r="D1937" s="4" t="s">
        <v>7938</v>
      </c>
      <c r="E1937" s="5" t="n">
        <v>1121482</v>
      </c>
      <c r="F1937" s="4" t="n">
        <v>21</v>
      </c>
      <c r="G1937" s="4" t="s">
        <v>7939</v>
      </c>
      <c r="H1937" s="4" t="n">
        <v>35.22903</v>
      </c>
      <c r="I1937" s="4" t="n">
        <v>-80.84039</v>
      </c>
      <c r="J1937" s="4" t="s">
        <v>7940</v>
      </c>
      <c r="K1937" s="6" t="str">
        <f aca="false">HYPERLINK("https://www.google.com/search?q=Charlotte+Mecklenburg+Library+Charlotte+NC+library+website","Search")</f>
        <v>Search</v>
      </c>
      <c r="L1937" s="7"/>
      <c r="M1937" s="8" t="str">
        <f aca="false">HYPERLINK("https://plcmc.overdrive.com","https://plcmc.overdrive.com")</f>
        <v>https://plcmc.overdrive.com</v>
      </c>
    </row>
    <row r="1938" customFormat="false" ht="15" hidden="false" customHeight="true" outlineLevel="0" collapsed="false">
      <c r="A1938" s="4" t="s">
        <v>7862</v>
      </c>
      <c r="B1938" s="4" t="s">
        <v>7941</v>
      </c>
      <c r="C1938" s="4" t="s">
        <v>7942</v>
      </c>
      <c r="D1938" s="4" t="s">
        <v>2740</v>
      </c>
      <c r="E1938" s="5" t="n">
        <v>77420</v>
      </c>
      <c r="F1938" s="4" t="n">
        <v>3</v>
      </c>
      <c r="G1938" s="4" t="s">
        <v>7943</v>
      </c>
      <c r="H1938" s="4" t="n">
        <v>35.72458</v>
      </c>
      <c r="I1938" s="4" t="n">
        <v>-79.18763</v>
      </c>
      <c r="J1938" s="4" t="s">
        <v>7944</v>
      </c>
      <c r="K1938" s="6" t="str">
        <f aca="false">HYPERLINK("https://www.google.com/search?q=Chatham+County+Public+Libraries+Pittsboro+NC+library+website","Search")</f>
        <v>Search</v>
      </c>
      <c r="L1938" s="7"/>
      <c r="M1938" s="7"/>
    </row>
    <row r="1939" customFormat="false" ht="15" hidden="false" customHeight="true" outlineLevel="0" collapsed="false">
      <c r="A1939" s="4" t="s">
        <v>7862</v>
      </c>
      <c r="B1939" s="4" t="s">
        <v>7945</v>
      </c>
      <c r="C1939" s="4" t="s">
        <v>53</v>
      </c>
      <c r="D1939" s="4" t="s">
        <v>7608</v>
      </c>
      <c r="E1939" s="5" t="n">
        <v>90647</v>
      </c>
      <c r="F1939" s="4" t="n">
        <v>2</v>
      </c>
      <c r="G1939" s="4" t="s">
        <v>7946</v>
      </c>
      <c r="H1939" s="4" t="n">
        <v>35.29271</v>
      </c>
      <c r="I1939" s="4" t="n">
        <v>-81.55614</v>
      </c>
      <c r="J1939" s="4" t="s">
        <v>7947</v>
      </c>
      <c r="K1939" s="6" t="str">
        <f aca="false">HYPERLINK("https://www.google.com/search?q=Cleveland+County+Memorial+Library+Shelby+NC+library+website","Search")</f>
        <v>Search</v>
      </c>
      <c r="L1939" s="7"/>
      <c r="M1939" s="7"/>
    </row>
    <row r="1940" customFormat="false" ht="15" hidden="false" customHeight="true" outlineLevel="0" collapsed="false">
      <c r="A1940" s="4" t="s">
        <v>7862</v>
      </c>
      <c r="B1940" s="4" t="s">
        <v>7948</v>
      </c>
      <c r="C1940" s="4" t="s">
        <v>7949</v>
      </c>
      <c r="D1940" s="4" t="s">
        <v>2626</v>
      </c>
      <c r="E1940" s="5" t="n">
        <v>50369</v>
      </c>
      <c r="F1940" s="4" t="n">
        <v>6</v>
      </c>
      <c r="G1940" s="4" t="s">
        <v>7950</v>
      </c>
      <c r="H1940" s="4" t="n">
        <v>34.33499</v>
      </c>
      <c r="I1940" s="4" t="n">
        <v>-78.70827</v>
      </c>
      <c r="J1940" s="4" t="s">
        <v>7951</v>
      </c>
      <c r="K1940" s="6" t="str">
        <f aca="false">HYPERLINK("https://www.google.com/search?q=Columbus+County+Public+Library+Whiteville+NC+library+website","Search")</f>
        <v>Search</v>
      </c>
      <c r="L1940" s="7"/>
      <c r="M1940" s="7"/>
    </row>
    <row r="1941" customFormat="false" ht="15" hidden="false" customHeight="true" outlineLevel="0" collapsed="false">
      <c r="A1941" s="4" t="s">
        <v>7862</v>
      </c>
      <c r="B1941" s="4" t="s">
        <v>7952</v>
      </c>
      <c r="C1941" s="4" t="s">
        <v>7953</v>
      </c>
      <c r="D1941" s="4" t="s">
        <v>7954</v>
      </c>
      <c r="E1941" s="5" t="n">
        <v>114322</v>
      </c>
      <c r="F1941" s="4" t="n">
        <v>5</v>
      </c>
      <c r="G1941" s="4" t="s">
        <v>7955</v>
      </c>
      <c r="H1941" s="4" t="n">
        <v>35.11096</v>
      </c>
      <c r="I1941" s="4" t="n">
        <v>-77.03963</v>
      </c>
      <c r="J1941" s="4" t="s">
        <v>7956</v>
      </c>
      <c r="K1941" s="6" t="str">
        <f aca="false">HYPERLINK("https://www.google.com/search?q=Craven-Pamlico+Regional+Library+New+Bern+NC+library+website","Search")</f>
        <v>Search</v>
      </c>
      <c r="L1941" s="7"/>
      <c r="M1941" s="8" t="str">
        <f aca="false">HYPERLINK("https://cpcregional.overdrive.com","https://cpcregional.overdrive.com")</f>
        <v>https://cpcregional.overdrive.com</v>
      </c>
    </row>
    <row r="1942" customFormat="false" ht="15" hidden="false" customHeight="true" outlineLevel="0" collapsed="false">
      <c r="A1942" s="4" t="s">
        <v>7862</v>
      </c>
      <c r="B1942" s="4" t="s">
        <v>7957</v>
      </c>
      <c r="C1942" s="4" t="s">
        <v>534</v>
      </c>
      <c r="D1942" s="4" t="s">
        <v>6161</v>
      </c>
      <c r="E1942" s="5" t="n">
        <v>342082</v>
      </c>
      <c r="F1942" s="4" t="n">
        <v>8</v>
      </c>
      <c r="G1942" s="4" t="s">
        <v>7958</v>
      </c>
      <c r="H1942" s="4" t="n">
        <v>35.0551</v>
      </c>
      <c r="I1942" s="4" t="n">
        <v>-78.88126</v>
      </c>
      <c r="J1942" s="4" t="s">
        <v>7959</v>
      </c>
      <c r="K1942" s="6" t="str">
        <f aca="false">HYPERLINK("https://www.google.com/search?q=Cumberland+County+Public+Library+Fayetteville+NC+library+website","Search")</f>
        <v>Search</v>
      </c>
      <c r="L1942" s="7"/>
      <c r="M1942" s="7"/>
    </row>
    <row r="1943" customFormat="false" ht="15" hidden="false" customHeight="true" outlineLevel="0" collapsed="false">
      <c r="A1943" s="4" t="s">
        <v>7862</v>
      </c>
      <c r="B1943" s="4" t="s">
        <v>7960</v>
      </c>
      <c r="C1943" s="4" t="s">
        <v>5037</v>
      </c>
      <c r="D1943" s="4" t="s">
        <v>7961</v>
      </c>
      <c r="E1943" s="5" t="n">
        <v>164144</v>
      </c>
      <c r="F1943" s="4" t="n">
        <v>5</v>
      </c>
      <c r="G1943" s="4" t="s">
        <v>7962</v>
      </c>
      <c r="H1943" s="4" t="n">
        <v>35.81884</v>
      </c>
      <c r="I1943" s="4" t="n">
        <v>-80.25921</v>
      </c>
      <c r="J1943" s="4" t="s">
        <v>7963</v>
      </c>
      <c r="K1943" s="6" t="str">
        <f aca="false">HYPERLINK("https://www.google.com/search?q=Davidson+County+Public+Library+System+Lexington+NC+library+website","Search")</f>
        <v>Search</v>
      </c>
      <c r="L1943" s="7"/>
      <c r="M1943" s="7"/>
    </row>
    <row r="1944" customFormat="false" ht="15" hidden="false" customHeight="true" outlineLevel="0" collapsed="false">
      <c r="A1944" s="4" t="s">
        <v>7862</v>
      </c>
      <c r="B1944" s="4" t="s">
        <v>7964</v>
      </c>
      <c r="C1944" s="4" t="s">
        <v>7965</v>
      </c>
      <c r="D1944" s="4" t="s">
        <v>7966</v>
      </c>
      <c r="E1944" s="5" t="n">
        <v>43280</v>
      </c>
      <c r="F1944" s="4" t="n">
        <v>2</v>
      </c>
      <c r="G1944" s="4" t="s">
        <v>7967</v>
      </c>
      <c r="H1944" s="4" t="n">
        <v>35.89746</v>
      </c>
      <c r="I1944" s="4" t="n">
        <v>-80.5595</v>
      </c>
      <c r="J1944" s="4" t="s">
        <v>7968</v>
      </c>
      <c r="K1944" s="6" t="str">
        <f aca="false">HYPERLINK("https://www.google.com/search?q=Davie+County+Public+Library+Mocksville+NC+library+website","Search")</f>
        <v>Search</v>
      </c>
      <c r="L1944" s="7"/>
      <c r="M1944" s="7"/>
    </row>
    <row r="1945" customFormat="false" ht="15" hidden="false" customHeight="true" outlineLevel="0" collapsed="false">
      <c r="A1945" s="4" t="s">
        <v>7862</v>
      </c>
      <c r="B1945" s="4" t="s">
        <v>7969</v>
      </c>
      <c r="C1945" s="4" t="s">
        <v>7970</v>
      </c>
      <c r="D1945" s="4" t="s">
        <v>7971</v>
      </c>
      <c r="E1945" s="5" t="n">
        <v>48754</v>
      </c>
      <c r="F1945" s="4" t="n">
        <v>6</v>
      </c>
      <c r="G1945" s="4" t="s">
        <v>7972</v>
      </c>
      <c r="H1945" s="4" t="n">
        <v>34.96349</v>
      </c>
      <c r="I1945" s="4" t="n">
        <v>-77.96447</v>
      </c>
      <c r="J1945" s="4" t="s">
        <v>7973</v>
      </c>
      <c r="K1945" s="6" t="str">
        <f aca="false">HYPERLINK("https://www.google.com/search?q=Duplin+County+Library+Kenansville+NC+library+website","Search")</f>
        <v>Search</v>
      </c>
      <c r="L1945" s="7"/>
      <c r="M1945" s="7"/>
    </row>
    <row r="1946" customFormat="false" ht="15" hidden="false" customHeight="true" outlineLevel="0" collapsed="false">
      <c r="A1946" s="4" t="s">
        <v>7862</v>
      </c>
      <c r="B1946" s="4" t="s">
        <v>7974</v>
      </c>
      <c r="C1946" s="4" t="s">
        <v>7975</v>
      </c>
      <c r="D1946" s="4" t="s">
        <v>7975</v>
      </c>
      <c r="E1946" s="5" t="n">
        <v>325072</v>
      </c>
      <c r="F1946" s="4" t="n">
        <v>7</v>
      </c>
      <c r="G1946" s="4" t="s">
        <v>7976</v>
      </c>
      <c r="H1946" s="4" t="n">
        <v>35.99745</v>
      </c>
      <c r="I1946" s="4" t="n">
        <v>-78.89834</v>
      </c>
      <c r="J1946" s="4" t="s">
        <v>7977</v>
      </c>
      <c r="K1946" s="6" t="str">
        <f aca="false">HYPERLINK("https://www.google.com/search?q=Durham+County+Library+Durham+NC+library+website","Search")</f>
        <v>Search</v>
      </c>
      <c r="L1946" s="7"/>
      <c r="M1946" s="8" t="str">
        <f aca="false">HYPERLINK("https://durhamcounty.overdrive.com","https://durhamcounty.overdrive.com")</f>
        <v>https://durhamcounty.overdrive.com</v>
      </c>
    </row>
    <row r="1947" customFormat="false" ht="15" hidden="false" customHeight="true" outlineLevel="0" collapsed="false">
      <c r="A1947" s="4" t="s">
        <v>7862</v>
      </c>
      <c r="B1947" s="4" t="s">
        <v>7978</v>
      </c>
      <c r="C1947" s="4" t="s">
        <v>7979</v>
      </c>
      <c r="D1947" s="4" t="s">
        <v>7980</v>
      </c>
      <c r="E1947" s="5" t="n">
        <v>118375</v>
      </c>
      <c r="F1947" s="4" t="n">
        <v>8</v>
      </c>
      <c r="G1947" s="4" t="s">
        <v>7981</v>
      </c>
      <c r="H1947" s="4" t="n">
        <v>36.30109</v>
      </c>
      <c r="I1947" s="4" t="n">
        <v>-76.22332</v>
      </c>
      <c r="J1947" s="4" t="s">
        <v>7982</v>
      </c>
      <c r="K1947" s="6" t="str">
        <f aca="false">HYPERLINK("https://www.google.com/search?q=East+Albemarle+Regional+Library+Elizabeth+City+NC+library+website","Search")</f>
        <v>Search</v>
      </c>
      <c r="L1947" s="7"/>
      <c r="M1947" s="7"/>
    </row>
    <row r="1948" customFormat="false" ht="15" hidden="false" customHeight="true" outlineLevel="0" collapsed="false">
      <c r="A1948" s="4" t="s">
        <v>7862</v>
      </c>
      <c r="B1948" s="4" t="s">
        <v>7983</v>
      </c>
      <c r="C1948" s="4" t="s">
        <v>7984</v>
      </c>
      <c r="D1948" s="4" t="s">
        <v>7985</v>
      </c>
      <c r="E1948" s="5" t="n">
        <v>48311</v>
      </c>
      <c r="F1948" s="4" t="n">
        <v>2</v>
      </c>
      <c r="G1948" s="4" t="s">
        <v>7986</v>
      </c>
      <c r="H1948" s="4" t="n">
        <v>35.90184</v>
      </c>
      <c r="I1948" s="4" t="n">
        <v>-77.53751</v>
      </c>
      <c r="J1948" s="4" t="s">
        <v>7987</v>
      </c>
      <c r="K1948" s="6" t="str">
        <f aca="false">HYPERLINK("https://www.google.com/search?q=Edgecombe+County+Memorial+Library+Tarboro+NC+library+website","Search")</f>
        <v>Search</v>
      </c>
      <c r="L1948" s="7"/>
      <c r="M1948" s="7"/>
    </row>
    <row r="1949" customFormat="false" ht="15" hidden="false" customHeight="true" outlineLevel="0" collapsed="false">
      <c r="A1949" s="4" t="s">
        <v>7862</v>
      </c>
      <c r="B1949" s="4" t="s">
        <v>7988</v>
      </c>
      <c r="C1949" s="4" t="s">
        <v>7989</v>
      </c>
      <c r="D1949" s="4" t="s">
        <v>7990</v>
      </c>
      <c r="E1949" s="5" t="n">
        <v>94244</v>
      </c>
      <c r="F1949" s="4" t="n">
        <v>6</v>
      </c>
      <c r="G1949" s="4" t="s">
        <v>7991</v>
      </c>
      <c r="H1949" s="4" t="n">
        <v>35.42612</v>
      </c>
      <c r="I1949" s="4" t="n">
        <v>-83.44469</v>
      </c>
      <c r="J1949" s="4" t="s">
        <v>7992</v>
      </c>
      <c r="K1949" s="6" t="str">
        <f aca="false">HYPERLINK("https://www.google.com/search?q=Fontana+Regional+Library+Bryson+City+NC+library+website","Search")</f>
        <v>Search</v>
      </c>
      <c r="L1949" s="7"/>
      <c r="M1949" s="7"/>
    </row>
    <row r="1950" customFormat="false" ht="15" hidden="false" customHeight="true" outlineLevel="0" collapsed="false">
      <c r="A1950" s="4" t="s">
        <v>7862</v>
      </c>
      <c r="B1950" s="4" t="s">
        <v>2684</v>
      </c>
      <c r="C1950" s="4" t="s">
        <v>7993</v>
      </c>
      <c r="D1950" s="4" t="s">
        <v>2686</v>
      </c>
      <c r="E1950" s="5" t="n">
        <v>383969</v>
      </c>
      <c r="F1950" s="4" t="n">
        <v>10</v>
      </c>
      <c r="G1950" s="4" t="s">
        <v>7994</v>
      </c>
      <c r="H1950" s="4" t="n">
        <v>36.09901</v>
      </c>
      <c r="I1950" s="4" t="n">
        <v>-80.2525</v>
      </c>
      <c r="J1950" s="4" t="s">
        <v>7995</v>
      </c>
      <c r="K1950" s="6" t="str">
        <f aca="false">HYPERLINK("https://www.google.com/search?q=Forsyth+County+Public+Library+Winston-Salem+NC+library+website","Search")</f>
        <v>Search</v>
      </c>
      <c r="L1950" s="7"/>
      <c r="M1950" s="7"/>
    </row>
    <row r="1951" customFormat="false" ht="15" hidden="false" customHeight="true" outlineLevel="0" collapsed="false">
      <c r="A1951" s="4" t="s">
        <v>7862</v>
      </c>
      <c r="B1951" s="4" t="s">
        <v>7996</v>
      </c>
      <c r="C1951" s="4" t="s">
        <v>7997</v>
      </c>
      <c r="D1951" s="4" t="s">
        <v>384</v>
      </c>
      <c r="E1951" s="5" t="n">
        <v>71220</v>
      </c>
      <c r="F1951" s="4" t="n">
        <v>4</v>
      </c>
      <c r="G1951" s="4" t="s">
        <v>7998</v>
      </c>
      <c r="H1951" s="4" t="n">
        <v>36.10983</v>
      </c>
      <c r="I1951" s="4" t="n">
        <v>-78.29656</v>
      </c>
      <c r="J1951" s="4" t="s">
        <v>7999</v>
      </c>
      <c r="K1951" s="6" t="str">
        <f aca="false">HYPERLINK("https://www.google.com/search?q=Franklin+County+Library+Louisburg+NC+library+website","Search")</f>
        <v>Search</v>
      </c>
      <c r="L1951" s="7"/>
      <c r="M1951" s="7"/>
    </row>
    <row r="1952" customFormat="false" ht="15" hidden="false" customHeight="true" outlineLevel="0" collapsed="false">
      <c r="A1952" s="4" t="s">
        <v>7862</v>
      </c>
      <c r="B1952" s="4" t="s">
        <v>8000</v>
      </c>
      <c r="C1952" s="4" t="s">
        <v>8001</v>
      </c>
      <c r="D1952" s="4" t="s">
        <v>8002</v>
      </c>
      <c r="E1952" s="5" t="n">
        <v>231656</v>
      </c>
      <c r="F1952" s="4" t="n">
        <v>10</v>
      </c>
      <c r="G1952" s="4" t="s">
        <v>8003</v>
      </c>
      <c r="H1952" s="4" t="n">
        <v>35.25279</v>
      </c>
      <c r="I1952" s="4" t="n">
        <v>-81.15792</v>
      </c>
      <c r="J1952" s="4" t="s">
        <v>8004</v>
      </c>
      <c r="K1952" s="6" t="str">
        <f aca="false">HYPERLINK("https://www.google.com/search?q=Gaston+County+Public+Library+Gastonia+NC+library+website","Search")</f>
        <v>Search</v>
      </c>
      <c r="L1952" s="7"/>
      <c r="M1952" s="7"/>
    </row>
    <row r="1953" customFormat="false" ht="15" hidden="false" customHeight="true" outlineLevel="0" collapsed="false">
      <c r="A1953" s="4" t="s">
        <v>7862</v>
      </c>
      <c r="B1953" s="4" t="s">
        <v>8005</v>
      </c>
      <c r="C1953" s="4" t="s">
        <v>8006</v>
      </c>
      <c r="D1953" s="4" t="s">
        <v>8007</v>
      </c>
      <c r="E1953" s="5" t="n">
        <v>18074</v>
      </c>
      <c r="F1953" s="4" t="n">
        <v>1</v>
      </c>
      <c r="G1953" s="4" t="s">
        <v>8008</v>
      </c>
      <c r="H1953" s="4" t="n">
        <v>35.19555</v>
      </c>
      <c r="I1953" s="4" t="n">
        <v>-79.46759</v>
      </c>
      <c r="J1953" s="4" t="s">
        <v>8009</v>
      </c>
      <c r="K1953" s="6" t="str">
        <f aca="false">HYPERLINK("https://www.google.com/search?q=Givens+Memorial+Library+%26+Tufts+Archive+Pinehurst+NC+library+website","Search")</f>
        <v>Search</v>
      </c>
      <c r="L1953" s="7"/>
      <c r="M1953" s="7"/>
    </row>
    <row r="1954" customFormat="false" ht="15" hidden="false" customHeight="true" outlineLevel="0" collapsed="false">
      <c r="A1954" s="4" t="s">
        <v>7862</v>
      </c>
      <c r="B1954" s="4" t="s">
        <v>8010</v>
      </c>
      <c r="C1954" s="4" t="s">
        <v>352</v>
      </c>
      <c r="D1954" s="4" t="s">
        <v>8011</v>
      </c>
      <c r="E1954" s="5" t="n">
        <v>61150</v>
      </c>
      <c r="F1954" s="4" t="n">
        <v>4</v>
      </c>
      <c r="G1954" s="4" t="s">
        <v>8012</v>
      </c>
      <c r="H1954" s="4" t="n">
        <v>36.30988</v>
      </c>
      <c r="I1954" s="4" t="n">
        <v>-78.58715</v>
      </c>
      <c r="J1954" s="4" t="s">
        <v>8013</v>
      </c>
      <c r="K1954" s="6" t="str">
        <f aca="false">HYPERLINK("https://www.google.com/search?q=Granville+County+Library+System+Oxford+NC+library+website","Search")</f>
        <v>Search</v>
      </c>
      <c r="L1954" s="7"/>
      <c r="M1954" s="7"/>
    </row>
    <row r="1955" customFormat="false" ht="15" hidden="false" customHeight="true" outlineLevel="0" collapsed="false">
      <c r="A1955" s="4" t="s">
        <v>7862</v>
      </c>
      <c r="B1955" s="4" t="s">
        <v>8014</v>
      </c>
      <c r="C1955" s="4" t="s">
        <v>8015</v>
      </c>
      <c r="D1955" s="4" t="s">
        <v>1941</v>
      </c>
      <c r="E1955" s="5" t="n">
        <v>430004</v>
      </c>
      <c r="F1955" s="4" t="n">
        <v>8</v>
      </c>
      <c r="G1955" s="4" t="s">
        <v>8016</v>
      </c>
      <c r="H1955" s="4" t="n">
        <v>36.07484</v>
      </c>
      <c r="I1955" s="4" t="n">
        <v>-79.78665</v>
      </c>
      <c r="J1955" s="4" t="s">
        <v>8017</v>
      </c>
      <c r="K1955" s="6" t="str">
        <f aca="false">HYPERLINK("https://www.google.com/search?q=Greensboro+Public+Library+Greensboro+NC+library+website","Search")</f>
        <v>Search</v>
      </c>
      <c r="L1955" s="7"/>
      <c r="M1955" s="7"/>
    </row>
    <row r="1956" customFormat="false" ht="15" hidden="false" customHeight="true" outlineLevel="0" collapsed="false">
      <c r="A1956" s="4" t="s">
        <v>7862</v>
      </c>
      <c r="B1956" s="4" t="s">
        <v>8018</v>
      </c>
      <c r="C1956" s="4" t="s">
        <v>4969</v>
      </c>
      <c r="D1956" s="4" t="s">
        <v>8019</v>
      </c>
      <c r="E1956" s="5" t="n">
        <v>42270</v>
      </c>
      <c r="F1956" s="4" t="n">
        <v>1</v>
      </c>
      <c r="G1956" s="4" t="s">
        <v>8020</v>
      </c>
      <c r="H1956" s="4" t="n">
        <v>36.328</v>
      </c>
      <c r="I1956" s="4" t="n">
        <v>-78.4052</v>
      </c>
      <c r="J1956" s="4" t="s">
        <v>8021</v>
      </c>
      <c r="K1956" s="6" t="str">
        <f aca="false">HYPERLINK("https://www.google.com/search?q=H.+Leslie+Perry+Memorial+Library+Henderson+NC+library+website","Search")</f>
        <v>Search</v>
      </c>
      <c r="L1956" s="7"/>
      <c r="M1956" s="7"/>
    </row>
    <row r="1957" customFormat="false" ht="15" hidden="false" customHeight="true" outlineLevel="0" collapsed="false">
      <c r="A1957" s="4" t="s">
        <v>7862</v>
      </c>
      <c r="B1957" s="4" t="s">
        <v>8022</v>
      </c>
      <c r="C1957" s="4" t="s">
        <v>8023</v>
      </c>
      <c r="D1957" s="4" t="s">
        <v>8023</v>
      </c>
      <c r="E1957" s="5" t="n">
        <v>33117</v>
      </c>
      <c r="F1957" s="4" t="n">
        <v>5</v>
      </c>
      <c r="G1957" s="4" t="s">
        <v>8024</v>
      </c>
      <c r="H1957" s="4" t="n">
        <v>36.32782</v>
      </c>
      <c r="I1957" s="4" t="n">
        <v>-77.58851</v>
      </c>
      <c r="J1957" s="4" t="s">
        <v>8025</v>
      </c>
      <c r="K1957" s="6" t="str">
        <f aca="false">HYPERLINK("https://www.google.com/search?q=Halifax+County+Library+System+Halifax+NC+library+website","Search")</f>
        <v>Search</v>
      </c>
      <c r="L1957" s="7"/>
      <c r="M1957" s="7"/>
    </row>
    <row r="1958" customFormat="false" ht="15" hidden="false" customHeight="true" outlineLevel="0" collapsed="false">
      <c r="A1958" s="4" t="s">
        <v>7862</v>
      </c>
      <c r="B1958" s="4" t="s">
        <v>8026</v>
      </c>
      <c r="C1958" s="4" t="s">
        <v>8027</v>
      </c>
      <c r="D1958" s="4" t="s">
        <v>8028</v>
      </c>
      <c r="E1958" s="5" t="n">
        <v>136820</v>
      </c>
      <c r="F1958" s="4" t="n">
        <v>7</v>
      </c>
      <c r="G1958" s="4" t="s">
        <v>8029</v>
      </c>
      <c r="H1958" s="4" t="n">
        <v>35.40036</v>
      </c>
      <c r="I1958" s="4" t="n">
        <v>-78.81551</v>
      </c>
      <c r="J1958" s="4" t="s">
        <v>8030</v>
      </c>
      <c r="K1958" s="6" t="str">
        <f aca="false">HYPERLINK("https://www.google.com/search?q=Harnett+County+Public+Library+Lillington+NC+library+website","Search")</f>
        <v>Search</v>
      </c>
      <c r="L1958" s="7"/>
      <c r="M1958" s="7"/>
    </row>
    <row r="1959" customFormat="false" ht="15" hidden="false" customHeight="true" outlineLevel="0" collapsed="false">
      <c r="A1959" s="4" t="s">
        <v>7862</v>
      </c>
      <c r="B1959" s="4" t="s">
        <v>8031</v>
      </c>
      <c r="C1959" s="4" t="s">
        <v>7521</v>
      </c>
      <c r="D1959" s="4" t="s">
        <v>8032</v>
      </c>
      <c r="E1959" s="5" t="n">
        <v>62495</v>
      </c>
      <c r="F1959" s="4" t="n">
        <v>4</v>
      </c>
      <c r="G1959" s="4" t="s">
        <v>8033</v>
      </c>
      <c r="H1959" s="4" t="n">
        <v>35.48694</v>
      </c>
      <c r="I1959" s="4" t="n">
        <v>-82.99149</v>
      </c>
      <c r="J1959" s="4" t="s">
        <v>8034</v>
      </c>
      <c r="K1959" s="6" t="str">
        <f aca="false">HYPERLINK("https://www.google.com/search?q=Haywood+County+Public+Library+Waynesville+NC+library+website","Search")</f>
        <v>Search</v>
      </c>
      <c r="L1959" s="7"/>
      <c r="M1959" s="7"/>
    </row>
    <row r="1960" customFormat="false" ht="15" hidden="false" customHeight="true" outlineLevel="0" collapsed="false">
      <c r="A1960" s="4" t="s">
        <v>7862</v>
      </c>
      <c r="B1960" s="4" t="s">
        <v>4968</v>
      </c>
      <c r="C1960" s="4" t="s">
        <v>8035</v>
      </c>
      <c r="D1960" s="4" t="s">
        <v>4969</v>
      </c>
      <c r="E1960" s="5" t="n">
        <v>116710</v>
      </c>
      <c r="F1960" s="4" t="n">
        <v>6</v>
      </c>
      <c r="G1960" s="4" t="s">
        <v>8036</v>
      </c>
      <c r="H1960" s="4" t="n">
        <v>35.31563</v>
      </c>
      <c r="I1960" s="4" t="n">
        <v>-82.4625</v>
      </c>
      <c r="J1960" s="4" t="s">
        <v>8037</v>
      </c>
      <c r="K1960" s="6" t="str">
        <f aca="false">HYPERLINK("https://www.google.com/search?q=Henderson+County+Public+Library+Hendersonville+NC+library+website","Search")</f>
        <v>Search</v>
      </c>
      <c r="L1960" s="7"/>
      <c r="M1960" s="7"/>
    </row>
    <row r="1961" customFormat="false" ht="15" hidden="false" customHeight="true" outlineLevel="0" collapsed="false">
      <c r="A1961" s="4" t="s">
        <v>7862</v>
      </c>
      <c r="B1961" s="4" t="s">
        <v>8038</v>
      </c>
      <c r="C1961" s="4" t="s">
        <v>8039</v>
      </c>
      <c r="D1961" s="4" t="s">
        <v>7930</v>
      </c>
      <c r="E1961" s="5" t="n">
        <v>44073</v>
      </c>
      <c r="F1961" s="4" t="n">
        <v>2</v>
      </c>
      <c r="G1961" s="4" t="s">
        <v>8040</v>
      </c>
      <c r="H1961" s="4" t="n">
        <v>35.73558</v>
      </c>
      <c r="I1961" s="4" t="n">
        <v>-81.33509</v>
      </c>
      <c r="J1961" s="4" t="s">
        <v>8041</v>
      </c>
      <c r="K1961" s="6" t="str">
        <f aca="false">HYPERLINK("https://www.google.com/search?q=Hickory+Public+Library+Hickory+NC+library+website","Search")</f>
        <v>Search</v>
      </c>
      <c r="L1961" s="7"/>
      <c r="M1961" s="7"/>
    </row>
    <row r="1962" customFormat="false" ht="15" hidden="false" customHeight="true" outlineLevel="0" collapsed="false">
      <c r="A1962" s="4" t="s">
        <v>7862</v>
      </c>
      <c r="B1962" s="4" t="s">
        <v>8042</v>
      </c>
      <c r="C1962" s="4" t="s">
        <v>8043</v>
      </c>
      <c r="D1962" s="4" t="s">
        <v>1941</v>
      </c>
      <c r="E1962" s="5" t="n">
        <v>114594</v>
      </c>
      <c r="F1962" s="4" t="n">
        <v>1</v>
      </c>
      <c r="G1962" s="4" t="s">
        <v>8044</v>
      </c>
      <c r="H1962" s="4" t="n">
        <v>35.9665</v>
      </c>
      <c r="I1962" s="4" t="n">
        <v>-80.01327</v>
      </c>
      <c r="J1962" s="4" t="s">
        <v>8045</v>
      </c>
      <c r="K1962" s="6" t="str">
        <f aca="false">HYPERLINK("https://www.google.com/search?q=High+Point+Public+Library+High+Point+NC+library+website","Search")</f>
        <v>Search</v>
      </c>
      <c r="L1962" s="7"/>
      <c r="M1962" s="7"/>
    </row>
    <row r="1963" customFormat="false" ht="15" hidden="false" customHeight="true" outlineLevel="0" collapsed="false">
      <c r="A1963" s="4" t="s">
        <v>7862</v>
      </c>
      <c r="B1963" s="4" t="s">
        <v>8046</v>
      </c>
      <c r="C1963" s="4" t="s">
        <v>2639</v>
      </c>
      <c r="D1963" s="4" t="s">
        <v>3020</v>
      </c>
      <c r="E1963" s="5" t="n">
        <v>28188</v>
      </c>
      <c r="F1963" s="4" t="n">
        <v>1</v>
      </c>
      <c r="G1963" s="4" t="s">
        <v>8047</v>
      </c>
      <c r="H1963" s="4" t="n">
        <v>35.65214</v>
      </c>
      <c r="I1963" s="4" t="n">
        <v>-78.45904</v>
      </c>
      <c r="J1963" s="4" t="s">
        <v>8048</v>
      </c>
      <c r="K1963" s="6" t="str">
        <f aca="false">HYPERLINK("https://www.google.com/search?q=Hocutt+Ellington+Memorial+Library+Clayton+NC+library+website","Search")</f>
        <v>Search</v>
      </c>
      <c r="L1963" s="7"/>
      <c r="M1963" s="8" t="str">
        <f aca="false">HYPERLINK("https://claytonnc.overdrive.com","https://claytonnc.overdrive.com")</f>
        <v>https://claytonnc.overdrive.com</v>
      </c>
    </row>
    <row r="1964" customFormat="false" ht="15" hidden="false" customHeight="true" outlineLevel="0" collapsed="false">
      <c r="A1964" s="4" t="s">
        <v>7862</v>
      </c>
      <c r="B1964" s="4" t="s">
        <v>8049</v>
      </c>
      <c r="C1964" s="4" t="s">
        <v>8050</v>
      </c>
      <c r="D1964" s="4" t="s">
        <v>8051</v>
      </c>
      <c r="E1964" s="5" t="n">
        <v>139207</v>
      </c>
      <c r="F1964" s="4" t="n">
        <v>3</v>
      </c>
      <c r="G1964" s="4" t="s">
        <v>8052</v>
      </c>
      <c r="H1964" s="4" t="n">
        <v>35.78769</v>
      </c>
      <c r="I1964" s="4" t="n">
        <v>-80.88719</v>
      </c>
      <c r="J1964" s="4" t="s">
        <v>8053</v>
      </c>
      <c r="K1964" s="6" t="str">
        <f aca="false">HYPERLINK("https://www.google.com/search?q=Iredell+County+Library+Statesville+NC+library+website","Search")</f>
        <v>Search</v>
      </c>
      <c r="L1964" s="7"/>
      <c r="M1964" s="8" t="str">
        <f aca="false">HYPERLINK("https://iredell.overdrive.com","https://iredell.overdrive.com")</f>
        <v>https://iredell.overdrive.com</v>
      </c>
    </row>
    <row r="1965" customFormat="false" ht="15" hidden="false" customHeight="true" outlineLevel="0" collapsed="false">
      <c r="A1965" s="4" t="s">
        <v>7862</v>
      </c>
      <c r="B1965" s="4" t="s">
        <v>8054</v>
      </c>
      <c r="C1965" s="4" t="s">
        <v>8055</v>
      </c>
      <c r="D1965" s="4" t="s">
        <v>7608</v>
      </c>
      <c r="E1965" s="5" t="n">
        <v>11420</v>
      </c>
      <c r="F1965" s="4" t="n">
        <v>1</v>
      </c>
      <c r="G1965" s="4" t="s">
        <v>8056</v>
      </c>
      <c r="H1965" s="4" t="n">
        <v>35.24083</v>
      </c>
      <c r="I1965" s="4" t="n">
        <v>-81.34246</v>
      </c>
      <c r="J1965" s="4" t="s">
        <v>8057</v>
      </c>
      <c r="K1965" s="6" t="str">
        <f aca="false">HYPERLINK("https://www.google.com/search?q=Jacob+Mauney+Memorial+Library+Kings+Mountain+NC+library+website","Search")</f>
        <v>Search</v>
      </c>
      <c r="L1965" s="7"/>
      <c r="M1965" s="7"/>
    </row>
    <row r="1966" customFormat="false" ht="15" hidden="false" customHeight="true" outlineLevel="0" collapsed="false">
      <c r="A1966" s="4" t="s">
        <v>7862</v>
      </c>
      <c r="B1966" s="4" t="s">
        <v>8058</v>
      </c>
      <c r="C1966" s="4" t="s">
        <v>6308</v>
      </c>
      <c r="D1966" s="4" t="s">
        <v>83</v>
      </c>
      <c r="E1966" s="5" t="n">
        <v>64068</v>
      </c>
      <c r="F1966" s="4" t="n">
        <v>2</v>
      </c>
      <c r="G1966" s="4" t="s">
        <v>8059</v>
      </c>
      <c r="H1966" s="4" t="n">
        <v>35.48262</v>
      </c>
      <c r="I1966" s="4" t="n">
        <v>-79.17793</v>
      </c>
      <c r="J1966" s="4" t="s">
        <v>8060</v>
      </c>
      <c r="K1966" s="6" t="str">
        <f aca="false">HYPERLINK("https://www.google.com/search?q=Lee+County+Library+Sanford+NC+library+website","Search")</f>
        <v>Search</v>
      </c>
      <c r="L1966" s="7"/>
      <c r="M1966" s="7"/>
    </row>
    <row r="1967" customFormat="false" ht="15" hidden="false" customHeight="true" outlineLevel="0" collapsed="false">
      <c r="A1967" s="4" t="s">
        <v>7862</v>
      </c>
      <c r="B1967" s="4" t="s">
        <v>5040</v>
      </c>
      <c r="C1967" s="4" t="s">
        <v>8061</v>
      </c>
      <c r="D1967" s="4" t="s">
        <v>1131</v>
      </c>
      <c r="E1967" s="5" t="n">
        <v>89556</v>
      </c>
      <c r="F1967" s="4" t="n">
        <v>3</v>
      </c>
      <c r="G1967" s="4" t="s">
        <v>8062</v>
      </c>
      <c r="H1967" s="4" t="n">
        <v>35.47029</v>
      </c>
      <c r="I1967" s="4" t="n">
        <v>-81.26038</v>
      </c>
      <c r="J1967" s="4" t="s">
        <v>8063</v>
      </c>
      <c r="K1967" s="6" t="str">
        <f aca="false">HYPERLINK("https://www.google.com/search?q=Lincoln+County+Public+Library+Lincolnton+NC+library+website","Search")</f>
        <v>Search</v>
      </c>
      <c r="L1967" s="7"/>
      <c r="M1967" s="7"/>
    </row>
    <row r="1968" customFormat="false" ht="15" hidden="false" customHeight="true" outlineLevel="0" collapsed="false">
      <c r="A1968" s="4" t="s">
        <v>7862</v>
      </c>
      <c r="B1968" s="4" t="s">
        <v>5050</v>
      </c>
      <c r="C1968" s="4" t="s">
        <v>58</v>
      </c>
      <c r="D1968" s="4" t="s">
        <v>261</v>
      </c>
      <c r="E1968" s="5" t="n">
        <v>21446</v>
      </c>
      <c r="F1968" s="4" t="n">
        <v>3</v>
      </c>
      <c r="G1968" s="4" t="s">
        <v>8064</v>
      </c>
      <c r="H1968" s="4" t="n">
        <v>35.81058</v>
      </c>
      <c r="I1968" s="4" t="n">
        <v>-82.6906</v>
      </c>
      <c r="J1968" s="4" t="s">
        <v>8065</v>
      </c>
      <c r="K1968" s="6" t="str">
        <f aca="false">HYPERLINK("https://www.google.com/search?q=Madison+County+Public+Library+Marshall+NC+library+website","Search")</f>
        <v>Search</v>
      </c>
      <c r="L1968" s="7"/>
      <c r="M1968" s="7"/>
    </row>
    <row r="1969" customFormat="false" ht="15" hidden="false" customHeight="true" outlineLevel="0" collapsed="false">
      <c r="A1969" s="4" t="s">
        <v>7862</v>
      </c>
      <c r="B1969" s="4" t="s">
        <v>8066</v>
      </c>
      <c r="C1969" s="4" t="s">
        <v>572</v>
      </c>
      <c r="D1969" s="4" t="s">
        <v>8067</v>
      </c>
      <c r="E1969" s="5" t="n">
        <v>44688</v>
      </c>
      <c r="F1969" s="4" t="n">
        <v>2</v>
      </c>
      <c r="G1969" s="4" t="s">
        <v>8068</v>
      </c>
      <c r="H1969" s="4" t="n">
        <v>35.68362</v>
      </c>
      <c r="I1969" s="4" t="n">
        <v>-82.01051</v>
      </c>
      <c r="J1969" s="4" t="s">
        <v>8069</v>
      </c>
      <c r="K1969" s="6" t="str">
        <f aca="false">HYPERLINK("https://www.google.com/search?q=Mcdowell+County+Public+Library+Marion+NC+library+website","Search")</f>
        <v>Search</v>
      </c>
      <c r="L1969" s="7"/>
      <c r="M1969" s="7"/>
    </row>
    <row r="1970" customFormat="false" ht="15" hidden="false" customHeight="true" outlineLevel="0" collapsed="false">
      <c r="A1970" s="4" t="s">
        <v>7862</v>
      </c>
      <c r="B1970" s="4" t="s">
        <v>4499</v>
      </c>
      <c r="C1970" s="4" t="s">
        <v>4500</v>
      </c>
      <c r="D1970" s="4" t="s">
        <v>8051</v>
      </c>
      <c r="E1970" s="5" t="n">
        <v>52545</v>
      </c>
      <c r="F1970" s="4" t="n">
        <v>1</v>
      </c>
      <c r="G1970" s="4" t="s">
        <v>8070</v>
      </c>
      <c r="H1970" s="4" t="n">
        <v>35.57953</v>
      </c>
      <c r="I1970" s="4" t="n">
        <v>-80.81659</v>
      </c>
      <c r="J1970" s="4" t="s">
        <v>8071</v>
      </c>
      <c r="K1970" s="6" t="str">
        <f aca="false">HYPERLINK("https://www.google.com/search?q=Mooresville+Public+Library+Mooresville+NC+library+website","Search")</f>
        <v>Search</v>
      </c>
      <c r="L1970" s="7"/>
      <c r="M1970" s="7"/>
    </row>
    <row r="1971" customFormat="false" ht="15" hidden="false" customHeight="true" outlineLevel="0" collapsed="false">
      <c r="A1971" s="4" t="s">
        <v>7862</v>
      </c>
      <c r="B1971" s="4" t="s">
        <v>8072</v>
      </c>
      <c r="C1971" s="4" t="s">
        <v>8073</v>
      </c>
      <c r="D1971" s="4" t="s">
        <v>2826</v>
      </c>
      <c r="E1971" s="5" t="n">
        <v>48266</v>
      </c>
      <c r="F1971" s="4" t="n">
        <v>4</v>
      </c>
      <c r="G1971" s="4" t="s">
        <v>8074</v>
      </c>
      <c r="H1971" s="4" t="n">
        <v>35.08649</v>
      </c>
      <c r="I1971" s="4" t="n">
        <v>-84.03199</v>
      </c>
      <c r="J1971" s="4" t="s">
        <v>8075</v>
      </c>
      <c r="K1971" s="6" t="str">
        <f aca="false">HYPERLINK("https://www.google.com/search?q=Nantahala+Regional+Library+Murphy+NC+library+website","Search")</f>
        <v>Search</v>
      </c>
      <c r="L1971" s="7"/>
      <c r="M1971" s="7"/>
    </row>
    <row r="1972" customFormat="false" ht="15" hidden="false" customHeight="true" outlineLevel="0" collapsed="false">
      <c r="A1972" s="4" t="s">
        <v>7862</v>
      </c>
      <c r="B1972" s="4" t="s">
        <v>8076</v>
      </c>
      <c r="C1972" s="4" t="s">
        <v>8077</v>
      </c>
      <c r="D1972" s="4" t="s">
        <v>7917</v>
      </c>
      <c r="E1972" s="5" t="n">
        <v>84177</v>
      </c>
      <c r="F1972" s="4" t="n">
        <v>8</v>
      </c>
      <c r="G1972" s="4" t="s">
        <v>8078</v>
      </c>
      <c r="H1972" s="4" t="n">
        <v>35.26604</v>
      </c>
      <c r="I1972" s="4" t="n">
        <v>-77.58105</v>
      </c>
      <c r="J1972" s="4" t="s">
        <v>8079</v>
      </c>
      <c r="K1972" s="6" t="str">
        <f aca="false">HYPERLINK("https://www.google.com/search?q=Neuse+Regional+Library+Kinston+NC+library+website","Search")</f>
        <v>Search</v>
      </c>
      <c r="L1972" s="7"/>
      <c r="M1972" s="7"/>
    </row>
    <row r="1973" customFormat="false" ht="15" hidden="false" customHeight="true" outlineLevel="0" collapsed="false">
      <c r="A1973" s="4" t="s">
        <v>7862</v>
      </c>
      <c r="B1973" s="4" t="s">
        <v>8080</v>
      </c>
      <c r="C1973" s="4" t="s">
        <v>2278</v>
      </c>
      <c r="D1973" s="4" t="s">
        <v>8081</v>
      </c>
      <c r="E1973" s="5" t="n">
        <v>229943</v>
      </c>
      <c r="F1973" s="4" t="n">
        <v>4</v>
      </c>
      <c r="G1973" s="4" t="s">
        <v>8082</v>
      </c>
      <c r="H1973" s="4" t="n">
        <v>34.23771</v>
      </c>
      <c r="I1973" s="4" t="n">
        <v>-77.94724</v>
      </c>
      <c r="J1973" s="4" t="s">
        <v>8083</v>
      </c>
      <c r="K1973" s="6" t="str">
        <f aca="false">HYPERLINK("https://www.google.com/search?q=New+Hanover+County+Public+Library+Wilmington+NC+library+website","Search")</f>
        <v>Search</v>
      </c>
      <c r="L1973" s="7"/>
      <c r="M1973" s="7"/>
    </row>
    <row r="1974" customFormat="false" ht="15" hidden="false" customHeight="true" outlineLevel="0" collapsed="false">
      <c r="A1974" s="4" t="s">
        <v>7862</v>
      </c>
      <c r="B1974" s="4" t="s">
        <v>8084</v>
      </c>
      <c r="C1974" s="4" t="s">
        <v>8085</v>
      </c>
      <c r="D1974" s="4" t="s">
        <v>8086</v>
      </c>
      <c r="E1974" s="5" t="n">
        <v>164569</v>
      </c>
      <c r="F1974" s="4" t="n">
        <v>13</v>
      </c>
      <c r="G1974" s="4" t="s">
        <v>8087</v>
      </c>
      <c r="H1974" s="4" t="n">
        <v>36.24407</v>
      </c>
      <c r="I1974" s="4" t="n">
        <v>-80.85436</v>
      </c>
      <c r="J1974" s="4" t="s">
        <v>8088</v>
      </c>
      <c r="K1974" s="6" t="str">
        <f aca="false">HYPERLINK("https://www.google.com/search?q=Northwestern+Regional+Library+Elkin+NC+library+website","Search")</f>
        <v>Search</v>
      </c>
      <c r="L1974" s="7"/>
      <c r="M1974" s="7"/>
    </row>
    <row r="1975" customFormat="false" ht="15" hidden="false" customHeight="true" outlineLevel="0" collapsed="false">
      <c r="A1975" s="4" t="s">
        <v>7862</v>
      </c>
      <c r="B1975" s="4" t="s">
        <v>8089</v>
      </c>
      <c r="C1975" s="4" t="s">
        <v>269</v>
      </c>
      <c r="D1975" s="4" t="s">
        <v>8090</v>
      </c>
      <c r="E1975" s="5" t="n">
        <v>206530</v>
      </c>
      <c r="F1975" s="4" t="n">
        <v>4</v>
      </c>
      <c r="G1975" s="4" t="s">
        <v>8091</v>
      </c>
      <c r="H1975" s="4" t="n">
        <v>34.77743</v>
      </c>
      <c r="I1975" s="4" t="n">
        <v>-77.42071</v>
      </c>
      <c r="J1975" s="4" t="s">
        <v>8092</v>
      </c>
      <c r="K1975" s="6" t="str">
        <f aca="false">HYPERLINK("https://www.google.com/search?q=Onslow+County+Public+Library+Jacksonville+NC+library+website","Search")</f>
        <v>Search</v>
      </c>
      <c r="L1975" s="7"/>
      <c r="M1975" s="7"/>
    </row>
    <row r="1976" customFormat="false" ht="15" hidden="false" customHeight="true" outlineLevel="0" collapsed="false">
      <c r="A1976" s="4" t="s">
        <v>7862</v>
      </c>
      <c r="B1976" s="4" t="s">
        <v>8093</v>
      </c>
      <c r="C1976" s="4" t="s">
        <v>2383</v>
      </c>
      <c r="D1976" s="4" t="s">
        <v>885</v>
      </c>
      <c r="E1976" s="5" t="n">
        <v>89293</v>
      </c>
      <c r="F1976" s="4" t="n">
        <v>2</v>
      </c>
      <c r="G1976" s="4" t="s">
        <v>8094</v>
      </c>
      <c r="H1976" s="4" t="n">
        <v>36.07445</v>
      </c>
      <c r="I1976" s="4" t="n">
        <v>-79.10066</v>
      </c>
      <c r="J1976" s="4" t="s">
        <v>8095</v>
      </c>
      <c r="K1976" s="6" t="str">
        <f aca="false">HYPERLINK("https://www.google.com/search?q=Orange+County+Public+Library+Hillsborough+NC+library+website","Search")</f>
        <v>Search</v>
      </c>
      <c r="L1976" s="7"/>
      <c r="M1976" s="7"/>
    </row>
    <row r="1977" customFormat="false" ht="15" hidden="false" customHeight="true" outlineLevel="0" collapsed="false">
      <c r="A1977" s="4" t="s">
        <v>7862</v>
      </c>
      <c r="B1977" s="4" t="s">
        <v>8096</v>
      </c>
      <c r="C1977" s="4" t="s">
        <v>8097</v>
      </c>
      <c r="D1977" s="4" t="s">
        <v>8098</v>
      </c>
      <c r="E1977" s="5" t="n">
        <v>62978</v>
      </c>
      <c r="F1977" s="4" t="n">
        <v>2</v>
      </c>
      <c r="G1977" s="4" t="s">
        <v>8099</v>
      </c>
      <c r="H1977" s="4" t="n">
        <v>34.55162</v>
      </c>
      <c r="I1977" s="4" t="n">
        <v>-77.92379</v>
      </c>
      <c r="J1977" s="4" t="s">
        <v>8100</v>
      </c>
      <c r="K1977" s="6" t="str">
        <f aca="false">HYPERLINK("https://www.google.com/search?q=Pender+County+Public+Library+Burgaw+NC+library+website","Search")</f>
        <v>Search</v>
      </c>
      <c r="L1977" s="7"/>
      <c r="M1977" s="7"/>
    </row>
    <row r="1978" customFormat="false" ht="15" hidden="false" customHeight="true" outlineLevel="0" collapsed="false">
      <c r="A1978" s="4" t="s">
        <v>7862</v>
      </c>
      <c r="B1978" s="4" t="s">
        <v>8101</v>
      </c>
      <c r="C1978" s="4" t="s">
        <v>8102</v>
      </c>
      <c r="D1978" s="4" t="s">
        <v>8103</v>
      </c>
      <c r="E1978" s="5" t="n">
        <v>39486</v>
      </c>
      <c r="F1978" s="4" t="n">
        <v>1</v>
      </c>
      <c r="G1978" s="4" t="s">
        <v>8104</v>
      </c>
      <c r="H1978" s="4" t="n">
        <v>36.3899</v>
      </c>
      <c r="I1978" s="4" t="n">
        <v>-78.98564</v>
      </c>
      <c r="J1978" s="4" t="s">
        <v>8105</v>
      </c>
      <c r="K1978" s="6" t="str">
        <f aca="false">HYPERLINK("https://www.google.com/search?q=Person+County+Public+Library+Roxboro+NC+library+website","Search")</f>
        <v>Search</v>
      </c>
      <c r="L1978" s="7"/>
      <c r="M1978" s="7"/>
    </row>
    <row r="1979" customFormat="false" ht="15" hidden="false" customHeight="true" outlineLevel="0" collapsed="false">
      <c r="A1979" s="4" t="s">
        <v>7862</v>
      </c>
      <c r="B1979" s="4" t="s">
        <v>8106</v>
      </c>
      <c r="C1979" s="4" t="s">
        <v>3038</v>
      </c>
      <c r="D1979" s="4" t="s">
        <v>441</v>
      </c>
      <c r="E1979" s="5" t="n">
        <v>40973</v>
      </c>
      <c r="F1979" s="4" t="n">
        <v>4</v>
      </c>
      <c r="G1979" s="4" t="s">
        <v>8107</v>
      </c>
      <c r="H1979" s="4" t="n">
        <v>35.86557</v>
      </c>
      <c r="I1979" s="4" t="n">
        <v>-76.7478</v>
      </c>
      <c r="J1979" s="4" t="s">
        <v>8108</v>
      </c>
      <c r="K1979" s="6" t="str">
        <f aca="false">HYPERLINK("https://www.google.com/search?q=Pettigrew+Regional+Library+Plymouth+NC+library+website","Search")</f>
        <v>Search</v>
      </c>
      <c r="L1979" s="7"/>
      <c r="M1979" s="7"/>
    </row>
    <row r="1980" customFormat="false" ht="15" hidden="false" customHeight="true" outlineLevel="0" collapsed="false">
      <c r="A1980" s="4" t="s">
        <v>7862</v>
      </c>
      <c r="B1980" s="4" t="s">
        <v>8109</v>
      </c>
      <c r="C1980" s="4" t="s">
        <v>2626</v>
      </c>
      <c r="D1980" s="4" t="s">
        <v>2523</v>
      </c>
      <c r="E1980" s="5" t="n">
        <v>19559</v>
      </c>
      <c r="F1980" s="4" t="n">
        <v>2</v>
      </c>
      <c r="G1980" s="4" t="s">
        <v>8110</v>
      </c>
      <c r="H1980" s="4" t="n">
        <v>35.24084</v>
      </c>
      <c r="I1980" s="4" t="n">
        <v>-82.21707</v>
      </c>
      <c r="J1980" s="4" t="s">
        <v>8111</v>
      </c>
      <c r="K1980" s="6" t="str">
        <f aca="false">HYPERLINK("https://www.google.com/search?q=Polk+County+Public+Libraries+Columbus+NC+library+website","Search")</f>
        <v>Search</v>
      </c>
      <c r="L1980" s="7"/>
      <c r="M1980" s="7"/>
    </row>
    <row r="1981" customFormat="false" ht="15" hidden="false" customHeight="true" outlineLevel="0" collapsed="false">
      <c r="A1981" s="4" t="s">
        <v>7862</v>
      </c>
      <c r="B1981" s="4" t="s">
        <v>8112</v>
      </c>
      <c r="C1981" s="4" t="s">
        <v>8113</v>
      </c>
      <c r="D1981" s="4" t="s">
        <v>3020</v>
      </c>
      <c r="E1981" s="5" t="n">
        <v>198473</v>
      </c>
      <c r="F1981" s="4" t="n">
        <v>6</v>
      </c>
      <c r="G1981" s="4" t="s">
        <v>8114</v>
      </c>
      <c r="H1981" s="4" t="n">
        <v>35.51112</v>
      </c>
      <c r="I1981" s="4" t="n">
        <v>-78.34572</v>
      </c>
      <c r="J1981" s="4" t="s">
        <v>8115</v>
      </c>
      <c r="K1981" s="6" t="str">
        <f aca="false">HYPERLINK("https://www.google.com/search?q=Public+Library+Of+Johnston+County+%26+Smithfield+Smithfield+NC+library+website","Search")</f>
        <v>Search</v>
      </c>
      <c r="L1981" s="7"/>
      <c r="M1981" s="7"/>
    </row>
    <row r="1982" customFormat="false" ht="15" hidden="false" customHeight="true" outlineLevel="0" collapsed="false">
      <c r="A1982" s="4" t="s">
        <v>7862</v>
      </c>
      <c r="B1982" s="4" t="s">
        <v>8116</v>
      </c>
      <c r="C1982" s="4" t="s">
        <v>8117</v>
      </c>
      <c r="D1982" s="4" t="s">
        <v>6061</v>
      </c>
      <c r="E1982" s="5" t="n">
        <v>145036</v>
      </c>
      <c r="F1982" s="4" t="n">
        <v>7</v>
      </c>
      <c r="G1982" s="4" t="s">
        <v>8118</v>
      </c>
      <c r="H1982" s="4" t="n">
        <v>35.70581</v>
      </c>
      <c r="I1982" s="4" t="n">
        <v>-79.81148</v>
      </c>
      <c r="J1982" s="4" t="s">
        <v>8119</v>
      </c>
      <c r="K1982" s="6" t="str">
        <f aca="false">HYPERLINK("https://www.google.com/search?q=Randolph+Public+Library+Asheboro+NC+library+website","Search")</f>
        <v>Search</v>
      </c>
      <c r="L1982" s="7"/>
      <c r="M1982" s="7"/>
    </row>
    <row r="1983" customFormat="false" ht="15" hidden="false" customHeight="true" outlineLevel="0" collapsed="false">
      <c r="A1983" s="4" t="s">
        <v>7862</v>
      </c>
      <c r="B1983" s="4" t="s">
        <v>8120</v>
      </c>
      <c r="C1983" s="4" t="s">
        <v>8121</v>
      </c>
      <c r="D1983" s="4" t="s">
        <v>8023</v>
      </c>
      <c r="E1983" s="5" t="n">
        <v>15097</v>
      </c>
      <c r="F1983" s="4" t="n">
        <v>1</v>
      </c>
      <c r="G1983" s="4" t="s">
        <v>8122</v>
      </c>
      <c r="H1983" s="4" t="n">
        <v>36.46718</v>
      </c>
      <c r="I1983" s="4" t="n">
        <v>-77.65165</v>
      </c>
      <c r="J1983" s="4" t="s">
        <v>8123</v>
      </c>
      <c r="K1983" s="6" t="str">
        <f aca="false">HYPERLINK("https://www.google.com/search?q=Roanoke+Rapids+Public+Library+Roanoke+Rapids+NC+library+website","Search")</f>
        <v>Search</v>
      </c>
      <c r="L1983" s="7"/>
      <c r="M1983" s="7"/>
    </row>
    <row r="1984" customFormat="false" ht="15" hidden="false" customHeight="true" outlineLevel="0" collapsed="false">
      <c r="A1984" s="4" t="s">
        <v>7862</v>
      </c>
      <c r="B1984" s="4" t="s">
        <v>8124</v>
      </c>
      <c r="C1984" s="4" t="s">
        <v>8125</v>
      </c>
      <c r="D1984" s="4" t="s">
        <v>8126</v>
      </c>
      <c r="E1984" s="5" t="n">
        <v>116485</v>
      </c>
      <c r="F1984" s="4" t="n">
        <v>7</v>
      </c>
      <c r="G1984" s="4" t="s">
        <v>8127</v>
      </c>
      <c r="H1984" s="4" t="n">
        <v>34.61686</v>
      </c>
      <c r="I1984" s="4" t="n">
        <v>-79.00778</v>
      </c>
      <c r="J1984" s="4" t="s">
        <v>8128</v>
      </c>
      <c r="K1984" s="6" t="str">
        <f aca="false">HYPERLINK("https://www.google.com/search?q=Robeson+County+Public+Library+Lumberton+NC+library+website","Search")</f>
        <v>Search</v>
      </c>
      <c r="L1984" s="7"/>
      <c r="M1984" s="7"/>
    </row>
    <row r="1985" customFormat="false" ht="15" hidden="false" customHeight="true" outlineLevel="0" collapsed="false">
      <c r="A1985" s="4" t="s">
        <v>7862</v>
      </c>
      <c r="B1985" s="4" t="s">
        <v>8129</v>
      </c>
      <c r="C1985" s="4" t="s">
        <v>8130</v>
      </c>
      <c r="D1985" s="4" t="s">
        <v>8131</v>
      </c>
      <c r="E1985" s="5" t="n">
        <v>91706</v>
      </c>
      <c r="F1985" s="4" t="n">
        <v>4</v>
      </c>
      <c r="G1985" s="4" t="s">
        <v>8132</v>
      </c>
      <c r="H1985" s="4" t="n">
        <v>36.49456</v>
      </c>
      <c r="I1985" s="4" t="n">
        <v>-79.76172</v>
      </c>
      <c r="J1985" s="4" t="s">
        <v>8133</v>
      </c>
      <c r="K1985" s="6" t="str">
        <f aca="false">HYPERLINK("https://www.google.com/search?q=Rockingham+County+Public+Library+Eden+NC+library+website","Search")</f>
        <v>Search</v>
      </c>
      <c r="L1985" s="7"/>
      <c r="M1985" s="7"/>
    </row>
    <row r="1986" customFormat="false" ht="15" hidden="false" customHeight="true" outlineLevel="0" collapsed="false">
      <c r="A1986" s="4" t="s">
        <v>7862</v>
      </c>
      <c r="B1986" s="4" t="s">
        <v>8134</v>
      </c>
      <c r="C1986" s="4" t="s">
        <v>6261</v>
      </c>
      <c r="D1986" s="4" t="s">
        <v>5161</v>
      </c>
      <c r="E1986" s="5" t="n">
        <v>147799</v>
      </c>
      <c r="F1986" s="4" t="n">
        <v>4</v>
      </c>
      <c r="G1986" s="4" t="s">
        <v>8135</v>
      </c>
      <c r="H1986" s="4" t="n">
        <v>35.66786</v>
      </c>
      <c r="I1986" s="4" t="n">
        <v>-80.47268</v>
      </c>
      <c r="J1986" s="4" t="s">
        <v>8136</v>
      </c>
      <c r="K1986" s="6" t="str">
        <f aca="false">HYPERLINK("https://www.google.com/search?q=Rowan+Public+Library+Salisbury+NC+library+website","Search")</f>
        <v>Search</v>
      </c>
      <c r="L1986" s="7"/>
      <c r="M1986" s="7"/>
    </row>
    <row r="1987" customFormat="false" ht="15" hidden="false" customHeight="true" outlineLevel="0" collapsed="false">
      <c r="A1987" s="4" t="s">
        <v>7862</v>
      </c>
      <c r="B1987" s="4" t="s">
        <v>8137</v>
      </c>
      <c r="C1987" s="4" t="s">
        <v>8138</v>
      </c>
      <c r="D1987" s="4" t="s">
        <v>8139</v>
      </c>
      <c r="E1987" s="5" t="n">
        <v>64263</v>
      </c>
      <c r="F1987" s="4" t="n">
        <v>3</v>
      </c>
      <c r="G1987" s="4" t="s">
        <v>8140</v>
      </c>
      <c r="H1987" s="4" t="n">
        <v>35.34784</v>
      </c>
      <c r="I1987" s="4" t="n">
        <v>-81.91013</v>
      </c>
      <c r="J1987" s="4" t="s">
        <v>8141</v>
      </c>
      <c r="K1987" s="6" t="str">
        <f aca="false">HYPERLINK("https://www.google.com/search?q=Rutherford+County+Library+Spindale+NC+library+website","Search")</f>
        <v>Search</v>
      </c>
      <c r="L1987" s="7"/>
      <c r="M1987" s="7"/>
    </row>
    <row r="1988" customFormat="false" ht="15" hidden="false" customHeight="true" outlineLevel="0" collapsed="false">
      <c r="A1988" s="4" t="s">
        <v>7862</v>
      </c>
      <c r="B1988" s="4" t="s">
        <v>8142</v>
      </c>
      <c r="C1988" s="4" t="s">
        <v>1964</v>
      </c>
      <c r="D1988" s="4" t="s">
        <v>8143</v>
      </c>
      <c r="E1988" s="5" t="n">
        <v>59019</v>
      </c>
      <c r="F1988" s="4" t="n">
        <v>4</v>
      </c>
      <c r="G1988" s="4" t="s">
        <v>8144</v>
      </c>
      <c r="H1988" s="4" t="n">
        <v>34.99753</v>
      </c>
      <c r="I1988" s="4" t="n">
        <v>-78.32072</v>
      </c>
      <c r="J1988" s="4" t="s">
        <v>8145</v>
      </c>
      <c r="K1988" s="6" t="str">
        <f aca="false">HYPERLINK("https://www.google.com/search?q=Sampson-Clinton+Public+Library+Clinton+NC+library+website","Search")</f>
        <v>Search</v>
      </c>
      <c r="L1988" s="7"/>
      <c r="M1988" s="7"/>
    </row>
    <row r="1989" customFormat="false" ht="15" hidden="false" customHeight="true" outlineLevel="0" collapsed="false">
      <c r="A1989" s="4" t="s">
        <v>7862</v>
      </c>
      <c r="B1989" s="4" t="s">
        <v>8146</v>
      </c>
      <c r="C1989" s="4" t="s">
        <v>8131</v>
      </c>
      <c r="D1989" s="4" t="s">
        <v>1348</v>
      </c>
      <c r="E1989" s="5" t="n">
        <v>212145</v>
      </c>
      <c r="F1989" s="4" t="n">
        <v>15</v>
      </c>
      <c r="G1989" s="4" t="s">
        <v>8147</v>
      </c>
      <c r="H1989" s="4" t="n">
        <v>34.93871</v>
      </c>
      <c r="I1989" s="4" t="n">
        <v>-79.76984</v>
      </c>
      <c r="J1989" s="4" t="s">
        <v>8148</v>
      </c>
      <c r="K1989" s="6" t="str">
        <f aca="false">HYPERLINK("https://www.google.com/search?q=Sandhill+Regional+Library+System+Rockingham+NC+library+website","Search")</f>
        <v>Search</v>
      </c>
      <c r="L1989" s="7"/>
      <c r="M1989" s="8" t="str">
        <f aca="false">HYPERLINK("https://srlsinfo.overdrive.com","https://srlsinfo.overdrive.com")</f>
        <v>https://srlsinfo.overdrive.com</v>
      </c>
    </row>
    <row r="1990" customFormat="false" ht="15" hidden="false" customHeight="true" outlineLevel="0" collapsed="false">
      <c r="A1990" s="4" t="s">
        <v>7862</v>
      </c>
      <c r="B1990" s="4" t="s">
        <v>8149</v>
      </c>
      <c r="C1990" s="4" t="s">
        <v>8150</v>
      </c>
      <c r="D1990" s="4" t="s">
        <v>8151</v>
      </c>
      <c r="E1990" s="5" t="n">
        <v>33292</v>
      </c>
      <c r="F1990" s="4" t="n">
        <v>1</v>
      </c>
      <c r="G1990" s="4" t="s">
        <v>8152</v>
      </c>
      <c r="H1990" s="4" t="n">
        <v>34.77528</v>
      </c>
      <c r="I1990" s="4" t="n">
        <v>-79.4659</v>
      </c>
      <c r="J1990" s="4" t="s">
        <v>8153</v>
      </c>
      <c r="K1990" s="6" t="str">
        <f aca="false">HYPERLINK("https://www.google.com/search?q=Scotland+County+Memorial+Library+Laurinburg+NC+library+website","Search")</f>
        <v>Search</v>
      </c>
      <c r="L1990" s="7"/>
      <c r="M1990" s="7"/>
    </row>
    <row r="1991" customFormat="false" ht="15" hidden="false" customHeight="true" outlineLevel="0" collapsed="false">
      <c r="A1991" s="4" t="s">
        <v>7862</v>
      </c>
      <c r="B1991" s="4" t="s">
        <v>8154</v>
      </c>
      <c r="C1991" s="4" t="s">
        <v>224</v>
      </c>
      <c r="D1991" s="4" t="s">
        <v>8155</v>
      </c>
      <c r="E1991" s="5" t="n">
        <v>167584</v>
      </c>
      <c r="F1991" s="4" t="n">
        <v>5</v>
      </c>
      <c r="G1991" s="4" t="s">
        <v>8156</v>
      </c>
      <c r="H1991" s="4" t="n">
        <v>35.60957</v>
      </c>
      <c r="I1991" s="4" t="n">
        <v>-77.37346</v>
      </c>
      <c r="J1991" s="4" t="s">
        <v>8157</v>
      </c>
      <c r="K1991" s="6" t="str">
        <f aca="false">HYPERLINK("https://www.google.com/search?q=Sheppard+Memorial+Library+Greenville+NC+library+website","Search")</f>
        <v>Search</v>
      </c>
      <c r="L1991" s="7"/>
      <c r="M1991" s="8" t="str">
        <f aca="false">HYPERLINK("https://sheppardnc.overdrive.com","https://sheppardnc.overdrive.com")</f>
        <v>https://sheppardnc.overdrive.com</v>
      </c>
    </row>
    <row r="1992" customFormat="false" ht="15" hidden="false" customHeight="true" outlineLevel="0" collapsed="false">
      <c r="A1992" s="4" t="s">
        <v>7862</v>
      </c>
      <c r="B1992" s="4" t="s">
        <v>8158</v>
      </c>
      <c r="C1992" s="4" t="s">
        <v>8159</v>
      </c>
      <c r="D1992" s="4" t="s">
        <v>8007</v>
      </c>
      <c r="E1992" s="5" t="n">
        <v>15961</v>
      </c>
      <c r="F1992" s="4" t="n">
        <v>1</v>
      </c>
      <c r="G1992" s="4" t="s">
        <v>8160</v>
      </c>
      <c r="H1992" s="4" t="n">
        <v>35.17636</v>
      </c>
      <c r="I1992" s="4" t="n">
        <v>-79.39026</v>
      </c>
      <c r="J1992" s="4" t="s">
        <v>8161</v>
      </c>
      <c r="K1992" s="6" t="str">
        <f aca="false">HYPERLINK("https://www.google.com/search?q=Southern+Pines+Public+Library+Southern+Pines+NC+library+website","Search")</f>
        <v>Search</v>
      </c>
      <c r="L1992" s="7"/>
      <c r="M1992" s="7"/>
    </row>
    <row r="1993" customFormat="false" ht="15" hidden="false" customHeight="true" outlineLevel="0" collapsed="false">
      <c r="A1993" s="4" t="s">
        <v>7862</v>
      </c>
      <c r="B1993" s="4" t="s">
        <v>8162</v>
      </c>
      <c r="C1993" s="4" t="s">
        <v>8163</v>
      </c>
      <c r="D1993" s="4" t="s">
        <v>8164</v>
      </c>
      <c r="E1993" s="5" t="n">
        <v>62659</v>
      </c>
      <c r="F1993" s="4" t="n">
        <v>6</v>
      </c>
      <c r="G1993" s="4" t="s">
        <v>8165</v>
      </c>
      <c r="H1993" s="4" t="n">
        <v>35.35032</v>
      </c>
      <c r="I1993" s="4" t="n">
        <v>-80.19783</v>
      </c>
      <c r="J1993" s="4" t="s">
        <v>8166</v>
      </c>
      <c r="K1993" s="6" t="str">
        <f aca="false">HYPERLINK("https://www.google.com/search?q=Stanly+County+Public+Library+Albemarle+NC+library+website","Search")</f>
        <v>Search</v>
      </c>
      <c r="L1993" s="7"/>
      <c r="M1993" s="7"/>
    </row>
    <row r="1994" customFormat="false" ht="15" hidden="false" customHeight="true" outlineLevel="0" collapsed="false">
      <c r="A1994" s="4" t="s">
        <v>7862</v>
      </c>
      <c r="B1994" s="4" t="s">
        <v>8167</v>
      </c>
      <c r="C1994" s="4" t="s">
        <v>2298</v>
      </c>
      <c r="D1994" s="4" t="s">
        <v>8168</v>
      </c>
      <c r="E1994" s="5" t="n">
        <v>33361</v>
      </c>
      <c r="F1994" s="4" t="n">
        <v>1</v>
      </c>
      <c r="G1994" s="4" t="s">
        <v>8169</v>
      </c>
      <c r="H1994" s="4" t="n">
        <v>35.23086</v>
      </c>
      <c r="I1994" s="4" t="n">
        <v>-82.73476</v>
      </c>
      <c r="J1994" s="4" t="s">
        <v>8170</v>
      </c>
      <c r="K1994" s="6" t="str">
        <f aca="false">HYPERLINK("https://www.google.com/search?q=Transylvania+County+Library+Brevard+NC+library+website","Search")</f>
        <v>Search</v>
      </c>
      <c r="L1994" s="7"/>
      <c r="M1994" s="7"/>
    </row>
    <row r="1995" customFormat="false" ht="15" hidden="false" customHeight="true" outlineLevel="0" collapsed="false">
      <c r="A1995" s="4" t="s">
        <v>7862</v>
      </c>
      <c r="B1995" s="4" t="s">
        <v>8171</v>
      </c>
      <c r="C1995" s="4" t="s">
        <v>311</v>
      </c>
      <c r="D1995" s="4" t="s">
        <v>467</v>
      </c>
      <c r="E1995" s="5" t="n">
        <v>242948</v>
      </c>
      <c r="F1995" s="4" t="n">
        <v>4</v>
      </c>
      <c r="G1995" s="4" t="s">
        <v>8172</v>
      </c>
      <c r="H1995" s="4" t="n">
        <v>34.98142</v>
      </c>
      <c r="I1995" s="4" t="n">
        <v>-80.54588</v>
      </c>
      <c r="J1995" s="4" t="s">
        <v>8173</v>
      </c>
      <c r="K1995" s="6" t="str">
        <f aca="false">HYPERLINK("https://www.google.com/search?q=Union+County+Public+Library+Monroe+NC+library+website","Search")</f>
        <v>Search</v>
      </c>
      <c r="L1995" s="7"/>
      <c r="M1995" s="7"/>
    </row>
    <row r="1996" customFormat="false" ht="15" hidden="false" customHeight="true" outlineLevel="0" collapsed="false">
      <c r="A1996" s="4" t="s">
        <v>7862</v>
      </c>
      <c r="B1996" s="4" t="s">
        <v>8174</v>
      </c>
      <c r="C1996" s="4" t="s">
        <v>8175</v>
      </c>
      <c r="D1996" s="4" t="s">
        <v>8176</v>
      </c>
      <c r="E1996" s="5" t="n">
        <v>1150722</v>
      </c>
      <c r="F1996" s="4" t="n">
        <v>23</v>
      </c>
      <c r="G1996" s="4" t="s">
        <v>8177</v>
      </c>
      <c r="H1996" s="4" t="n">
        <v>35.77125</v>
      </c>
      <c r="I1996" s="4" t="n">
        <v>-78.56929</v>
      </c>
      <c r="J1996" s="4" t="s">
        <v>8178</v>
      </c>
      <c r="K1996" s="6" t="str">
        <f aca="false">HYPERLINK("https://www.google.com/search?q=Wake+County+Public+Libraries+Raleigh+NC+library+website","Search")</f>
        <v>Search</v>
      </c>
      <c r="L1996" s="7"/>
      <c r="M1996" s="8" t="str">
        <f aca="false">HYPERLINK("https://wakegov.overdrive.com","https://wakegov.overdrive.com")</f>
        <v>https://wakegov.overdrive.com</v>
      </c>
    </row>
    <row r="1997" customFormat="false" ht="15" hidden="false" customHeight="true" outlineLevel="0" collapsed="false">
      <c r="A1997" s="4" t="s">
        <v>7862</v>
      </c>
      <c r="B1997" s="4" t="s">
        <v>8179</v>
      </c>
      <c r="C1997" s="4" t="s">
        <v>8180</v>
      </c>
      <c r="D1997" s="4" t="s">
        <v>3012</v>
      </c>
      <c r="E1997" s="5" t="n">
        <v>18850</v>
      </c>
      <c r="F1997" s="4" t="n">
        <v>1</v>
      </c>
      <c r="G1997" s="4" t="s">
        <v>8181</v>
      </c>
      <c r="H1997" s="4" t="n">
        <v>36.39747</v>
      </c>
      <c r="I1997" s="4" t="n">
        <v>-78.15657</v>
      </c>
      <c r="J1997" s="4" t="s">
        <v>8182</v>
      </c>
      <c r="K1997" s="6" t="str">
        <f aca="false">HYPERLINK("https://www.google.com/search?q=Warren+County+Memorial+Library+Warrenton+NC+library+website","Search")</f>
        <v>Search</v>
      </c>
      <c r="L1997" s="7"/>
      <c r="M1997" s="7"/>
    </row>
    <row r="1998" customFormat="false" ht="15" hidden="false" customHeight="true" outlineLevel="0" collapsed="false">
      <c r="A1998" s="4" t="s">
        <v>7862</v>
      </c>
      <c r="B1998" s="4" t="s">
        <v>5197</v>
      </c>
      <c r="C1998" s="4" t="s">
        <v>8183</v>
      </c>
      <c r="D1998" s="4" t="s">
        <v>2849</v>
      </c>
      <c r="E1998" s="5" t="n">
        <v>117662</v>
      </c>
      <c r="F1998" s="4" t="n">
        <v>3</v>
      </c>
      <c r="G1998" s="4" t="s">
        <v>8184</v>
      </c>
      <c r="H1998" s="4" t="n">
        <v>35.38135</v>
      </c>
      <c r="I1998" s="4" t="n">
        <v>-77.9804</v>
      </c>
      <c r="J1998" s="4" t="s">
        <v>8185</v>
      </c>
      <c r="K1998" s="6" t="str">
        <f aca="false">HYPERLINK("https://www.google.com/search?q=Wayne+County+Public+Library+Goldsboro+NC+library+website","Search")</f>
        <v>Search</v>
      </c>
      <c r="L1998" s="7"/>
      <c r="M1998" s="7"/>
    </row>
    <row r="1999" customFormat="false" ht="15" hidden="false" customHeight="true" outlineLevel="0" collapsed="false">
      <c r="A1999" s="4" t="s">
        <v>7862</v>
      </c>
      <c r="B1999" s="4" t="s">
        <v>8186</v>
      </c>
      <c r="C1999" s="4" t="s">
        <v>8187</v>
      </c>
      <c r="D1999" s="4" t="s">
        <v>8187</v>
      </c>
      <c r="E1999" s="5" t="n">
        <v>78559</v>
      </c>
      <c r="F1999" s="4" t="n">
        <v>6</v>
      </c>
      <c r="G1999" s="4" t="s">
        <v>8188</v>
      </c>
      <c r="H1999" s="4" t="n">
        <v>35.72826</v>
      </c>
      <c r="I1999" s="4" t="n">
        <v>-77.9134</v>
      </c>
      <c r="J1999" s="4" t="s">
        <v>8189</v>
      </c>
      <c r="K1999" s="6" t="str">
        <f aca="false">HYPERLINK("https://www.google.com/search?q=Wilson+County+Public+Library+Wilson+NC+library+website","Search")</f>
        <v>Search</v>
      </c>
      <c r="L1999" s="7"/>
      <c r="M1999" s="7"/>
    </row>
    <row r="2000" customFormat="false" ht="15" hidden="false" customHeight="true" outlineLevel="0" collapsed="false">
      <c r="A2000" s="4" t="s">
        <v>8190</v>
      </c>
      <c r="B2000" s="4" t="s">
        <v>8191</v>
      </c>
      <c r="C2000" s="4" t="s">
        <v>8192</v>
      </c>
      <c r="D2000" s="4" t="s">
        <v>8193</v>
      </c>
      <c r="E2000" s="5" t="n">
        <v>98458</v>
      </c>
      <c r="F2000" s="4" t="n">
        <v>1</v>
      </c>
      <c r="G2000" s="4" t="s">
        <v>8194</v>
      </c>
      <c r="H2000" s="4" t="n">
        <v>46.81019</v>
      </c>
      <c r="I2000" s="4" t="n">
        <v>-100.7835</v>
      </c>
      <c r="J2000" s="4" t="s">
        <v>8195</v>
      </c>
      <c r="K2000" s="6" t="str">
        <f aca="false">HYPERLINK("https://www.google.com/search?q=Bismarck+Veterans+Memorial+Public+Library+Bismarck+ND+library+website","Search")</f>
        <v>Search</v>
      </c>
      <c r="L2000" s="7"/>
      <c r="M2000" s="7"/>
    </row>
    <row r="2001" customFormat="false" ht="15" hidden="false" customHeight="true" outlineLevel="0" collapsed="false">
      <c r="A2001" s="4" t="s">
        <v>8190</v>
      </c>
      <c r="B2001" s="4" t="s">
        <v>8196</v>
      </c>
      <c r="C2001" s="4" t="s">
        <v>5692</v>
      </c>
      <c r="D2001" s="4" t="s">
        <v>8197</v>
      </c>
      <c r="E2001" s="5" t="n">
        <v>10563</v>
      </c>
      <c r="F2001" s="4" t="n">
        <v>2</v>
      </c>
      <c r="G2001" s="4" t="s">
        <v>8198</v>
      </c>
      <c r="H2001" s="4" t="n">
        <v>48.41759</v>
      </c>
      <c r="I2001" s="4" t="n">
        <v>-97.413</v>
      </c>
      <c r="J2001" s="4" t="s">
        <v>8199</v>
      </c>
      <c r="K2001" s="6" t="str">
        <f aca="false">HYPERLINK("https://www.google.com/search?q=Carnegie+Regional+Library+Grafton+ND+library+website","Search")</f>
        <v>Search</v>
      </c>
      <c r="L2001" s="7"/>
      <c r="M2001" s="7"/>
    </row>
    <row r="2002" customFormat="false" ht="15" hidden="false" customHeight="true" outlineLevel="0" collapsed="false">
      <c r="A2002" s="4" t="s">
        <v>8190</v>
      </c>
      <c r="B2002" s="4" t="s">
        <v>8200</v>
      </c>
      <c r="C2002" s="4" t="s">
        <v>3123</v>
      </c>
      <c r="D2002" s="4" t="s">
        <v>8201</v>
      </c>
      <c r="E2002" s="5" t="n">
        <v>35297</v>
      </c>
      <c r="F2002" s="4" t="n">
        <v>2</v>
      </c>
      <c r="G2002" s="4" t="s">
        <v>8202</v>
      </c>
      <c r="H2002" s="4" t="n">
        <v>46.88197</v>
      </c>
      <c r="I2002" s="4" t="n">
        <v>-102.78765</v>
      </c>
      <c r="J2002" s="4" t="s">
        <v>8203</v>
      </c>
      <c r="K2002" s="6" t="str">
        <f aca="false">HYPERLINK("https://www.google.com/search?q=Dickinson+Area+Public+Library+Dickinson+ND+library+website","Search")</f>
        <v>Search</v>
      </c>
      <c r="L2002" s="7"/>
      <c r="M2002" s="7"/>
    </row>
    <row r="2003" customFormat="false" ht="15" hidden="false" customHeight="true" outlineLevel="0" collapsed="false">
      <c r="A2003" s="4" t="s">
        <v>8190</v>
      </c>
      <c r="B2003" s="4" t="s">
        <v>8204</v>
      </c>
      <c r="C2003" s="4" t="s">
        <v>8205</v>
      </c>
      <c r="D2003" s="4" t="s">
        <v>4467</v>
      </c>
      <c r="E2003" s="5" t="n">
        <v>125990</v>
      </c>
      <c r="F2003" s="4" t="n">
        <v>3</v>
      </c>
      <c r="G2003" s="4" t="s">
        <v>8206</v>
      </c>
      <c r="H2003" s="4" t="n">
        <v>46.87729</v>
      </c>
      <c r="I2003" s="4" t="n">
        <v>-96.78375</v>
      </c>
      <c r="J2003" s="4" t="s">
        <v>8207</v>
      </c>
      <c r="K2003" s="6" t="str">
        <f aca="false">HYPERLINK("https://www.google.com/search?q=Fargo+Public+Library+Fargo+ND+library+website","Search")</f>
        <v>Search</v>
      </c>
      <c r="L2003" s="7"/>
      <c r="M2003" s="7"/>
    </row>
    <row r="2004" customFormat="false" ht="15" hidden="false" customHeight="true" outlineLevel="0" collapsed="false">
      <c r="A2004" s="4" t="s">
        <v>8190</v>
      </c>
      <c r="B2004" s="4" t="s">
        <v>8208</v>
      </c>
      <c r="C2004" s="4" t="s">
        <v>8209</v>
      </c>
      <c r="D2004" s="4" t="s">
        <v>8209</v>
      </c>
      <c r="E2004" s="5" t="n">
        <v>73170</v>
      </c>
      <c r="F2004" s="4" t="n">
        <v>1</v>
      </c>
      <c r="G2004" s="4" t="s">
        <v>8210</v>
      </c>
      <c r="H2004" s="4" t="n">
        <v>47.899</v>
      </c>
      <c r="I2004" s="4" t="n">
        <v>-97.04959</v>
      </c>
      <c r="J2004" s="4" t="s">
        <v>8211</v>
      </c>
      <c r="K2004" s="6" t="str">
        <f aca="false">HYPERLINK("https://www.google.com/search?q=Grand+Forks+Public+Library+Grand+Forks+ND+library+website","Search")</f>
        <v>Search</v>
      </c>
      <c r="L2004" s="7"/>
      <c r="M2004" s="7"/>
    </row>
    <row r="2005" customFormat="false" ht="15" hidden="false" customHeight="true" outlineLevel="0" collapsed="false">
      <c r="A2005" s="4" t="s">
        <v>8190</v>
      </c>
      <c r="B2005" s="4" t="s">
        <v>8212</v>
      </c>
      <c r="C2005" s="4" t="s">
        <v>5165</v>
      </c>
      <c r="D2005" s="4" t="s">
        <v>8213</v>
      </c>
      <c r="E2005" s="5" t="n">
        <v>21593</v>
      </c>
      <c r="F2005" s="4" t="n">
        <v>2</v>
      </c>
      <c r="G2005" s="4" t="s">
        <v>8214</v>
      </c>
      <c r="H2005" s="4" t="n">
        <v>46.90637</v>
      </c>
      <c r="I2005" s="4" t="n">
        <v>-98.70794</v>
      </c>
      <c r="J2005" s="4" t="s">
        <v>8215</v>
      </c>
      <c r="K2005" s="6" t="str">
        <f aca="false">HYPERLINK("https://www.google.com/search?q=James+River+Valley+Library+System+Jamestown+ND+library+website","Search")</f>
        <v>Search</v>
      </c>
      <c r="L2005" s="7"/>
      <c r="M2005" s="7"/>
    </row>
    <row r="2006" customFormat="false" ht="15" hidden="false" customHeight="true" outlineLevel="0" collapsed="false">
      <c r="A2006" s="4" t="s">
        <v>8190</v>
      </c>
      <c r="B2006" s="4" t="s">
        <v>8216</v>
      </c>
      <c r="C2006" s="4" t="s">
        <v>8217</v>
      </c>
      <c r="D2006" s="4" t="s">
        <v>7274</v>
      </c>
      <c r="E2006" s="5" t="n">
        <v>11605</v>
      </c>
      <c r="F2006" s="4" t="n">
        <v>1</v>
      </c>
      <c r="G2006" s="4" t="s">
        <v>8218</v>
      </c>
      <c r="H2006" s="4" t="n">
        <v>48.11479</v>
      </c>
      <c r="I2006" s="4" t="n">
        <v>-98.85908</v>
      </c>
      <c r="J2006" s="4" t="s">
        <v>8219</v>
      </c>
      <c r="K2006" s="6" t="str">
        <f aca="false">HYPERLINK("https://www.google.com/search?q=Lake+Region+Public+Library+Devils+Lake+ND+library+website","Search")</f>
        <v>Search</v>
      </c>
      <c r="L2006" s="7"/>
      <c r="M2006" s="7"/>
    </row>
    <row r="2007" customFormat="false" ht="15" hidden="false" customHeight="true" outlineLevel="0" collapsed="false">
      <c r="A2007" s="4" t="s">
        <v>8190</v>
      </c>
      <c r="B2007" s="4" t="s">
        <v>8220</v>
      </c>
      <c r="C2007" s="4" t="s">
        <v>8221</v>
      </c>
      <c r="D2007" s="4" t="s">
        <v>8222</v>
      </c>
      <c r="E2007" s="5" t="n">
        <v>14704</v>
      </c>
      <c r="F2007" s="4" t="n">
        <v>1</v>
      </c>
      <c r="G2007" s="4" t="s">
        <v>8223</v>
      </c>
      <c r="H2007" s="4" t="n">
        <v>47.80235</v>
      </c>
      <c r="I2007" s="4" t="n">
        <v>-103.28204</v>
      </c>
      <c r="J2007" s="4" t="s">
        <v>8224</v>
      </c>
      <c r="K2007" s="6" t="str">
        <f aca="false">HYPERLINK("https://www.google.com/search?q=Mckenzie+County+Public+Library+Watford+City+ND+library+website","Search")</f>
        <v>Search</v>
      </c>
      <c r="L2007" s="7"/>
      <c r="M2007" s="7"/>
    </row>
    <row r="2008" customFormat="false" ht="15" hidden="false" customHeight="true" outlineLevel="0" collapsed="false">
      <c r="A2008" s="4" t="s">
        <v>8190</v>
      </c>
      <c r="B2008" s="4" t="s">
        <v>8225</v>
      </c>
      <c r="C2008" s="4" t="s">
        <v>8226</v>
      </c>
      <c r="D2008" s="4" t="s">
        <v>8227</v>
      </c>
      <c r="E2008" s="5" t="n">
        <v>48377</v>
      </c>
      <c r="F2008" s="4" t="n">
        <v>1</v>
      </c>
      <c r="G2008" s="4" t="s">
        <v>8228</v>
      </c>
      <c r="H2008" s="4" t="n">
        <v>48.23422</v>
      </c>
      <c r="I2008" s="4" t="n">
        <v>-101.30122</v>
      </c>
      <c r="J2008" s="4" t="s">
        <v>8229</v>
      </c>
      <c r="K2008" s="6" t="str">
        <f aca="false">HYPERLINK("https://www.google.com/search?q=Minot+Public+Library+Minot+ND+library+website","Search")</f>
        <v>Search</v>
      </c>
      <c r="L2008" s="7"/>
      <c r="M2008" s="7"/>
    </row>
    <row r="2009" customFormat="false" ht="15" hidden="false" customHeight="true" outlineLevel="0" collapsed="false">
      <c r="A2009" s="4" t="s">
        <v>8190</v>
      </c>
      <c r="B2009" s="4" t="s">
        <v>8230</v>
      </c>
      <c r="C2009" s="4" t="s">
        <v>8231</v>
      </c>
      <c r="D2009" s="4" t="s">
        <v>3872</v>
      </c>
      <c r="E2009" s="5" t="n">
        <v>33291</v>
      </c>
      <c r="F2009" s="4" t="n">
        <v>1</v>
      </c>
      <c r="G2009" s="4" t="s">
        <v>8232</v>
      </c>
      <c r="H2009" s="4" t="n">
        <v>46.82541</v>
      </c>
      <c r="I2009" s="4" t="n">
        <v>-100.89698</v>
      </c>
      <c r="J2009" s="4" t="s">
        <v>8233</v>
      </c>
      <c r="K2009" s="6" t="str">
        <f aca="false">HYPERLINK("https://www.google.com/search?q=Morton+Mandan+Public+Library+Mandan+ND+library+website","Search")</f>
        <v>Search</v>
      </c>
      <c r="L2009" s="7"/>
      <c r="M2009" s="7"/>
    </row>
    <row r="2010" customFormat="false" ht="15" hidden="false" customHeight="true" outlineLevel="0" collapsed="false">
      <c r="A2010" s="4" t="s">
        <v>8190</v>
      </c>
      <c r="B2010" s="4" t="s">
        <v>8234</v>
      </c>
      <c r="C2010" s="4" t="s">
        <v>8235</v>
      </c>
      <c r="D2010" s="4" t="s">
        <v>8236</v>
      </c>
      <c r="E2010" s="5" t="n">
        <v>10583</v>
      </c>
      <c r="F2010" s="4" t="n">
        <v>2</v>
      </c>
      <c r="G2010" s="4" t="s">
        <v>8237</v>
      </c>
      <c r="H2010" s="4" t="n">
        <v>46.9265</v>
      </c>
      <c r="I2010" s="4" t="n">
        <v>-98.00309</v>
      </c>
      <c r="J2010" s="4" t="s">
        <v>8238</v>
      </c>
      <c r="K2010" s="6" t="str">
        <f aca="false">HYPERLINK("https://www.google.com/search?q=Valley+City+Barnes+County+Public+Library+Valley+City+ND+library+website","Search")</f>
        <v>Search</v>
      </c>
      <c r="L2010" s="7"/>
      <c r="M2010" s="7"/>
    </row>
    <row r="2011" customFormat="false" ht="15" hidden="false" customHeight="true" outlineLevel="0" collapsed="false">
      <c r="A2011" s="4" t="s">
        <v>8190</v>
      </c>
      <c r="B2011" s="4" t="s">
        <v>8239</v>
      </c>
      <c r="C2011" s="4" t="s">
        <v>8226</v>
      </c>
      <c r="D2011" s="4" t="s">
        <v>8227</v>
      </c>
      <c r="E2011" s="5" t="n">
        <v>31351</v>
      </c>
      <c r="F2011" s="4" t="n">
        <v>2</v>
      </c>
      <c r="G2011" s="4" t="s">
        <v>8240</v>
      </c>
      <c r="H2011" s="4" t="n">
        <v>48.23344</v>
      </c>
      <c r="I2011" s="4" t="n">
        <v>-101.28794</v>
      </c>
      <c r="J2011" s="4" t="s">
        <v>8241</v>
      </c>
      <c r="K2011" s="6" t="str">
        <f aca="false">HYPERLINK("https://www.google.com/search?q=Ward+County+Public+Library+Minot+ND+library+website","Search")</f>
        <v>Search</v>
      </c>
      <c r="L2011" s="7"/>
      <c r="M2011" s="7"/>
    </row>
    <row r="2012" customFormat="false" ht="15" hidden="false" customHeight="true" outlineLevel="0" collapsed="false">
      <c r="A2012" s="4" t="s">
        <v>8190</v>
      </c>
      <c r="B2012" s="4" t="s">
        <v>8242</v>
      </c>
      <c r="C2012" s="4" t="s">
        <v>8243</v>
      </c>
      <c r="D2012" s="4" t="s">
        <v>4467</v>
      </c>
      <c r="E2012" s="5" t="n">
        <v>40601</v>
      </c>
      <c r="F2012" s="4" t="n">
        <v>1</v>
      </c>
      <c r="G2012" s="4" t="s">
        <v>8244</v>
      </c>
      <c r="H2012" s="4" t="n">
        <v>46.87459</v>
      </c>
      <c r="I2012" s="4" t="n">
        <v>-96.89595</v>
      </c>
      <c r="J2012" s="4" t="s">
        <v>8245</v>
      </c>
      <c r="K2012" s="6" t="str">
        <f aca="false">HYPERLINK("https://www.google.com/search?q=West+Fargo+Public+Library+West+Fargo+ND+library+website","Search")</f>
        <v>Search</v>
      </c>
      <c r="L2012" s="7"/>
      <c r="M2012" s="7"/>
    </row>
    <row r="2013" customFormat="false" ht="15" hidden="false" customHeight="true" outlineLevel="0" collapsed="false">
      <c r="A2013" s="4" t="s">
        <v>8190</v>
      </c>
      <c r="B2013" s="4" t="s">
        <v>8246</v>
      </c>
      <c r="C2013" s="4" t="s">
        <v>8247</v>
      </c>
      <c r="D2013" s="4" t="s">
        <v>8248</v>
      </c>
      <c r="E2013" s="5" t="n">
        <v>38748</v>
      </c>
      <c r="F2013" s="4" t="n">
        <v>1</v>
      </c>
      <c r="G2013" s="4" t="s">
        <v>8249</v>
      </c>
      <c r="H2013" s="4" t="n">
        <v>48.15699</v>
      </c>
      <c r="I2013" s="4" t="n">
        <v>-103.6395</v>
      </c>
      <c r="J2013" s="4" t="s">
        <v>8250</v>
      </c>
      <c r="K2013" s="6" t="str">
        <f aca="false">HYPERLINK("https://www.google.com/search?q=Williston+Community+Library+Williston+ND+library+website","Search")</f>
        <v>Search</v>
      </c>
      <c r="L2013" s="7"/>
      <c r="M2013" s="7"/>
    </row>
    <row r="2014" customFormat="false" ht="15" hidden="false" customHeight="true" outlineLevel="0" collapsed="false">
      <c r="A2014" s="4" t="s">
        <v>8251</v>
      </c>
      <c r="B2014" s="4" t="s">
        <v>8252</v>
      </c>
      <c r="C2014" s="4" t="s">
        <v>8253</v>
      </c>
      <c r="D2014" s="4" t="s">
        <v>8254</v>
      </c>
      <c r="E2014" s="5" t="n">
        <v>12209</v>
      </c>
      <c r="F2014" s="4" t="n">
        <v>1</v>
      </c>
      <c r="G2014" s="4" t="s">
        <v>8255</v>
      </c>
      <c r="H2014" s="4" t="n">
        <v>40.26633</v>
      </c>
      <c r="I2014" s="4" t="n">
        <v>-96.73238</v>
      </c>
      <c r="J2014" s="4" t="s">
        <v>8256</v>
      </c>
      <c r="K2014" s="6" t="str">
        <f aca="false">HYPERLINK("https://www.google.com/search?q=Beatrice+Public+Library+Beatrice+NE+library+website","Search")</f>
        <v>Search</v>
      </c>
      <c r="L2014" s="7"/>
      <c r="M2014" s="7"/>
    </row>
    <row r="2015" customFormat="false" ht="15" hidden="false" customHeight="true" outlineLevel="0" collapsed="false">
      <c r="A2015" s="4" t="s">
        <v>8251</v>
      </c>
      <c r="B2015" s="4" t="s">
        <v>8257</v>
      </c>
      <c r="C2015" s="4" t="s">
        <v>8258</v>
      </c>
      <c r="D2015" s="4" t="s">
        <v>8259</v>
      </c>
      <c r="E2015" s="5" t="n">
        <v>63737</v>
      </c>
      <c r="F2015" s="4" t="n">
        <v>1</v>
      </c>
      <c r="G2015" s="4" t="s">
        <v>8260</v>
      </c>
      <c r="H2015" s="4" t="n">
        <v>41.15005</v>
      </c>
      <c r="I2015" s="4" t="n">
        <v>-95.90757</v>
      </c>
      <c r="J2015" s="4" t="s">
        <v>8261</v>
      </c>
      <c r="K2015" s="6" t="str">
        <f aca="false">HYPERLINK("https://www.google.com/search?q=Bellevue+Public+Library+Bellevue+NE+library+website","Search")</f>
        <v>Search</v>
      </c>
      <c r="L2015" s="7"/>
      <c r="M2015" s="7"/>
    </row>
    <row r="2016" customFormat="false" ht="15" hidden="false" customHeight="true" outlineLevel="0" collapsed="false">
      <c r="A2016" s="4" t="s">
        <v>8251</v>
      </c>
      <c r="B2016" s="4" t="s">
        <v>8262</v>
      </c>
      <c r="C2016" s="4" t="s">
        <v>2626</v>
      </c>
      <c r="D2016" s="4" t="s">
        <v>8263</v>
      </c>
      <c r="E2016" s="5" t="n">
        <v>24123</v>
      </c>
      <c r="F2016" s="4" t="n">
        <v>1</v>
      </c>
      <c r="G2016" s="4" t="s">
        <v>8264</v>
      </c>
      <c r="H2016" s="4" t="n">
        <v>41.43021</v>
      </c>
      <c r="I2016" s="4" t="n">
        <v>-97.35713</v>
      </c>
      <c r="J2016" s="4" t="s">
        <v>8265</v>
      </c>
      <c r="K2016" s="6" t="str">
        <f aca="false">HYPERLINK("https://www.google.com/search?q=Columbus+Public+Library+Columbus+NE+library+website","Search")</f>
        <v>Search</v>
      </c>
      <c r="L2016" s="7"/>
      <c r="M2016" s="7"/>
    </row>
    <row r="2017" customFormat="false" ht="15" hidden="false" customHeight="true" outlineLevel="0" collapsed="false">
      <c r="A2017" s="4" t="s">
        <v>8251</v>
      </c>
      <c r="B2017" s="4" t="s">
        <v>8266</v>
      </c>
      <c r="C2017" s="4" t="s">
        <v>8267</v>
      </c>
      <c r="D2017" s="4" t="s">
        <v>2705</v>
      </c>
      <c r="E2017" s="5" t="n">
        <v>52335</v>
      </c>
      <c r="F2017" s="4" t="n">
        <v>1</v>
      </c>
      <c r="G2017" s="4" t="s">
        <v>8268</v>
      </c>
      <c r="H2017" s="4" t="n">
        <v>40.9202</v>
      </c>
      <c r="I2017" s="4" t="n">
        <v>-98.35105</v>
      </c>
      <c r="J2017" s="4" t="s">
        <v>8269</v>
      </c>
      <c r="K2017" s="6" t="str">
        <f aca="false">HYPERLINK("https://www.google.com/search?q=Grand+Island+Public+Library+Grand+Island+NE+library+website","Search")</f>
        <v>Search</v>
      </c>
      <c r="L2017" s="7"/>
      <c r="M2017" s="7"/>
    </row>
    <row r="2018" customFormat="false" ht="15" hidden="false" customHeight="true" outlineLevel="0" collapsed="false">
      <c r="A2018" s="4" t="s">
        <v>8251</v>
      </c>
      <c r="B2018" s="4" t="s">
        <v>6721</v>
      </c>
      <c r="C2018" s="4" t="s">
        <v>6722</v>
      </c>
      <c r="D2018" s="4" t="s">
        <v>1749</v>
      </c>
      <c r="E2018" s="5" t="n">
        <v>31027</v>
      </c>
      <c r="F2018" s="4" t="n">
        <v>1</v>
      </c>
      <c r="G2018" s="4" t="s">
        <v>8270</v>
      </c>
      <c r="H2018" s="4" t="n">
        <v>40.58678</v>
      </c>
      <c r="I2018" s="4" t="n">
        <v>-98.38859</v>
      </c>
      <c r="J2018" s="4" t="s">
        <v>8271</v>
      </c>
      <c r="K2018" s="6" t="str">
        <f aca="false">HYPERLINK("https://www.google.com/search?q=Hastings+Public+Library+Hastings+NE+library+website","Search")</f>
        <v>Search</v>
      </c>
      <c r="L2018" s="7"/>
      <c r="M2018" s="7"/>
    </row>
    <row r="2019" customFormat="false" ht="15" hidden="false" customHeight="true" outlineLevel="0" collapsed="false">
      <c r="A2019" s="4" t="s">
        <v>8251</v>
      </c>
      <c r="B2019" s="4" t="s">
        <v>8272</v>
      </c>
      <c r="C2019" s="4" t="s">
        <v>8273</v>
      </c>
      <c r="D2019" s="4" t="s">
        <v>7385</v>
      </c>
      <c r="E2019" s="5" t="n">
        <v>33959</v>
      </c>
      <c r="F2019" s="4" t="n">
        <v>1</v>
      </c>
      <c r="G2019" s="4" t="s">
        <v>8274</v>
      </c>
      <c r="H2019" s="4" t="n">
        <v>40.69616</v>
      </c>
      <c r="I2019" s="4" t="n">
        <v>-99.08315</v>
      </c>
      <c r="J2019" s="4" t="s">
        <v>8275</v>
      </c>
      <c r="K2019" s="6" t="str">
        <f aca="false">HYPERLINK("https://www.google.com/search?q=Kearney+Public+Library+Kearney+NE+library+website","Search")</f>
        <v>Search</v>
      </c>
      <c r="L2019" s="7"/>
      <c r="M2019" s="7"/>
    </row>
    <row r="2020" customFormat="false" ht="15" hidden="false" customHeight="true" outlineLevel="0" collapsed="false">
      <c r="A2020" s="4" t="s">
        <v>8251</v>
      </c>
      <c r="B2020" s="4" t="s">
        <v>8276</v>
      </c>
      <c r="C2020" s="4" t="s">
        <v>863</v>
      </c>
      <c r="D2020" s="4" t="s">
        <v>2777</v>
      </c>
      <c r="E2020" s="5" t="n">
        <v>27743</v>
      </c>
      <c r="F2020" s="4" t="n">
        <v>1</v>
      </c>
      <c r="G2020" s="4" t="s">
        <v>8277</v>
      </c>
      <c r="H2020" s="4" t="n">
        <v>41.43924</v>
      </c>
      <c r="I2020" s="4" t="n">
        <v>-96.49815</v>
      </c>
      <c r="J2020" s="4" t="s">
        <v>8278</v>
      </c>
      <c r="K2020" s="6" t="str">
        <f aca="false">HYPERLINK("https://www.google.com/search?q=Keene+Memorial+Library+Fremont+NE+library+website","Search")</f>
        <v>Search</v>
      </c>
      <c r="L2020" s="7"/>
      <c r="M2020" s="7"/>
    </row>
    <row r="2021" customFormat="false" ht="15" hidden="false" customHeight="true" outlineLevel="0" collapsed="false">
      <c r="A2021" s="4" t="s">
        <v>8251</v>
      </c>
      <c r="B2021" s="4" t="s">
        <v>8279</v>
      </c>
      <c r="C2021" s="4" t="s">
        <v>8280</v>
      </c>
      <c r="D2021" s="4" t="s">
        <v>8259</v>
      </c>
      <c r="E2021" s="5" t="n">
        <v>16648</v>
      </c>
      <c r="F2021" s="4" t="n">
        <v>1</v>
      </c>
      <c r="G2021" s="4" t="s">
        <v>8281</v>
      </c>
      <c r="H2021" s="4" t="n">
        <v>41.17635</v>
      </c>
      <c r="I2021" s="4" t="n">
        <v>-96.05428</v>
      </c>
      <c r="J2021" s="4" t="s">
        <v>8282</v>
      </c>
      <c r="K2021" s="6" t="str">
        <f aca="false">HYPERLINK("https://www.google.com/search?q=La+Vista+Public+Library+La+Vista+NE+library+website","Search")</f>
        <v>Search</v>
      </c>
      <c r="L2021" s="7"/>
      <c r="M2021" s="7"/>
    </row>
    <row r="2022" customFormat="false" ht="15" hidden="false" customHeight="true" outlineLevel="0" collapsed="false">
      <c r="A2022" s="4" t="s">
        <v>8251</v>
      </c>
      <c r="B2022" s="4" t="s">
        <v>5036</v>
      </c>
      <c r="C2022" s="4" t="s">
        <v>5037</v>
      </c>
      <c r="D2022" s="4" t="s">
        <v>2726</v>
      </c>
      <c r="E2022" s="5" t="n">
        <v>10360</v>
      </c>
      <c r="F2022" s="4" t="n">
        <v>1</v>
      </c>
      <c r="G2022" s="4" t="s">
        <v>8283</v>
      </c>
      <c r="H2022" s="4" t="n">
        <v>40.78247</v>
      </c>
      <c r="I2022" s="4" t="n">
        <v>-99.74153</v>
      </c>
      <c r="J2022" s="4" t="s">
        <v>8284</v>
      </c>
      <c r="K2022" s="6" t="str">
        <f aca="false">HYPERLINK("https://www.google.com/search?q=Lexington+Public+Library+Lexington+NE+library+website","Search")</f>
        <v>Search</v>
      </c>
      <c r="L2022" s="7"/>
      <c r="M2022" s="7"/>
    </row>
    <row r="2023" customFormat="false" ht="15" hidden="false" customHeight="true" outlineLevel="0" collapsed="false">
      <c r="A2023" s="4" t="s">
        <v>8251</v>
      </c>
      <c r="B2023" s="4" t="s">
        <v>8285</v>
      </c>
      <c r="C2023" s="4" t="s">
        <v>8286</v>
      </c>
      <c r="D2023" s="4" t="s">
        <v>8287</v>
      </c>
      <c r="E2023" s="5" t="n">
        <v>14282</v>
      </c>
      <c r="F2023" s="4" t="n">
        <v>1</v>
      </c>
      <c r="G2023" s="4" t="s">
        <v>8288</v>
      </c>
      <c r="H2023" s="4" t="n">
        <v>41.86494</v>
      </c>
      <c r="I2023" s="4" t="n">
        <v>-103.65859</v>
      </c>
      <c r="J2023" s="4" t="s">
        <v>8289</v>
      </c>
      <c r="K2023" s="6" t="str">
        <f aca="false">HYPERLINK("https://www.google.com/search?q=Lied+Scottsbluff+Public+Library+Scottsbluff+NE+library+website","Search")</f>
        <v>Search</v>
      </c>
      <c r="L2023" s="7"/>
      <c r="M2023" s="7"/>
    </row>
    <row r="2024" customFormat="false" ht="15" hidden="false" customHeight="true" outlineLevel="0" collapsed="false">
      <c r="A2024" s="4" t="s">
        <v>8251</v>
      </c>
      <c r="B2024" s="4" t="s">
        <v>8290</v>
      </c>
      <c r="C2024" s="4" t="s">
        <v>1131</v>
      </c>
      <c r="D2024" s="4" t="s">
        <v>4923</v>
      </c>
      <c r="E2024" s="5" t="n">
        <v>324514</v>
      </c>
      <c r="F2024" s="4" t="n">
        <v>8</v>
      </c>
      <c r="G2024" s="4" t="s">
        <v>8291</v>
      </c>
      <c r="H2024" s="4" t="n">
        <v>40.81282</v>
      </c>
      <c r="I2024" s="4" t="n">
        <v>-96.70108</v>
      </c>
      <c r="J2024" s="4" t="s">
        <v>8292</v>
      </c>
      <c r="K2024" s="6" t="str">
        <f aca="false">HYPERLINK("https://www.google.com/search?q=Lincoln+City+Libraries+Lincoln+NE+library+website","Search")</f>
        <v>Search</v>
      </c>
      <c r="L2024" s="7"/>
      <c r="M2024" s="7"/>
    </row>
    <row r="2025" customFormat="false" ht="15" hidden="false" customHeight="true" outlineLevel="0" collapsed="false">
      <c r="A2025" s="4" t="s">
        <v>8251</v>
      </c>
      <c r="B2025" s="4" t="s">
        <v>5902</v>
      </c>
      <c r="C2025" s="4" t="s">
        <v>5524</v>
      </c>
      <c r="D2025" s="4" t="s">
        <v>261</v>
      </c>
      <c r="E2025" s="5" t="n">
        <v>24967</v>
      </c>
      <c r="F2025" s="4" t="n">
        <v>1</v>
      </c>
      <c r="G2025" s="4" t="s">
        <v>8293</v>
      </c>
      <c r="H2025" s="4" t="n">
        <v>42.03648</v>
      </c>
      <c r="I2025" s="4" t="n">
        <v>-97.41116</v>
      </c>
      <c r="J2025" s="4" t="s">
        <v>8294</v>
      </c>
      <c r="K2025" s="6" t="str">
        <f aca="false">HYPERLINK("https://www.google.com/search?q=Norfolk+Public+Library+Norfolk+NE+library+website","Search")</f>
        <v>Search</v>
      </c>
      <c r="L2025" s="7"/>
      <c r="M2025" s="7"/>
    </row>
    <row r="2026" customFormat="false" ht="15" hidden="false" customHeight="true" outlineLevel="0" collapsed="false">
      <c r="A2026" s="4" t="s">
        <v>8251</v>
      </c>
      <c r="B2026" s="4" t="s">
        <v>8295</v>
      </c>
      <c r="C2026" s="4" t="s">
        <v>8296</v>
      </c>
      <c r="D2026" s="4" t="s">
        <v>1131</v>
      </c>
      <c r="E2026" s="5" t="n">
        <v>34133</v>
      </c>
      <c r="F2026" s="4" t="n">
        <v>1</v>
      </c>
      <c r="G2026" s="4" t="s">
        <v>8297</v>
      </c>
      <c r="H2026" s="4" t="n">
        <v>41.1365</v>
      </c>
      <c r="I2026" s="4" t="n">
        <v>-100.76357</v>
      </c>
      <c r="J2026" s="4" t="s">
        <v>8298</v>
      </c>
      <c r="K2026" s="6" t="str">
        <f aca="false">HYPERLINK("https://www.google.com/search?q=North+Platte+Public+Library+North+Platte+NE+library+website","Search")</f>
        <v>Search</v>
      </c>
      <c r="L2026" s="7"/>
      <c r="M2026" s="7"/>
    </row>
    <row r="2027" customFormat="false" ht="15" hidden="false" customHeight="true" outlineLevel="0" collapsed="false">
      <c r="A2027" s="4" t="s">
        <v>8251</v>
      </c>
      <c r="B2027" s="4" t="s">
        <v>8299</v>
      </c>
      <c r="C2027" s="4" t="s">
        <v>8300</v>
      </c>
      <c r="D2027" s="4" t="s">
        <v>719</v>
      </c>
      <c r="E2027" s="5" t="n">
        <v>567493</v>
      </c>
      <c r="F2027" s="4" t="n">
        <v>14</v>
      </c>
      <c r="G2027" s="4" t="s">
        <v>8301</v>
      </c>
      <c r="H2027" s="4" t="n">
        <v>41.25811</v>
      </c>
      <c r="I2027" s="4" t="n">
        <v>-95.93579</v>
      </c>
      <c r="J2027" s="4" t="s">
        <v>8302</v>
      </c>
      <c r="K2027" s="6" t="str">
        <f aca="false">HYPERLINK("https://www.google.com/search?q=Omaha+Public+Library+Omaha+NE+library+website","Search")</f>
        <v>Search</v>
      </c>
      <c r="L2027" s="7"/>
      <c r="M2027" s="8" t="str">
        <f aca="false">HYPERLINK("https://omaha.overdrive.com","https://omaha.overdrive.com")</f>
        <v>https://omaha.overdrive.com</v>
      </c>
    </row>
    <row r="2028" customFormat="false" ht="15" hidden="false" customHeight="true" outlineLevel="0" collapsed="false">
      <c r="A2028" s="4" t="s">
        <v>8251</v>
      </c>
      <c r="B2028" s="4" t="s">
        <v>8303</v>
      </c>
      <c r="C2028" s="4" t="s">
        <v>8304</v>
      </c>
      <c r="D2028" s="4" t="s">
        <v>8259</v>
      </c>
      <c r="E2028" s="5" t="n">
        <v>24105</v>
      </c>
      <c r="F2028" s="4" t="n">
        <v>2</v>
      </c>
      <c r="G2028" s="4" t="s">
        <v>8305</v>
      </c>
      <c r="H2028" s="4" t="n">
        <v>41.15775</v>
      </c>
      <c r="I2028" s="4" t="n">
        <v>-96.04165</v>
      </c>
      <c r="J2028" s="4" t="s">
        <v>8306</v>
      </c>
      <c r="K2028" s="6" t="str">
        <f aca="false">HYPERLINK("https://www.google.com/search?q=Papillion+Public+Library+Papillion+NE+library+website","Search")</f>
        <v>Search</v>
      </c>
      <c r="L2028" s="7"/>
      <c r="M2028" s="7"/>
    </row>
    <row r="2029" customFormat="false" ht="15" hidden="false" customHeight="true" outlineLevel="0" collapsed="false">
      <c r="A2029" s="4" t="s">
        <v>8251</v>
      </c>
      <c r="B2029" s="4" t="s">
        <v>8307</v>
      </c>
      <c r="C2029" s="4" t="s">
        <v>8308</v>
      </c>
      <c r="D2029" s="4" t="s">
        <v>7166</v>
      </c>
      <c r="E2029" s="5" t="n">
        <v>13814</v>
      </c>
      <c r="F2029" s="4" t="n">
        <v>1</v>
      </c>
      <c r="G2029" s="4" t="s">
        <v>8309</v>
      </c>
      <c r="H2029" s="4" t="n">
        <v>42.46941</v>
      </c>
      <c r="I2029" s="4" t="n">
        <v>-96.41403</v>
      </c>
      <c r="J2029" s="4" t="s">
        <v>8310</v>
      </c>
      <c r="K2029" s="6" t="str">
        <f aca="false">HYPERLINK("https://www.google.com/search?q=South+Sioux+City+Public+Library+South+Sioux+City+NE+library+website","Search")</f>
        <v>Search</v>
      </c>
      <c r="L2029" s="7"/>
      <c r="M2029" s="7"/>
    </row>
    <row r="2030" customFormat="false" ht="15" hidden="false" customHeight="true" outlineLevel="0" collapsed="false">
      <c r="A2030" s="4" t="s">
        <v>8311</v>
      </c>
      <c r="B2030" s="4" t="s">
        <v>8312</v>
      </c>
      <c r="C2030" s="4" t="s">
        <v>5767</v>
      </c>
      <c r="D2030" s="4" t="s">
        <v>2383</v>
      </c>
      <c r="E2030" s="5" t="n">
        <v>11940</v>
      </c>
      <c r="F2030" s="4" t="n">
        <v>1</v>
      </c>
      <c r="G2030" s="4" t="s">
        <v>8313</v>
      </c>
      <c r="H2030" s="4" t="n">
        <v>42.86274</v>
      </c>
      <c r="I2030" s="4" t="n">
        <v>-71.62768</v>
      </c>
      <c r="J2030" s="4" t="s">
        <v>8314</v>
      </c>
      <c r="K2030" s="6" t="str">
        <f aca="false">HYPERLINK("https://www.google.com/search?q=Amherst+Town+Library+Amherst+NH+library+website","Search")</f>
        <v>Search</v>
      </c>
      <c r="L2030" s="7"/>
      <c r="M2030" s="7"/>
    </row>
    <row r="2031" customFormat="false" ht="15" hidden="false" customHeight="true" outlineLevel="0" collapsed="false">
      <c r="A2031" s="4" t="s">
        <v>8311</v>
      </c>
      <c r="B2031" s="4" t="s">
        <v>4268</v>
      </c>
      <c r="C2031" s="4" t="s">
        <v>4269</v>
      </c>
      <c r="D2031" s="4" t="s">
        <v>2383</v>
      </c>
      <c r="E2031" s="5" t="n">
        <v>23800</v>
      </c>
      <c r="F2031" s="4" t="n">
        <v>1</v>
      </c>
      <c r="G2031" s="4" t="s">
        <v>8315</v>
      </c>
      <c r="H2031" s="4" t="n">
        <v>42.94639</v>
      </c>
      <c r="I2031" s="4" t="n">
        <v>-71.51606</v>
      </c>
      <c r="J2031" s="4" t="s">
        <v>8316</v>
      </c>
      <c r="K2031" s="6" t="str">
        <f aca="false">HYPERLINK("https://www.google.com/search?q=Bedford+Public+Library+Bedford+NH+library+website","Search")</f>
        <v>Search</v>
      </c>
      <c r="L2031" s="7"/>
      <c r="M2031" s="7"/>
    </row>
    <row r="2032" customFormat="false" ht="15" hidden="false" customHeight="true" outlineLevel="0" collapsed="false">
      <c r="A2032" s="4" t="s">
        <v>8311</v>
      </c>
      <c r="B2032" s="4" t="s">
        <v>8317</v>
      </c>
      <c r="C2032" s="4" t="s">
        <v>5615</v>
      </c>
      <c r="D2032" s="4" t="s">
        <v>8318</v>
      </c>
      <c r="E2032" s="5" t="n">
        <v>43899</v>
      </c>
      <c r="F2032" s="4" t="n">
        <v>3</v>
      </c>
      <c r="G2032" s="4" t="s">
        <v>8319</v>
      </c>
      <c r="H2032" s="4" t="n">
        <v>43.20677</v>
      </c>
      <c r="I2032" s="4" t="n">
        <v>-71.54002</v>
      </c>
      <c r="J2032" s="4" t="s">
        <v>8320</v>
      </c>
      <c r="K2032" s="6" t="str">
        <f aca="false">HYPERLINK("https://www.google.com/search?q=Concord+Public+Library+Concord+NH+library+website","Search")</f>
        <v>Search</v>
      </c>
      <c r="L2032" s="7"/>
      <c r="M2032" s="7"/>
    </row>
    <row r="2033" customFormat="false" ht="15" hidden="false" customHeight="true" outlineLevel="0" collapsed="false">
      <c r="A2033" s="4" t="s">
        <v>8311</v>
      </c>
      <c r="B2033" s="4" t="s">
        <v>8321</v>
      </c>
      <c r="C2033" s="4" t="s">
        <v>8322</v>
      </c>
      <c r="D2033" s="4" t="s">
        <v>8131</v>
      </c>
      <c r="E2033" s="5" t="n">
        <v>34749</v>
      </c>
      <c r="F2033" s="4" t="n">
        <v>1</v>
      </c>
      <c r="G2033" s="4" t="s">
        <v>8323</v>
      </c>
      <c r="H2033" s="4" t="n">
        <v>42.88307</v>
      </c>
      <c r="I2033" s="4" t="n">
        <v>-71.3222</v>
      </c>
      <c r="J2033" s="4" t="s">
        <v>8324</v>
      </c>
      <c r="K2033" s="6" t="str">
        <f aca="false">HYPERLINK("https://www.google.com/search?q=Derry+Public+Library+Derry+NH+library+website","Search")</f>
        <v>Search</v>
      </c>
      <c r="L2033" s="7"/>
      <c r="M2033" s="7"/>
    </row>
    <row r="2034" customFormat="false" ht="15" hidden="false" customHeight="true" outlineLevel="0" collapsed="false">
      <c r="A2034" s="4" t="s">
        <v>8311</v>
      </c>
      <c r="B2034" s="4" t="s">
        <v>2228</v>
      </c>
      <c r="C2034" s="4" t="s">
        <v>2229</v>
      </c>
      <c r="D2034" s="4" t="s">
        <v>8325</v>
      </c>
      <c r="E2034" s="5" t="n">
        <v>32277</v>
      </c>
      <c r="F2034" s="4" t="n">
        <v>1</v>
      </c>
      <c r="G2034" s="4" t="s">
        <v>8326</v>
      </c>
      <c r="H2034" s="4" t="n">
        <v>43.19319</v>
      </c>
      <c r="I2034" s="4" t="n">
        <v>-70.87556</v>
      </c>
      <c r="J2034" s="4" t="s">
        <v>8327</v>
      </c>
      <c r="K2034" s="6" t="str">
        <f aca="false">HYPERLINK("https://www.google.com/search?q=Dover+Public+Library+Dover+NH+library+website","Search")</f>
        <v>Search</v>
      </c>
      <c r="L2034" s="7"/>
      <c r="M2034" s="7"/>
    </row>
    <row r="2035" customFormat="false" ht="15" hidden="false" customHeight="true" outlineLevel="0" collapsed="false">
      <c r="A2035" s="4" t="s">
        <v>8311</v>
      </c>
      <c r="B2035" s="4" t="s">
        <v>8328</v>
      </c>
      <c r="C2035" s="4" t="s">
        <v>8329</v>
      </c>
      <c r="D2035" s="4" t="s">
        <v>8131</v>
      </c>
      <c r="E2035" s="5" t="n">
        <v>10903</v>
      </c>
      <c r="F2035" s="4" t="n">
        <v>1</v>
      </c>
      <c r="G2035" s="4" t="s">
        <v>8330</v>
      </c>
      <c r="H2035" s="4" t="n">
        <v>43.03671</v>
      </c>
      <c r="I2035" s="4" t="n">
        <v>-71.18282</v>
      </c>
      <c r="J2035" s="4" t="s">
        <v>8331</v>
      </c>
      <c r="K2035" s="6" t="str">
        <f aca="false">HYPERLINK("https://www.google.com/search?q=Dudley-Tucker+Library+Raymond+NH+library+website","Search")</f>
        <v>Search</v>
      </c>
      <c r="L2035" s="7"/>
      <c r="M2035" s="7"/>
    </row>
    <row r="2036" customFormat="false" ht="15" hidden="false" customHeight="true" outlineLevel="0" collapsed="false">
      <c r="A2036" s="4" t="s">
        <v>8311</v>
      </c>
      <c r="B2036" s="4" t="s">
        <v>8332</v>
      </c>
      <c r="C2036" s="4" t="s">
        <v>7975</v>
      </c>
      <c r="D2036" s="4" t="s">
        <v>8325</v>
      </c>
      <c r="E2036" s="5" t="n">
        <v>14306</v>
      </c>
      <c r="F2036" s="4" t="n">
        <v>1</v>
      </c>
      <c r="G2036" s="4" t="s">
        <v>8333</v>
      </c>
      <c r="H2036" s="4" t="n">
        <v>43.14011</v>
      </c>
      <c r="I2036" s="4" t="n">
        <v>-70.92639</v>
      </c>
      <c r="J2036" s="4" t="s">
        <v>8334</v>
      </c>
      <c r="K2036" s="6" t="str">
        <f aca="false">HYPERLINK("https://www.google.com/search?q=Durham+Public+Library+Durham+NH+library+website","Search")</f>
        <v>Search</v>
      </c>
      <c r="L2036" s="7"/>
      <c r="M2036" s="7"/>
    </row>
    <row r="2037" customFormat="false" ht="15" hidden="false" customHeight="true" outlineLevel="0" collapsed="false">
      <c r="A2037" s="4" t="s">
        <v>8311</v>
      </c>
      <c r="B2037" s="4" t="s">
        <v>8335</v>
      </c>
      <c r="C2037" s="4" t="s">
        <v>8336</v>
      </c>
      <c r="D2037" s="4" t="s">
        <v>8325</v>
      </c>
      <c r="E2037" s="5" t="n">
        <v>30809</v>
      </c>
      <c r="F2037" s="4" t="n">
        <v>1</v>
      </c>
      <c r="G2037" s="4" t="s">
        <v>8337</v>
      </c>
      <c r="H2037" s="4" t="n">
        <v>43.33433</v>
      </c>
      <c r="I2037" s="4" t="n">
        <v>-70.94</v>
      </c>
      <c r="J2037" s="4" t="s">
        <v>8338</v>
      </c>
      <c r="K2037" s="6" t="str">
        <f aca="false">HYPERLINK("https://www.google.com/search?q=East+Rochester+Public+Library+East+Rochester+NH+library+website","Search")</f>
        <v>Search</v>
      </c>
      <c r="L2037" s="7"/>
      <c r="M2037" s="7"/>
    </row>
    <row r="2038" customFormat="false" ht="15" hidden="false" customHeight="true" outlineLevel="0" collapsed="false">
      <c r="A2038" s="4" t="s">
        <v>8311</v>
      </c>
      <c r="B2038" s="4" t="s">
        <v>8339</v>
      </c>
      <c r="C2038" s="4" t="s">
        <v>8340</v>
      </c>
      <c r="D2038" s="4" t="s">
        <v>8131</v>
      </c>
      <c r="E2038" s="5" t="n">
        <v>16253</v>
      </c>
      <c r="F2038" s="4" t="n">
        <v>1</v>
      </c>
      <c r="G2038" s="4" t="s">
        <v>8341</v>
      </c>
      <c r="H2038" s="4" t="n">
        <v>42.98248</v>
      </c>
      <c r="I2038" s="4" t="n">
        <v>-70.94462</v>
      </c>
      <c r="J2038" s="4" t="s">
        <v>8342</v>
      </c>
      <c r="K2038" s="6" t="str">
        <f aca="false">HYPERLINK("https://www.google.com/search?q=Exeter+Public+Library+Exeter+NH+library+website","Search")</f>
        <v>Search</v>
      </c>
      <c r="L2038" s="7"/>
      <c r="M2038" s="7"/>
    </row>
    <row r="2039" customFormat="false" ht="15" hidden="false" customHeight="true" outlineLevel="0" collapsed="false">
      <c r="A2039" s="4" t="s">
        <v>8311</v>
      </c>
      <c r="B2039" s="4" t="s">
        <v>8343</v>
      </c>
      <c r="C2039" s="4" t="s">
        <v>8344</v>
      </c>
      <c r="D2039" s="4" t="s">
        <v>4622</v>
      </c>
      <c r="E2039" s="5" t="n">
        <v>13031</v>
      </c>
      <c r="F2039" s="4" t="n">
        <v>1</v>
      </c>
      <c r="G2039" s="4" t="s">
        <v>8345</v>
      </c>
      <c r="H2039" s="4" t="n">
        <v>43.37186</v>
      </c>
      <c r="I2039" s="4" t="n">
        <v>-72.33661</v>
      </c>
      <c r="J2039" s="4" t="s">
        <v>8346</v>
      </c>
      <c r="K2039" s="6" t="str">
        <f aca="false">HYPERLINK("https://www.google.com/search?q=Fiske+Free+Library+Claremont+NH+library+website","Search")</f>
        <v>Search</v>
      </c>
      <c r="L2039" s="7"/>
      <c r="M2039" s="7"/>
    </row>
    <row r="2040" customFormat="false" ht="15" hidden="false" customHeight="true" outlineLevel="0" collapsed="false">
      <c r="A2040" s="4" t="s">
        <v>8311</v>
      </c>
      <c r="B2040" s="4" t="s">
        <v>8347</v>
      </c>
      <c r="C2040" s="4" t="s">
        <v>2513</v>
      </c>
      <c r="D2040" s="4" t="s">
        <v>2383</v>
      </c>
      <c r="E2040" s="5" t="n">
        <v>25881</v>
      </c>
      <c r="F2040" s="4" t="n">
        <v>1</v>
      </c>
      <c r="G2040" s="4" t="s">
        <v>8348</v>
      </c>
      <c r="H2040" s="4" t="n">
        <v>42.79109</v>
      </c>
      <c r="I2040" s="4" t="n">
        <v>-71.43872</v>
      </c>
      <c r="J2040" s="4" t="s">
        <v>8349</v>
      </c>
      <c r="K2040" s="6" t="str">
        <f aca="false">HYPERLINK("https://www.google.com/search?q=George+H.+And+Ella+M.+Rodgers+Memorial+Library+Hudson+NH+library+website","Search")</f>
        <v>Search</v>
      </c>
      <c r="L2040" s="7"/>
      <c r="M2040" s="7"/>
    </row>
    <row r="2041" customFormat="false" ht="15" hidden="false" customHeight="true" outlineLevel="0" collapsed="false">
      <c r="A2041" s="4" t="s">
        <v>8311</v>
      </c>
      <c r="B2041" s="4" t="s">
        <v>8350</v>
      </c>
      <c r="C2041" s="4" t="s">
        <v>8351</v>
      </c>
      <c r="D2041" s="4" t="s">
        <v>2383</v>
      </c>
      <c r="E2041" s="5" t="n">
        <v>18649</v>
      </c>
      <c r="F2041" s="4" t="n">
        <v>1</v>
      </c>
      <c r="G2041" s="4" t="s">
        <v>8352</v>
      </c>
      <c r="H2041" s="4" t="n">
        <v>43.02045</v>
      </c>
      <c r="I2041" s="4" t="n">
        <v>-71.60021</v>
      </c>
      <c r="J2041" s="4" t="s">
        <v>8353</v>
      </c>
      <c r="K2041" s="6" t="str">
        <f aca="false">HYPERLINK("https://www.google.com/search?q=Goffstown+Public+Library+Goffstown+NH+library+website","Search")</f>
        <v>Search</v>
      </c>
      <c r="L2041" s="7"/>
      <c r="M2041" s="7"/>
    </row>
    <row r="2042" customFormat="false" ht="15" hidden="false" customHeight="true" outlineLevel="0" collapsed="false">
      <c r="A2042" s="4" t="s">
        <v>8311</v>
      </c>
      <c r="B2042" s="4" t="s">
        <v>8354</v>
      </c>
      <c r="C2042" s="4" t="s">
        <v>8355</v>
      </c>
      <c r="D2042" s="4" t="s">
        <v>5692</v>
      </c>
      <c r="E2042" s="5" t="n">
        <v>10293</v>
      </c>
      <c r="F2042" s="4" t="n">
        <v>1</v>
      </c>
      <c r="G2042" s="4" t="s">
        <v>8356</v>
      </c>
      <c r="H2042" s="4" t="n">
        <v>43.6946</v>
      </c>
      <c r="I2042" s="4" t="n">
        <v>-72.21767</v>
      </c>
      <c r="J2042" s="4" t="s">
        <v>8357</v>
      </c>
      <c r="K2042" s="6" t="str">
        <f aca="false">HYPERLINK("https://www.google.com/search?q=Hanover+Town+Library+Etna+NH+library+website","Search")</f>
        <v>Search</v>
      </c>
      <c r="L2042" s="7"/>
      <c r="M2042" s="7"/>
    </row>
    <row r="2043" customFormat="false" ht="15" hidden="false" customHeight="true" outlineLevel="0" collapsed="false">
      <c r="A2043" s="4" t="s">
        <v>8311</v>
      </c>
      <c r="B2043" s="4" t="s">
        <v>8358</v>
      </c>
      <c r="C2043" s="4" t="s">
        <v>8359</v>
      </c>
      <c r="D2043" s="4" t="s">
        <v>8318</v>
      </c>
      <c r="E2043" s="5" t="n">
        <v>14537</v>
      </c>
      <c r="F2043" s="4" t="n">
        <v>1</v>
      </c>
      <c r="G2043" s="4" t="s">
        <v>8360</v>
      </c>
      <c r="H2043" s="4" t="n">
        <v>43.09415</v>
      </c>
      <c r="I2043" s="4" t="n">
        <v>-71.4517</v>
      </c>
      <c r="J2043" s="4" t="s">
        <v>8361</v>
      </c>
      <c r="K2043" s="6" t="str">
        <f aca="false">HYPERLINK("https://www.google.com/search?q=Hooksett+Public+Library+Hooksett+NH+library+website","Search")</f>
        <v>Search</v>
      </c>
      <c r="L2043" s="7"/>
      <c r="M2043" s="7"/>
    </row>
    <row r="2044" customFormat="false" ht="15" hidden="false" customHeight="true" outlineLevel="0" collapsed="false">
      <c r="A2044" s="4" t="s">
        <v>8311</v>
      </c>
      <c r="B2044" s="4" t="s">
        <v>8362</v>
      </c>
      <c r="C2044" s="4" t="s">
        <v>5759</v>
      </c>
      <c r="D2044" s="4" t="s">
        <v>5692</v>
      </c>
      <c r="E2044" s="5" t="n">
        <v>10293</v>
      </c>
      <c r="F2044" s="4" t="n">
        <v>1</v>
      </c>
      <c r="G2044" s="4" t="s">
        <v>8363</v>
      </c>
      <c r="H2044" s="4" t="n">
        <v>43.69989</v>
      </c>
      <c r="I2044" s="4" t="n">
        <v>-72.28692</v>
      </c>
      <c r="J2044" s="4" t="s">
        <v>8364</v>
      </c>
      <c r="K2044" s="6" t="str">
        <f aca="false">HYPERLINK("https://www.google.com/search?q=Howe+Library+Hanover+NH+library+website","Search")</f>
        <v>Search</v>
      </c>
      <c r="L2044" s="7"/>
      <c r="M2044" s="7"/>
    </row>
    <row r="2045" customFormat="false" ht="15" hidden="false" customHeight="true" outlineLevel="0" collapsed="false">
      <c r="A2045" s="4" t="s">
        <v>8311</v>
      </c>
      <c r="B2045" s="4" t="s">
        <v>8365</v>
      </c>
      <c r="C2045" s="4" t="s">
        <v>8366</v>
      </c>
      <c r="D2045" s="4" t="s">
        <v>1860</v>
      </c>
      <c r="E2045" s="5" t="n">
        <v>22497</v>
      </c>
      <c r="F2045" s="4" t="n">
        <v>1</v>
      </c>
      <c r="G2045" s="4" t="s">
        <v>8367</v>
      </c>
      <c r="H2045" s="4" t="n">
        <v>42.93399</v>
      </c>
      <c r="I2045" s="4" t="n">
        <v>-72.28146</v>
      </c>
      <c r="J2045" s="4" t="s">
        <v>8368</v>
      </c>
      <c r="K2045" s="6" t="str">
        <f aca="false">HYPERLINK("https://www.google.com/search?q=Keene+Public+Library+Keene+NH+library+website","Search")</f>
        <v>Search</v>
      </c>
      <c r="L2045" s="7"/>
      <c r="M2045" s="7"/>
    </row>
    <row r="2046" customFormat="false" ht="15" hidden="false" customHeight="true" outlineLevel="0" collapsed="false">
      <c r="A2046" s="4" t="s">
        <v>8311</v>
      </c>
      <c r="B2046" s="4" t="s">
        <v>8369</v>
      </c>
      <c r="C2046" s="4" t="s">
        <v>4598</v>
      </c>
      <c r="D2046" s="4" t="s">
        <v>8131</v>
      </c>
      <c r="E2046" s="5" t="n">
        <v>30711</v>
      </c>
      <c r="F2046" s="4" t="n">
        <v>1</v>
      </c>
      <c r="G2046" s="4" t="s">
        <v>8370</v>
      </c>
      <c r="H2046" s="4" t="n">
        <v>42.78466</v>
      </c>
      <c r="I2046" s="4" t="n">
        <v>-71.21138</v>
      </c>
      <c r="J2046" s="4" t="s">
        <v>8371</v>
      </c>
      <c r="K2046" s="6" t="str">
        <f aca="false">HYPERLINK("https://www.google.com/search?q=Kelley+Library+Salem+NH+library+website","Search")</f>
        <v>Search</v>
      </c>
      <c r="L2046" s="7"/>
      <c r="M2046" s="7"/>
    </row>
    <row r="2047" customFormat="false" ht="15" hidden="false" customHeight="true" outlineLevel="0" collapsed="false">
      <c r="A2047" s="4" t="s">
        <v>8311</v>
      </c>
      <c r="B2047" s="4" t="s">
        <v>8372</v>
      </c>
      <c r="C2047" s="4" t="s">
        <v>8373</v>
      </c>
      <c r="D2047" s="4" t="s">
        <v>8374</v>
      </c>
      <c r="E2047" s="5" t="n">
        <v>17090</v>
      </c>
      <c r="F2047" s="4" t="n">
        <v>2</v>
      </c>
      <c r="G2047" s="4" t="s">
        <v>8375</v>
      </c>
      <c r="H2047" s="4" t="n">
        <v>43.52952</v>
      </c>
      <c r="I2047" s="4" t="n">
        <v>-71.47113</v>
      </c>
      <c r="J2047" s="4" t="s">
        <v>8376</v>
      </c>
      <c r="K2047" s="6" t="str">
        <f aca="false">HYPERLINK("https://www.google.com/search?q=Laconia+Public+Library+Laconia+NH+library+website","Search")</f>
        <v>Search</v>
      </c>
      <c r="L2047" s="7"/>
      <c r="M2047" s="7"/>
    </row>
    <row r="2048" customFormat="false" ht="15" hidden="false" customHeight="true" outlineLevel="0" collapsed="false">
      <c r="A2048" s="4" t="s">
        <v>8311</v>
      </c>
      <c r="B2048" s="4" t="s">
        <v>8377</v>
      </c>
      <c r="C2048" s="4" t="s">
        <v>8378</v>
      </c>
      <c r="D2048" s="4" t="s">
        <v>8131</v>
      </c>
      <c r="E2048" s="5" t="n">
        <v>16556</v>
      </c>
      <c r="F2048" s="4" t="n">
        <v>1</v>
      </c>
      <c r="G2048" s="4" t="s">
        <v>8379</v>
      </c>
      <c r="H2048" s="4" t="n">
        <v>42.9379</v>
      </c>
      <c r="I2048" s="4" t="n">
        <v>-70.83352</v>
      </c>
      <c r="J2048" s="4" t="s">
        <v>8380</v>
      </c>
      <c r="K2048" s="6" t="str">
        <f aca="false">HYPERLINK("https://www.google.com/search?q=Lane+Memorial+Library+Hampton+NH+library+website","Search")</f>
        <v>Search</v>
      </c>
      <c r="L2048" s="7"/>
      <c r="M2048" s="7"/>
    </row>
    <row r="2049" customFormat="false" ht="15" hidden="false" customHeight="true" outlineLevel="0" collapsed="false">
      <c r="A2049" s="4" t="s">
        <v>8311</v>
      </c>
      <c r="B2049" s="4" t="s">
        <v>8381</v>
      </c>
      <c r="C2049" s="4" t="s">
        <v>8382</v>
      </c>
      <c r="D2049" s="4" t="s">
        <v>8131</v>
      </c>
      <c r="E2049" s="5" t="n">
        <v>26419</v>
      </c>
      <c r="F2049" s="4" t="n">
        <v>1</v>
      </c>
      <c r="G2049" s="4" t="s">
        <v>8383</v>
      </c>
      <c r="H2049" s="4" t="n">
        <v>42.86879</v>
      </c>
      <c r="I2049" s="4" t="n">
        <v>-71.376</v>
      </c>
      <c r="J2049" s="4" t="s">
        <v>8384</v>
      </c>
      <c r="K2049" s="6" t="str">
        <f aca="false">HYPERLINK("https://www.google.com/search?q=Leach+Library+Londonderry+NH+library+website","Search")</f>
        <v>Search</v>
      </c>
      <c r="L2049" s="7"/>
      <c r="M2049" s="7"/>
    </row>
    <row r="2050" customFormat="false" ht="15" hidden="false" customHeight="true" outlineLevel="0" collapsed="false">
      <c r="A2050" s="4" t="s">
        <v>8311</v>
      </c>
      <c r="B2050" s="4" t="s">
        <v>4458</v>
      </c>
      <c r="C2050" s="4" t="s">
        <v>4459</v>
      </c>
      <c r="D2050" s="4" t="s">
        <v>5692</v>
      </c>
      <c r="E2050" s="5" t="n">
        <v>15061</v>
      </c>
      <c r="F2050" s="4" t="n">
        <v>2</v>
      </c>
      <c r="G2050" s="4" t="s">
        <v>8385</v>
      </c>
      <c r="H2050" s="4" t="n">
        <v>43.64267</v>
      </c>
      <c r="I2050" s="4" t="n">
        <v>-72.25013</v>
      </c>
      <c r="J2050" s="4" t="s">
        <v>8386</v>
      </c>
      <c r="K2050" s="6" t="str">
        <f aca="false">HYPERLINK("https://www.google.com/search?q=Lebanon+Public+Library+Lebanon+NH+library+website","Search")</f>
        <v>Search</v>
      </c>
      <c r="L2050" s="7"/>
      <c r="M2050" s="7"/>
    </row>
    <row r="2051" customFormat="false" ht="15" hidden="false" customHeight="true" outlineLevel="0" collapsed="false">
      <c r="A2051" s="4" t="s">
        <v>8311</v>
      </c>
      <c r="B2051" s="4" t="s">
        <v>8387</v>
      </c>
      <c r="C2051" s="4" t="s">
        <v>1996</v>
      </c>
      <c r="D2051" s="4" t="s">
        <v>2383</v>
      </c>
      <c r="E2051" s="5" t="n">
        <v>115954</v>
      </c>
      <c r="F2051" s="4" t="n">
        <v>2</v>
      </c>
      <c r="G2051" s="4" t="s">
        <v>8388</v>
      </c>
      <c r="H2051" s="4" t="n">
        <v>42.99227</v>
      </c>
      <c r="I2051" s="4" t="n">
        <v>-71.45929</v>
      </c>
      <c r="J2051" s="4" t="s">
        <v>8389</v>
      </c>
      <c r="K2051" s="6" t="str">
        <f aca="false">HYPERLINK("https://www.google.com/search?q=Manchester+City+Library+Manchester+NH+library+website","Search")</f>
        <v>Search</v>
      </c>
      <c r="L2051" s="7"/>
      <c r="M2051" s="7"/>
    </row>
    <row r="2052" customFormat="false" ht="15" hidden="false" customHeight="true" outlineLevel="0" collapsed="false">
      <c r="A2052" s="4" t="s">
        <v>8311</v>
      </c>
      <c r="B2052" s="4" t="s">
        <v>8390</v>
      </c>
      <c r="C2052" s="4" t="s">
        <v>8318</v>
      </c>
      <c r="D2052" s="4" t="s">
        <v>2383</v>
      </c>
      <c r="E2052" s="5" t="n">
        <v>27165</v>
      </c>
      <c r="F2052" s="4" t="n">
        <v>1</v>
      </c>
      <c r="G2052" s="4" t="s">
        <v>8391</v>
      </c>
      <c r="H2052" s="4" t="n">
        <v>42.8675</v>
      </c>
      <c r="I2052" s="4" t="n">
        <v>-71.49345</v>
      </c>
      <c r="J2052" s="4" t="s">
        <v>8392</v>
      </c>
      <c r="K2052" s="6" t="str">
        <f aca="false">HYPERLINK("https://www.google.com/search?q=Merrimack+Public+Library+Merrimack+NH+library+website","Search")</f>
        <v>Search</v>
      </c>
      <c r="L2052" s="7"/>
      <c r="M2052" s="7"/>
    </row>
    <row r="2053" customFormat="false" ht="15" hidden="false" customHeight="true" outlineLevel="0" collapsed="false">
      <c r="A2053" s="4" t="s">
        <v>8311</v>
      </c>
      <c r="B2053" s="4" t="s">
        <v>8393</v>
      </c>
      <c r="C2053" s="4" t="s">
        <v>8394</v>
      </c>
      <c r="D2053" s="4" t="s">
        <v>2383</v>
      </c>
      <c r="E2053" s="5" t="n">
        <v>92043</v>
      </c>
      <c r="F2053" s="4" t="n">
        <v>1</v>
      </c>
      <c r="G2053" s="4" t="s">
        <v>8395</v>
      </c>
      <c r="H2053" s="4" t="n">
        <v>42.76291</v>
      </c>
      <c r="I2053" s="4" t="n">
        <v>-71.46488</v>
      </c>
      <c r="J2053" s="4" t="s">
        <v>8396</v>
      </c>
      <c r="K2053" s="6" t="str">
        <f aca="false">HYPERLINK("https://www.google.com/search?q=Nashua+Public+Library+Nashua+NH+library+website","Search")</f>
        <v>Search</v>
      </c>
      <c r="L2053" s="7"/>
      <c r="M2053" s="7"/>
    </row>
    <row r="2054" customFormat="false" ht="15" hidden="false" customHeight="true" outlineLevel="0" collapsed="false">
      <c r="A2054" s="4" t="s">
        <v>8311</v>
      </c>
      <c r="B2054" s="4" t="s">
        <v>8397</v>
      </c>
      <c r="C2054" s="4" t="s">
        <v>1797</v>
      </c>
      <c r="D2054" s="4" t="s">
        <v>8131</v>
      </c>
      <c r="E2054" s="5" t="n">
        <v>16057</v>
      </c>
      <c r="F2054" s="4" t="n">
        <v>1</v>
      </c>
      <c r="G2054" s="4" t="s">
        <v>8398</v>
      </c>
      <c r="H2054" s="4" t="n">
        <v>42.8033</v>
      </c>
      <c r="I2054" s="4" t="n">
        <v>-71.29831</v>
      </c>
      <c r="J2054" s="4" t="s">
        <v>8399</v>
      </c>
      <c r="K2054" s="6" t="str">
        <f aca="false">HYPERLINK("https://www.google.com/search?q=Nesmith+Library+Windham+NH+library+website","Search")</f>
        <v>Search</v>
      </c>
      <c r="L2054" s="7"/>
      <c r="M2054" s="7"/>
    </row>
    <row r="2055" customFormat="false" ht="15" hidden="false" customHeight="true" outlineLevel="0" collapsed="false">
      <c r="A2055" s="4" t="s">
        <v>8311</v>
      </c>
      <c r="B2055" s="4" t="s">
        <v>360</v>
      </c>
      <c r="C2055" s="4" t="s">
        <v>361</v>
      </c>
      <c r="D2055" s="4" t="s">
        <v>2383</v>
      </c>
      <c r="E2055" s="5" t="n">
        <v>14421</v>
      </c>
      <c r="F2055" s="4" t="n">
        <v>1</v>
      </c>
      <c r="G2055" s="4" t="s">
        <v>8400</v>
      </c>
      <c r="H2055" s="4" t="n">
        <v>42.73192</v>
      </c>
      <c r="I2055" s="4" t="n">
        <v>-71.32627</v>
      </c>
      <c r="J2055" s="4" t="s">
        <v>8401</v>
      </c>
      <c r="K2055" s="6" t="str">
        <f aca="false">HYPERLINK("https://www.google.com/search?q=Pelham+Public+Library+Pelham+NH+library+website","Search")</f>
        <v>Search</v>
      </c>
      <c r="L2055" s="7"/>
      <c r="M2055" s="7"/>
    </row>
    <row r="2056" customFormat="false" ht="15" hidden="false" customHeight="true" outlineLevel="0" collapsed="false">
      <c r="A2056" s="4" t="s">
        <v>8311</v>
      </c>
      <c r="B2056" s="4" t="s">
        <v>8402</v>
      </c>
      <c r="C2056" s="4" t="s">
        <v>8403</v>
      </c>
      <c r="D2056" s="4" t="s">
        <v>8131</v>
      </c>
      <c r="E2056" s="5" t="n">
        <v>22252</v>
      </c>
      <c r="F2056" s="4" t="n">
        <v>1</v>
      </c>
      <c r="G2056" s="4" t="s">
        <v>8404</v>
      </c>
      <c r="H2056" s="4" t="n">
        <v>43.07164</v>
      </c>
      <c r="I2056" s="4" t="n">
        <v>-70.75933</v>
      </c>
      <c r="J2056" s="4" t="s">
        <v>8405</v>
      </c>
      <c r="K2056" s="6" t="str">
        <f aca="false">HYPERLINK("https://www.google.com/search?q=Portsmouth+Public+Library+Portsmouth+NH+library+website","Search")</f>
        <v>Search</v>
      </c>
      <c r="L2056" s="7"/>
      <c r="M2056" s="7"/>
    </row>
    <row r="2057" customFormat="false" ht="15" hidden="false" customHeight="true" outlineLevel="0" collapsed="false">
      <c r="A2057" s="4" t="s">
        <v>8311</v>
      </c>
      <c r="B2057" s="4" t="s">
        <v>7281</v>
      </c>
      <c r="C2057" s="4" t="s">
        <v>4350</v>
      </c>
      <c r="D2057" s="4" t="s">
        <v>8325</v>
      </c>
      <c r="E2057" s="5" t="n">
        <v>32913</v>
      </c>
      <c r="F2057" s="4" t="n">
        <v>1</v>
      </c>
      <c r="G2057" s="4" t="s">
        <v>8406</v>
      </c>
      <c r="H2057" s="4" t="n">
        <v>43.30239</v>
      </c>
      <c r="I2057" s="4" t="n">
        <v>-70.97424</v>
      </c>
      <c r="J2057" s="4" t="s">
        <v>8407</v>
      </c>
      <c r="K2057" s="6" t="str">
        <f aca="false">HYPERLINK("https://www.google.com/search?q=Rochester+Public+Library+Rochester+NH+library+website","Search")</f>
        <v>Search</v>
      </c>
      <c r="L2057" s="7"/>
      <c r="M2057" s="7"/>
    </row>
    <row r="2058" customFormat="false" ht="15" hidden="false" customHeight="true" outlineLevel="0" collapsed="false">
      <c r="A2058" s="4" t="s">
        <v>8311</v>
      </c>
      <c r="B2058" s="4" t="s">
        <v>8408</v>
      </c>
      <c r="C2058" s="4" t="s">
        <v>8409</v>
      </c>
      <c r="D2058" s="4" t="s">
        <v>8325</v>
      </c>
      <c r="E2058" s="5" t="n">
        <v>12008</v>
      </c>
      <c r="F2058" s="4" t="n">
        <v>1</v>
      </c>
      <c r="G2058" s="4" t="s">
        <v>8410</v>
      </c>
      <c r="H2058" s="4" t="n">
        <v>43.26243</v>
      </c>
      <c r="I2058" s="4" t="n">
        <v>-70.86337</v>
      </c>
      <c r="J2058" s="4" t="s">
        <v>8411</v>
      </c>
      <c r="K2058" s="6" t="str">
        <f aca="false">HYPERLINK("https://www.google.com/search?q=Somersworth+Public+Library+Somersworth+NH+library+website","Search")</f>
        <v>Search</v>
      </c>
      <c r="L2058" s="7"/>
      <c r="M2058" s="7"/>
    </row>
    <row r="2059" customFormat="false" ht="15" hidden="false" customHeight="true" outlineLevel="0" collapsed="false">
      <c r="A2059" s="4" t="s">
        <v>8311</v>
      </c>
      <c r="B2059" s="4" t="s">
        <v>8412</v>
      </c>
      <c r="C2059" s="4" t="s">
        <v>8413</v>
      </c>
      <c r="D2059" s="4" t="s">
        <v>8131</v>
      </c>
      <c r="E2059" s="5" t="n">
        <v>34739</v>
      </c>
      <c r="F2059" s="4" t="n">
        <v>1</v>
      </c>
      <c r="G2059" s="4" t="s">
        <v>8414</v>
      </c>
      <c r="H2059" s="4" t="n">
        <v>42.89428</v>
      </c>
      <c r="I2059" s="4" t="n">
        <v>-71.29418</v>
      </c>
      <c r="J2059" s="4" t="s">
        <v>8415</v>
      </c>
      <c r="K2059" s="6" t="str">
        <f aca="false">HYPERLINK("https://www.google.com/search?q=Taylor+Library+East+Derry+NH+library+website","Search")</f>
        <v>Search</v>
      </c>
      <c r="L2059" s="7"/>
      <c r="M2059" s="7"/>
    </row>
    <row r="2060" customFormat="false" ht="15" hidden="false" customHeight="true" outlineLevel="0" collapsed="false">
      <c r="A2060" s="4" t="s">
        <v>8311</v>
      </c>
      <c r="B2060" s="4" t="s">
        <v>8416</v>
      </c>
      <c r="C2060" s="4" t="s">
        <v>2008</v>
      </c>
      <c r="D2060" s="4" t="s">
        <v>2383</v>
      </c>
      <c r="E2060" s="5" t="n">
        <v>16534</v>
      </c>
      <c r="F2060" s="4" t="n">
        <v>1</v>
      </c>
      <c r="G2060" s="4" t="s">
        <v>8417</v>
      </c>
      <c r="H2060" s="4" t="n">
        <v>42.8355</v>
      </c>
      <c r="I2060" s="4" t="n">
        <v>-71.64793</v>
      </c>
      <c r="J2060" s="4" t="s">
        <v>8418</v>
      </c>
      <c r="K2060" s="6" t="str">
        <f aca="false">HYPERLINK("https://www.google.com/search?q=William+Y.+Wadleigh+Memorial+Library+Milford+NH+library+website","Search")</f>
        <v>Search</v>
      </c>
      <c r="L2060" s="7"/>
      <c r="M2060" s="7"/>
    </row>
    <row r="2061" customFormat="false" ht="15" hidden="false" customHeight="true" outlineLevel="0" collapsed="false">
      <c r="A2061" s="4" t="s">
        <v>8419</v>
      </c>
      <c r="B2061" s="4" t="s">
        <v>8420</v>
      </c>
      <c r="C2061" s="4" t="s">
        <v>1743</v>
      </c>
      <c r="D2061" s="4" t="s">
        <v>8421</v>
      </c>
      <c r="E2061" s="5" t="n">
        <v>13484</v>
      </c>
      <c r="F2061" s="4" t="n">
        <v>1</v>
      </c>
      <c r="G2061" s="4" t="s">
        <v>8422</v>
      </c>
      <c r="H2061" s="4" t="n">
        <v>40.89648</v>
      </c>
      <c r="I2061" s="4" t="n">
        <v>-74.19966</v>
      </c>
      <c r="J2061" s="4" t="s">
        <v>8423</v>
      </c>
      <c r="K2061" s="6" t="str">
        <f aca="false">HYPERLINK("https://www.google.com/search?q=Alfred+H.+Baumann+Library%2FWest+Paterso+Woodland+Park+NJ+library+website","Search")</f>
        <v>Search</v>
      </c>
      <c r="L2061" s="7"/>
      <c r="M2061" s="7"/>
    </row>
    <row r="2062" customFormat="false" ht="15" hidden="false" customHeight="true" outlineLevel="0" collapsed="false">
      <c r="A2062" s="4" t="s">
        <v>8419</v>
      </c>
      <c r="B2062" s="4" t="s">
        <v>8424</v>
      </c>
      <c r="C2062" s="4" t="s">
        <v>8425</v>
      </c>
      <c r="D2062" s="4" t="s">
        <v>4155</v>
      </c>
      <c r="E2062" s="5" t="n">
        <v>15188</v>
      </c>
      <c r="F2062" s="4" t="n">
        <v>1</v>
      </c>
      <c r="G2062" s="4" t="s">
        <v>8426</v>
      </c>
      <c r="H2062" s="4" t="n">
        <v>40.22055</v>
      </c>
      <c r="I2062" s="4" t="n">
        <v>-74.00741</v>
      </c>
      <c r="J2062" s="4" t="s">
        <v>8427</v>
      </c>
      <c r="K2062" s="6" t="str">
        <f aca="false">HYPERLINK("https://www.google.com/search?q=Asbury+Park+Free+Public+Library+Asbury+Park+NJ+library+website","Search")</f>
        <v>Search</v>
      </c>
      <c r="L2062" s="7"/>
      <c r="M2062" s="7"/>
    </row>
    <row r="2063" customFormat="false" ht="15" hidden="false" customHeight="true" outlineLevel="0" collapsed="false">
      <c r="A2063" s="4" t="s">
        <v>8419</v>
      </c>
      <c r="B2063" s="4" t="s">
        <v>8428</v>
      </c>
      <c r="C2063" s="4" t="s">
        <v>8429</v>
      </c>
      <c r="D2063" s="4" t="s">
        <v>8430</v>
      </c>
      <c r="E2063" s="5" t="n">
        <v>38497</v>
      </c>
      <c r="F2063" s="4" t="n">
        <v>2</v>
      </c>
      <c r="G2063" s="4" t="s">
        <v>8431</v>
      </c>
      <c r="H2063" s="4" t="n">
        <v>39.36225</v>
      </c>
      <c r="I2063" s="4" t="n">
        <v>-74.42805</v>
      </c>
      <c r="J2063" s="4" t="s">
        <v>8432</v>
      </c>
      <c r="K2063" s="6" t="str">
        <f aca="false">HYPERLINK("https://www.google.com/search?q=Atlantic+City+Free+Public+Library+Atlantic+City+NJ+library+website","Search")</f>
        <v>Search</v>
      </c>
      <c r="L2063" s="7"/>
      <c r="M2063" s="7"/>
    </row>
    <row r="2064" customFormat="false" ht="15" hidden="false" customHeight="true" outlineLevel="0" collapsed="false">
      <c r="A2064" s="4" t="s">
        <v>8419</v>
      </c>
      <c r="B2064" s="4" t="s">
        <v>8433</v>
      </c>
      <c r="C2064" s="4" t="s">
        <v>8434</v>
      </c>
      <c r="D2064" s="4" t="s">
        <v>8430</v>
      </c>
      <c r="E2064" s="5" t="n">
        <v>214422</v>
      </c>
      <c r="F2064" s="4" t="n">
        <v>9</v>
      </c>
      <c r="G2064" s="4" t="s">
        <v>8435</v>
      </c>
      <c r="H2064" s="4" t="n">
        <v>39.45111</v>
      </c>
      <c r="I2064" s="4" t="n">
        <v>-74.72558</v>
      </c>
      <c r="J2064" s="4" t="s">
        <v>8436</v>
      </c>
      <c r="K2064" s="6" t="str">
        <f aca="false">HYPERLINK("https://www.google.com/search?q=Atlantic+County+Library+Mays+Landing+NJ+library+website","Search")</f>
        <v>Search</v>
      </c>
      <c r="L2064" s="7"/>
      <c r="M2064" s="7"/>
    </row>
    <row r="2065" customFormat="false" ht="15" hidden="false" customHeight="true" outlineLevel="0" collapsed="false">
      <c r="A2065" s="4" t="s">
        <v>8419</v>
      </c>
      <c r="B2065" s="4" t="s">
        <v>8437</v>
      </c>
      <c r="C2065" s="4" t="s">
        <v>8438</v>
      </c>
      <c r="D2065" s="4" t="s">
        <v>2513</v>
      </c>
      <c r="E2065" s="5" t="n">
        <v>71686</v>
      </c>
      <c r="F2065" s="4" t="n">
        <v>1</v>
      </c>
      <c r="G2065" s="4" t="s">
        <v>8439</v>
      </c>
      <c r="H2065" s="4" t="n">
        <v>40.67172</v>
      </c>
      <c r="I2065" s="4" t="n">
        <v>-74.11559</v>
      </c>
      <c r="J2065" s="4" t="s">
        <v>8440</v>
      </c>
      <c r="K2065" s="6" t="str">
        <f aca="false">HYPERLINK("https://www.google.com/search?q=Bayonne+Free+Public+Library+Bayonne+NJ+library+website","Search")</f>
        <v>Search</v>
      </c>
      <c r="L2065" s="7"/>
      <c r="M2065" s="7"/>
    </row>
    <row r="2066" customFormat="false" ht="15" hidden="false" customHeight="true" outlineLevel="0" collapsed="false">
      <c r="A2066" s="4" t="s">
        <v>8419</v>
      </c>
      <c r="B2066" s="4" t="s">
        <v>3342</v>
      </c>
      <c r="C2066" s="4" t="s">
        <v>3343</v>
      </c>
      <c r="D2066" s="4" t="s">
        <v>5472</v>
      </c>
      <c r="E2066" s="5" t="n">
        <v>38222</v>
      </c>
      <c r="F2066" s="4" t="n">
        <v>1</v>
      </c>
      <c r="G2066" s="4" t="s">
        <v>8441</v>
      </c>
      <c r="H2066" s="4" t="n">
        <v>40.78852</v>
      </c>
      <c r="I2066" s="4" t="n">
        <v>-74.15256</v>
      </c>
      <c r="J2066" s="4" t="s">
        <v>8442</v>
      </c>
      <c r="K2066" s="6" t="str">
        <f aca="false">HYPERLINK("https://www.google.com/search?q=Belleville+Public+Library+Belleville+NJ+library+website","Search")</f>
        <v>Search</v>
      </c>
      <c r="L2066" s="7"/>
      <c r="M2066" s="7"/>
    </row>
    <row r="2067" customFormat="false" ht="15" hidden="false" customHeight="true" outlineLevel="0" collapsed="false">
      <c r="A2067" s="4" t="s">
        <v>8419</v>
      </c>
      <c r="B2067" s="4" t="s">
        <v>8443</v>
      </c>
      <c r="C2067" s="4" t="s">
        <v>8444</v>
      </c>
      <c r="D2067" s="4" t="s">
        <v>8445</v>
      </c>
      <c r="E2067" s="5" t="n">
        <v>28321</v>
      </c>
      <c r="F2067" s="4" t="n">
        <v>1</v>
      </c>
      <c r="G2067" s="4" t="s">
        <v>8446</v>
      </c>
      <c r="H2067" s="4" t="n">
        <v>40.92367</v>
      </c>
      <c r="I2067" s="4" t="n">
        <v>-73.9996</v>
      </c>
      <c r="J2067" s="4" t="s">
        <v>8447</v>
      </c>
      <c r="K2067" s="6" t="str">
        <f aca="false">HYPERLINK("https://www.google.com/search?q=Bergenfield+Free+Public+Library+Bergenfield+NJ+library+website","Search")</f>
        <v>Search</v>
      </c>
      <c r="L2067" s="7"/>
      <c r="M2067" s="7"/>
    </row>
    <row r="2068" customFormat="false" ht="15" hidden="false" customHeight="true" outlineLevel="0" collapsed="false">
      <c r="A2068" s="4" t="s">
        <v>8419</v>
      </c>
      <c r="B2068" s="4" t="s">
        <v>8448</v>
      </c>
      <c r="C2068" s="4" t="s">
        <v>8449</v>
      </c>
      <c r="D2068" s="4" t="s">
        <v>467</v>
      </c>
      <c r="E2068" s="5" t="n">
        <v>13285</v>
      </c>
      <c r="F2068" s="4" t="n">
        <v>1</v>
      </c>
      <c r="G2068" s="4" t="s">
        <v>8450</v>
      </c>
      <c r="H2068" s="4" t="n">
        <v>40.68166</v>
      </c>
      <c r="I2068" s="4" t="n">
        <v>-74.44255</v>
      </c>
      <c r="J2068" s="4" t="s">
        <v>8451</v>
      </c>
      <c r="K2068" s="6" t="str">
        <f aca="false">HYPERLINK("https://www.google.com/search?q=Berkeley+Heights+Free+Public+Library+Berkeley+Heights+NJ+library+website","Search")</f>
        <v>Search</v>
      </c>
      <c r="L2068" s="7"/>
      <c r="M2068" s="7"/>
    </row>
    <row r="2069" customFormat="false" ht="15" hidden="false" customHeight="true" outlineLevel="0" collapsed="false">
      <c r="A2069" s="4" t="s">
        <v>8419</v>
      </c>
      <c r="B2069" s="4" t="s">
        <v>8452</v>
      </c>
      <c r="C2069" s="4" t="s">
        <v>8453</v>
      </c>
      <c r="D2069" s="4" t="s">
        <v>5152</v>
      </c>
      <c r="E2069" s="5" t="n">
        <v>27830</v>
      </c>
      <c r="F2069" s="4" t="n">
        <v>1</v>
      </c>
      <c r="G2069" s="4" t="s">
        <v>8454</v>
      </c>
      <c r="H2069" s="4" t="n">
        <v>40.70576</v>
      </c>
      <c r="I2069" s="4" t="n">
        <v>-74.54799</v>
      </c>
      <c r="J2069" s="4" t="s">
        <v>8455</v>
      </c>
      <c r="K2069" s="6" t="str">
        <f aca="false">HYPERLINK("https://www.google.com/search?q=Bernards+Township+Library+Basking+Ridge+NJ+library+website","Search")</f>
        <v>Search</v>
      </c>
      <c r="L2069" s="7"/>
      <c r="M2069" s="7"/>
    </row>
    <row r="2070" customFormat="false" ht="15" hidden="false" customHeight="true" outlineLevel="0" collapsed="false">
      <c r="A2070" s="4" t="s">
        <v>8419</v>
      </c>
      <c r="B2070" s="4" t="s">
        <v>1831</v>
      </c>
      <c r="C2070" s="4" t="s">
        <v>1832</v>
      </c>
      <c r="D2070" s="4" t="s">
        <v>5472</v>
      </c>
      <c r="E2070" s="5" t="n">
        <v>53105</v>
      </c>
      <c r="F2070" s="4" t="n">
        <v>1</v>
      </c>
      <c r="G2070" s="4" t="s">
        <v>8456</v>
      </c>
      <c r="H2070" s="4" t="n">
        <v>40.7964</v>
      </c>
      <c r="I2070" s="4" t="n">
        <v>-74.19736</v>
      </c>
      <c r="J2070" s="4" t="s">
        <v>8457</v>
      </c>
      <c r="K2070" s="6" t="str">
        <f aca="false">HYPERLINK("https://www.google.com/search?q=Bloomfield+Public+Library+Bloomfield+NJ+library+website","Search")</f>
        <v>Search</v>
      </c>
      <c r="L2070" s="7"/>
      <c r="M2070" s="7"/>
    </row>
    <row r="2071" customFormat="false" ht="15" hidden="false" customHeight="true" outlineLevel="0" collapsed="false">
      <c r="A2071" s="4" t="s">
        <v>8419</v>
      </c>
      <c r="B2071" s="4" t="s">
        <v>8458</v>
      </c>
      <c r="C2071" s="4" t="s">
        <v>8459</v>
      </c>
      <c r="D2071" s="4" t="s">
        <v>6161</v>
      </c>
      <c r="E2071" s="5" t="n">
        <v>27263</v>
      </c>
      <c r="F2071" s="4" t="n">
        <v>1</v>
      </c>
      <c r="G2071" s="4" t="s">
        <v>8460</v>
      </c>
      <c r="H2071" s="4" t="n">
        <v>39.4288</v>
      </c>
      <c r="I2071" s="4" t="n">
        <v>-75.23183</v>
      </c>
      <c r="J2071" s="4" t="s">
        <v>8461</v>
      </c>
      <c r="K2071" s="6" t="str">
        <f aca="false">HYPERLINK("https://www.google.com/search?q=Bridgeton+Free+Public+Library+Bridgeton+NJ+library+website","Search")</f>
        <v>Search</v>
      </c>
      <c r="L2071" s="7"/>
      <c r="M2071" s="7"/>
    </row>
    <row r="2072" customFormat="false" ht="15" hidden="false" customHeight="true" outlineLevel="0" collapsed="false">
      <c r="A2072" s="4" t="s">
        <v>8419</v>
      </c>
      <c r="B2072" s="4" t="s">
        <v>8462</v>
      </c>
      <c r="C2072" s="4" t="s">
        <v>8463</v>
      </c>
      <c r="D2072" s="4" t="s">
        <v>2903</v>
      </c>
      <c r="E2072" s="5" t="n">
        <v>363983</v>
      </c>
      <c r="F2072" s="4" t="n">
        <v>8</v>
      </c>
      <c r="G2072" s="4" t="s">
        <v>8464</v>
      </c>
      <c r="H2072" s="4" t="n">
        <v>40.01429</v>
      </c>
      <c r="I2072" s="4" t="n">
        <v>-74.81933</v>
      </c>
      <c r="J2072" s="4" t="s">
        <v>8465</v>
      </c>
      <c r="K2072" s="6" t="str">
        <f aca="false">HYPERLINK("https://www.google.com/search?q=Burlington+County+Library+Westampton+NJ+library+website","Search")</f>
        <v>Search</v>
      </c>
      <c r="L2072" s="7"/>
      <c r="M2072" s="8" t="str">
        <f aca="false">HYPERLINK("https://burlington.overdrive.com","https://burlington.overdrive.com")</f>
        <v>https://burlington.overdrive.com</v>
      </c>
    </row>
    <row r="2073" customFormat="false" ht="15" hidden="false" customHeight="true" outlineLevel="0" collapsed="false">
      <c r="A2073" s="4" t="s">
        <v>8419</v>
      </c>
      <c r="B2073" s="4" t="s">
        <v>7357</v>
      </c>
      <c r="C2073" s="4" t="s">
        <v>8466</v>
      </c>
      <c r="D2073" s="4" t="s">
        <v>445</v>
      </c>
      <c r="E2073" s="5" t="n">
        <v>324221</v>
      </c>
      <c r="F2073" s="4" t="n">
        <v>8</v>
      </c>
      <c r="G2073" s="4" t="s">
        <v>8467</v>
      </c>
      <c r="H2073" s="4" t="n">
        <v>39.84856</v>
      </c>
      <c r="I2073" s="4" t="n">
        <v>-75.00143</v>
      </c>
      <c r="J2073" s="4" t="s">
        <v>8468</v>
      </c>
      <c r="K2073" s="6" t="str">
        <f aca="false">HYPERLINK("https://www.google.com/search?q=Camden+County+Library+Voorhees+NJ+library+website","Search")</f>
        <v>Search</v>
      </c>
      <c r="L2073" s="7"/>
      <c r="M2073" s="7"/>
    </row>
    <row r="2074" customFormat="false" ht="15" hidden="false" customHeight="true" outlineLevel="0" collapsed="false">
      <c r="A2074" s="4" t="s">
        <v>8419</v>
      </c>
      <c r="B2074" s="4" t="s">
        <v>8469</v>
      </c>
      <c r="C2074" s="4" t="s">
        <v>8470</v>
      </c>
      <c r="D2074" s="4" t="s">
        <v>8471</v>
      </c>
      <c r="E2074" s="5" t="n">
        <v>82791</v>
      </c>
      <c r="F2074" s="4" t="n">
        <v>8</v>
      </c>
      <c r="G2074" s="4" t="s">
        <v>8472</v>
      </c>
      <c r="H2074" s="4" t="n">
        <v>39.083</v>
      </c>
      <c r="I2074" s="4" t="n">
        <v>-74.8252</v>
      </c>
      <c r="J2074" s="4" t="s">
        <v>8473</v>
      </c>
      <c r="K2074" s="6" t="str">
        <f aca="false">HYPERLINK("https://www.google.com/search?q=Cape+May+County+Library+Cape+May+Court+House+NJ+library+website","Search")</f>
        <v>Search</v>
      </c>
      <c r="L2074" s="7"/>
      <c r="M2074" s="7"/>
    </row>
    <row r="2075" customFormat="false" ht="15" hidden="false" customHeight="true" outlineLevel="0" collapsed="false">
      <c r="A2075" s="4" t="s">
        <v>8419</v>
      </c>
      <c r="B2075" s="4" t="s">
        <v>8474</v>
      </c>
      <c r="C2075" s="4" t="s">
        <v>7921</v>
      </c>
      <c r="D2075" s="4" t="s">
        <v>1792</v>
      </c>
      <c r="E2075" s="5" t="n">
        <v>25326</v>
      </c>
      <c r="F2075" s="4" t="n">
        <v>1</v>
      </c>
      <c r="G2075" s="4" t="s">
        <v>8475</v>
      </c>
      <c r="H2075" s="4" t="n">
        <v>40.57874</v>
      </c>
      <c r="I2075" s="4" t="n">
        <v>-74.21955</v>
      </c>
      <c r="J2075" s="4" t="s">
        <v>8476</v>
      </c>
      <c r="K2075" s="6" t="str">
        <f aca="false">HYPERLINK("https://www.google.com/search?q=Carteret+Free+Public+Library+Carteret+NJ+library+website","Search")</f>
        <v>Search</v>
      </c>
      <c r="L2075" s="7"/>
      <c r="M2075" s="7"/>
    </row>
    <row r="2076" customFormat="false" ht="15" hidden="false" customHeight="true" outlineLevel="0" collapsed="false">
      <c r="A2076" s="4" t="s">
        <v>8419</v>
      </c>
      <c r="B2076" s="4" t="s">
        <v>8477</v>
      </c>
      <c r="C2076" s="4" t="s">
        <v>8478</v>
      </c>
      <c r="D2076" s="4" t="s">
        <v>5472</v>
      </c>
      <c r="E2076" s="5" t="n">
        <v>12980</v>
      </c>
      <c r="F2076" s="4" t="n">
        <v>1</v>
      </c>
      <c r="G2076" s="4" t="s">
        <v>8479</v>
      </c>
      <c r="H2076" s="4" t="n">
        <v>40.85031</v>
      </c>
      <c r="I2076" s="4" t="n">
        <v>-74.22856</v>
      </c>
      <c r="J2076" s="4" t="s">
        <v>8480</v>
      </c>
      <c r="K2076" s="6" t="str">
        <f aca="false">HYPERLINK("https://www.google.com/search?q=Cedar+Grove+Free+Public+Library+Cedar+Grove+NJ+library+website","Search")</f>
        <v>Search</v>
      </c>
      <c r="L2076" s="7"/>
      <c r="M2076" s="7"/>
    </row>
    <row r="2077" customFormat="false" ht="15" hidden="false" customHeight="true" outlineLevel="0" collapsed="false">
      <c r="A2077" s="4" t="s">
        <v>8419</v>
      </c>
      <c r="B2077" s="4" t="s">
        <v>8481</v>
      </c>
      <c r="C2077" s="4" t="s">
        <v>2740</v>
      </c>
      <c r="D2077" s="4" t="s">
        <v>3861</v>
      </c>
      <c r="E2077" s="5" t="n">
        <v>20195</v>
      </c>
      <c r="F2077" s="4" t="n">
        <v>1</v>
      </c>
      <c r="G2077" s="4" t="s">
        <v>8482</v>
      </c>
      <c r="H2077" s="4" t="n">
        <v>40.74029</v>
      </c>
      <c r="I2077" s="4" t="n">
        <v>-74.38096</v>
      </c>
      <c r="J2077" s="4" t="s">
        <v>8483</v>
      </c>
      <c r="K2077" s="6" t="str">
        <f aca="false">HYPERLINK("https://www.google.com/search?q=Chathams+Joint+Free+Public+Library+Chatham+NJ+library+website","Search")</f>
        <v>Search</v>
      </c>
      <c r="L2077" s="7"/>
      <c r="M2077" s="7"/>
    </row>
    <row r="2078" customFormat="false" ht="15" hidden="false" customHeight="true" outlineLevel="0" collapsed="false">
      <c r="A2078" s="4" t="s">
        <v>8419</v>
      </c>
      <c r="B2078" s="4" t="s">
        <v>8484</v>
      </c>
      <c r="C2078" s="4" t="s">
        <v>8485</v>
      </c>
      <c r="D2078" s="4" t="s">
        <v>445</v>
      </c>
      <c r="E2078" s="5" t="n">
        <v>74553</v>
      </c>
      <c r="F2078" s="4" t="n">
        <v>1</v>
      </c>
      <c r="G2078" s="4" t="s">
        <v>8486</v>
      </c>
      <c r="H2078" s="4" t="n">
        <v>39.91995</v>
      </c>
      <c r="I2078" s="4" t="n">
        <v>-75.00381</v>
      </c>
      <c r="J2078" s="4" t="s">
        <v>8487</v>
      </c>
      <c r="K2078" s="6" t="str">
        <f aca="false">HYPERLINK("https://www.google.com/search?q=Cherry+Hill+Free+Public+Library+Cherry+Hill+NJ+library+website","Search")</f>
        <v>Search</v>
      </c>
      <c r="L2078" s="7"/>
      <c r="M2078" s="7"/>
    </row>
    <row r="2079" customFormat="false" ht="15" hidden="false" customHeight="true" outlineLevel="0" collapsed="false">
      <c r="A2079" s="4" t="s">
        <v>8419</v>
      </c>
      <c r="B2079" s="4" t="s">
        <v>8488</v>
      </c>
      <c r="C2079" s="4" t="s">
        <v>501</v>
      </c>
      <c r="D2079" s="4" t="s">
        <v>467</v>
      </c>
      <c r="E2079" s="5" t="n">
        <v>15544</v>
      </c>
      <c r="F2079" s="4" t="n">
        <v>1</v>
      </c>
      <c r="G2079" s="4" t="s">
        <v>8489</v>
      </c>
      <c r="H2079" s="4" t="n">
        <v>40.62207</v>
      </c>
      <c r="I2079" s="4" t="n">
        <v>-74.31007</v>
      </c>
      <c r="J2079" s="4" t="s">
        <v>8490</v>
      </c>
      <c r="K2079" s="6" t="str">
        <f aca="false">HYPERLINK("https://www.google.com/search?q=Clark+Public+Library+Clark+NJ+library+website","Search")</f>
        <v>Search</v>
      </c>
      <c r="L2079" s="7"/>
      <c r="M2079" s="7"/>
    </row>
    <row r="2080" customFormat="false" ht="15" hidden="false" customHeight="true" outlineLevel="0" collapsed="false">
      <c r="A2080" s="4" t="s">
        <v>8419</v>
      </c>
      <c r="B2080" s="4" t="s">
        <v>8491</v>
      </c>
      <c r="C2080" s="4" t="s">
        <v>8492</v>
      </c>
      <c r="D2080" s="4" t="s">
        <v>8445</v>
      </c>
      <c r="E2080" s="5" t="n">
        <v>25693</v>
      </c>
      <c r="F2080" s="4" t="n">
        <v>1</v>
      </c>
      <c r="G2080" s="4" t="s">
        <v>8493</v>
      </c>
      <c r="H2080" s="4" t="n">
        <v>40.82068</v>
      </c>
      <c r="I2080" s="4" t="n">
        <v>-73.98847</v>
      </c>
      <c r="J2080" s="4" t="s">
        <v>8494</v>
      </c>
      <c r="K2080" s="6" t="str">
        <f aca="false">HYPERLINK("https://www.google.com/search?q=Cliffside+Park+Free+Public+Library+Cliffside+Park+NJ+library+website","Search")</f>
        <v>Search</v>
      </c>
      <c r="L2080" s="7"/>
      <c r="M2080" s="7"/>
    </row>
    <row r="2081" customFormat="false" ht="15" hidden="false" customHeight="true" outlineLevel="0" collapsed="false">
      <c r="A2081" s="4" t="s">
        <v>8419</v>
      </c>
      <c r="B2081" s="4" t="s">
        <v>8495</v>
      </c>
      <c r="C2081" s="4" t="s">
        <v>8496</v>
      </c>
      <c r="D2081" s="4" t="s">
        <v>8421</v>
      </c>
      <c r="E2081" s="5" t="n">
        <v>90296</v>
      </c>
      <c r="F2081" s="4" t="n">
        <v>2</v>
      </c>
      <c r="G2081" s="4" t="s">
        <v>8497</v>
      </c>
      <c r="H2081" s="4" t="n">
        <v>40.88021</v>
      </c>
      <c r="I2081" s="4" t="n">
        <v>-74.14674</v>
      </c>
      <c r="J2081" s="4" t="s">
        <v>8498</v>
      </c>
      <c r="K2081" s="6" t="str">
        <f aca="false">HYPERLINK("https://www.google.com/search?q=Clifton+Public+Library+Clifton+NJ+library+website","Search")</f>
        <v>Search</v>
      </c>
      <c r="L2081" s="7"/>
      <c r="M2081" s="7"/>
    </row>
    <row r="2082" customFormat="false" ht="15" hidden="false" customHeight="true" outlineLevel="0" collapsed="false">
      <c r="A2082" s="4" t="s">
        <v>8419</v>
      </c>
      <c r="B2082" s="4" t="s">
        <v>8499</v>
      </c>
      <c r="C2082" s="4" t="s">
        <v>8500</v>
      </c>
      <c r="D2082" s="4" t="s">
        <v>445</v>
      </c>
      <c r="E2082" s="5" t="n">
        <v>14186</v>
      </c>
      <c r="F2082" s="4" t="n">
        <v>1</v>
      </c>
      <c r="G2082" s="4" t="s">
        <v>8501</v>
      </c>
      <c r="H2082" s="4" t="n">
        <v>39.91566</v>
      </c>
      <c r="I2082" s="4" t="n">
        <v>-75.06677</v>
      </c>
      <c r="J2082" s="4" t="s">
        <v>8502</v>
      </c>
      <c r="K2082" s="6" t="str">
        <f aca="false">HYPERLINK("https://www.google.com/search?q=Collingswood+Free+Public+Library+Collingswood+NJ+library+website","Search")</f>
        <v>Search</v>
      </c>
      <c r="L2082" s="7"/>
      <c r="M2082" s="7"/>
    </row>
    <row r="2083" customFormat="false" ht="15" hidden="false" customHeight="true" outlineLevel="0" collapsed="false">
      <c r="A2083" s="4" t="s">
        <v>8419</v>
      </c>
      <c r="B2083" s="4" t="s">
        <v>8503</v>
      </c>
      <c r="C2083" s="4" t="s">
        <v>8504</v>
      </c>
      <c r="D2083" s="4" t="s">
        <v>467</v>
      </c>
      <c r="E2083" s="5" t="n">
        <v>22625</v>
      </c>
      <c r="F2083" s="4" t="n">
        <v>1</v>
      </c>
      <c r="G2083" s="4" t="s">
        <v>8505</v>
      </c>
      <c r="H2083" s="4" t="n">
        <v>40.65192</v>
      </c>
      <c r="I2083" s="4" t="n">
        <v>-74.30391</v>
      </c>
      <c r="J2083" s="4" t="s">
        <v>8506</v>
      </c>
      <c r="K2083" s="6" t="str">
        <f aca="false">HYPERLINK("https://www.google.com/search?q=Cranford+Public+Library+Cranford+NJ+library+website","Search")</f>
        <v>Search</v>
      </c>
      <c r="L2083" s="7"/>
      <c r="M2083" s="7"/>
    </row>
    <row r="2084" customFormat="false" ht="15" hidden="false" customHeight="true" outlineLevel="0" collapsed="false">
      <c r="A2084" s="4" t="s">
        <v>8419</v>
      </c>
      <c r="B2084" s="4" t="s">
        <v>8507</v>
      </c>
      <c r="C2084" s="4" t="s">
        <v>8459</v>
      </c>
      <c r="D2084" s="4" t="s">
        <v>6161</v>
      </c>
      <c r="E2084" s="5" t="n">
        <v>66109</v>
      </c>
      <c r="F2084" s="4" t="n">
        <v>1</v>
      </c>
      <c r="G2084" s="4" t="s">
        <v>8508</v>
      </c>
      <c r="H2084" s="4" t="n">
        <v>39.42317</v>
      </c>
      <c r="I2084" s="4" t="n">
        <v>-75.20518</v>
      </c>
      <c r="J2084" s="4" t="s">
        <v>8509</v>
      </c>
      <c r="K2084" s="6" t="str">
        <f aca="false">HYPERLINK("https://www.google.com/search?q=Cumberland+County+Library+Bridgeton+NJ+library+website","Search")</f>
        <v>Search</v>
      </c>
      <c r="L2084" s="7"/>
      <c r="M2084" s="7"/>
    </row>
    <row r="2085" customFormat="false" ht="15" hidden="false" customHeight="true" outlineLevel="0" collapsed="false">
      <c r="A2085" s="4" t="s">
        <v>8419</v>
      </c>
      <c r="B2085" s="4" t="s">
        <v>8510</v>
      </c>
      <c r="C2085" s="4" t="s">
        <v>8511</v>
      </c>
      <c r="D2085" s="4" t="s">
        <v>3861</v>
      </c>
      <c r="E2085" s="5" t="n">
        <v>17107</v>
      </c>
      <c r="F2085" s="4" t="n">
        <v>1</v>
      </c>
      <c r="G2085" s="4" t="s">
        <v>8512</v>
      </c>
      <c r="H2085" s="4" t="n">
        <v>40.89633</v>
      </c>
      <c r="I2085" s="4" t="n">
        <v>-74.47319</v>
      </c>
      <c r="J2085" s="4" t="s">
        <v>8513</v>
      </c>
      <c r="K2085" s="6" t="str">
        <f aca="false">HYPERLINK("https://www.google.com/search?q=Denville+Free+Public+Library+Denville+NJ+library+website","Search")</f>
        <v>Search</v>
      </c>
      <c r="L2085" s="7"/>
      <c r="M2085" s="7"/>
    </row>
    <row r="2086" customFormat="false" ht="15" hidden="false" customHeight="true" outlineLevel="0" collapsed="false">
      <c r="A2086" s="4" t="s">
        <v>8419</v>
      </c>
      <c r="B2086" s="4" t="s">
        <v>8514</v>
      </c>
      <c r="C2086" s="4" t="s">
        <v>8515</v>
      </c>
      <c r="D2086" s="4" t="s">
        <v>8445</v>
      </c>
      <c r="E2086" s="5" t="n">
        <v>17863</v>
      </c>
      <c r="F2086" s="4" t="n">
        <v>1</v>
      </c>
      <c r="G2086" s="4" t="s">
        <v>8516</v>
      </c>
      <c r="H2086" s="4" t="n">
        <v>40.94172</v>
      </c>
      <c r="I2086" s="4" t="n">
        <v>-73.9934</v>
      </c>
      <c r="J2086" s="4" t="s">
        <v>8517</v>
      </c>
      <c r="K2086" s="6" t="str">
        <f aca="false">HYPERLINK("https://www.google.com/search?q=Dixon+Homestead+Library+Dumont+NJ+library+website","Search")</f>
        <v>Search</v>
      </c>
      <c r="L2086" s="7"/>
      <c r="M2086" s="7"/>
    </row>
    <row r="2087" customFormat="false" ht="15" hidden="false" customHeight="true" outlineLevel="0" collapsed="false">
      <c r="A2087" s="4" t="s">
        <v>8419</v>
      </c>
      <c r="B2087" s="4" t="s">
        <v>8518</v>
      </c>
      <c r="C2087" s="4" t="s">
        <v>2229</v>
      </c>
      <c r="D2087" s="4" t="s">
        <v>3861</v>
      </c>
      <c r="E2087" s="5" t="n">
        <v>18460</v>
      </c>
      <c r="F2087" s="4" t="n">
        <v>1</v>
      </c>
      <c r="G2087" s="4" t="s">
        <v>8519</v>
      </c>
      <c r="H2087" s="4" t="n">
        <v>40.88662</v>
      </c>
      <c r="I2087" s="4" t="n">
        <v>-74.55718</v>
      </c>
      <c r="J2087" s="4" t="s">
        <v>8520</v>
      </c>
      <c r="K2087" s="6" t="str">
        <f aca="false">HYPERLINK("https://www.google.com/search?q=Dover+Free+Public+Library+Dover+NJ+library+website","Search")</f>
        <v>Search</v>
      </c>
      <c r="L2087" s="7"/>
      <c r="M2087" s="7"/>
    </row>
    <row r="2088" customFormat="false" ht="15" hidden="false" customHeight="true" outlineLevel="0" collapsed="false">
      <c r="A2088" s="4" t="s">
        <v>8419</v>
      </c>
      <c r="B2088" s="4" t="s">
        <v>8521</v>
      </c>
      <c r="C2088" s="4" t="s">
        <v>8522</v>
      </c>
      <c r="D2088" s="4" t="s">
        <v>8421</v>
      </c>
      <c r="E2088" s="5" t="n">
        <v>11065</v>
      </c>
      <c r="F2088" s="4" t="n">
        <v>1</v>
      </c>
      <c r="G2088" s="4" t="s">
        <v>8523</v>
      </c>
      <c r="H2088" s="4" t="n">
        <v>40.90412</v>
      </c>
      <c r="I2088" s="4" t="n">
        <v>-74.218</v>
      </c>
      <c r="J2088" s="4" t="s">
        <v>8524</v>
      </c>
      <c r="K2088" s="6" t="str">
        <f aca="false">HYPERLINK("https://www.google.com/search?q=Dwight+D.+Eisenhower+Library+Totowa+NJ+library+website","Search")</f>
        <v>Search</v>
      </c>
      <c r="L2088" s="7"/>
      <c r="M2088" s="7"/>
    </row>
    <row r="2089" customFormat="false" ht="15" hidden="false" customHeight="true" outlineLevel="0" collapsed="false">
      <c r="A2089" s="4" t="s">
        <v>8419</v>
      </c>
      <c r="B2089" s="4" t="s">
        <v>8525</v>
      </c>
      <c r="C2089" s="4" t="s">
        <v>8526</v>
      </c>
      <c r="D2089" s="4" t="s">
        <v>1792</v>
      </c>
      <c r="E2089" s="5" t="n">
        <v>49715</v>
      </c>
      <c r="F2089" s="4" t="n">
        <v>1</v>
      </c>
      <c r="G2089" s="4" t="s">
        <v>8527</v>
      </c>
      <c r="H2089" s="4" t="n">
        <v>40.41758</v>
      </c>
      <c r="I2089" s="4" t="n">
        <v>-74.42011</v>
      </c>
      <c r="J2089" s="4" t="s">
        <v>8528</v>
      </c>
      <c r="K2089" s="6" t="str">
        <f aca="false">HYPERLINK("https://www.google.com/search?q=East+Brunswick+Public+Library+East+Brunswick+NJ+library+website","Search")</f>
        <v>Search</v>
      </c>
      <c r="L2089" s="7"/>
      <c r="M2089" s="7"/>
    </row>
    <row r="2090" customFormat="false" ht="15" hidden="false" customHeight="true" outlineLevel="0" collapsed="false">
      <c r="A2090" s="4" t="s">
        <v>8419</v>
      </c>
      <c r="B2090" s="4" t="s">
        <v>8529</v>
      </c>
      <c r="C2090" s="4" t="s">
        <v>8530</v>
      </c>
      <c r="D2090" s="4" t="s">
        <v>3861</v>
      </c>
      <c r="E2090" s="5" t="n">
        <v>11105</v>
      </c>
      <c r="F2090" s="4" t="n">
        <v>1</v>
      </c>
      <c r="G2090" s="4" t="s">
        <v>8531</v>
      </c>
      <c r="H2090" s="4" t="n">
        <v>40.82572</v>
      </c>
      <c r="I2090" s="4" t="n">
        <v>-74.36095</v>
      </c>
      <c r="J2090" s="4" t="s">
        <v>8532</v>
      </c>
      <c r="K2090" s="6" t="str">
        <f aca="false">HYPERLINK("https://www.google.com/search?q=East+Hanover+Township+Free+Public+Library+East+Hanover+NJ+library+website","Search")</f>
        <v>Search</v>
      </c>
      <c r="L2090" s="7"/>
      <c r="M2090" s="7"/>
    </row>
    <row r="2091" customFormat="false" ht="15" hidden="false" customHeight="true" outlineLevel="0" collapsed="false">
      <c r="A2091" s="4" t="s">
        <v>8419</v>
      </c>
      <c r="B2091" s="4" t="s">
        <v>8533</v>
      </c>
      <c r="C2091" s="4" t="s">
        <v>8534</v>
      </c>
      <c r="D2091" s="4" t="s">
        <v>5472</v>
      </c>
      <c r="E2091" s="5" t="n">
        <v>69612</v>
      </c>
      <c r="F2091" s="4" t="n">
        <v>4</v>
      </c>
      <c r="G2091" s="4" t="s">
        <v>8535</v>
      </c>
      <c r="H2091" s="4" t="n">
        <v>40.75988</v>
      </c>
      <c r="I2091" s="4" t="n">
        <v>-74.21167</v>
      </c>
      <c r="J2091" s="4" t="s">
        <v>8536</v>
      </c>
      <c r="K2091" s="6" t="str">
        <f aca="false">HYPERLINK("https://www.google.com/search?q=East+Orange+Public+Library+East+Orange+NJ+library+website","Search")</f>
        <v>Search</v>
      </c>
      <c r="L2091" s="7"/>
      <c r="M2091" s="7"/>
    </row>
    <row r="2092" customFormat="false" ht="15" hidden="false" customHeight="true" outlineLevel="0" collapsed="false">
      <c r="A2092" s="4" t="s">
        <v>8419</v>
      </c>
      <c r="B2092" s="4" t="s">
        <v>8537</v>
      </c>
      <c r="C2092" s="4" t="s">
        <v>8538</v>
      </c>
      <c r="D2092" s="4" t="s">
        <v>8445</v>
      </c>
      <c r="E2092" s="5" t="n">
        <v>10022</v>
      </c>
      <c r="F2092" s="4" t="n">
        <v>1</v>
      </c>
      <c r="G2092" s="4" t="s">
        <v>8539</v>
      </c>
      <c r="H2092" s="4" t="n">
        <v>40.83256</v>
      </c>
      <c r="I2092" s="4" t="n">
        <v>-74.0988</v>
      </c>
      <c r="J2092" s="4" t="s">
        <v>8540</v>
      </c>
      <c r="K2092" s="6" t="str">
        <f aca="false">HYPERLINK("https://www.google.com/search?q=East+Rutherford+Memorial+Library+East+Rutherford+NJ+library+website","Search")</f>
        <v>Search</v>
      </c>
      <c r="L2092" s="7"/>
      <c r="M2092" s="7"/>
    </row>
    <row r="2093" customFormat="false" ht="15" hidden="false" customHeight="true" outlineLevel="0" collapsed="false">
      <c r="A2093" s="4" t="s">
        <v>8419</v>
      </c>
      <c r="B2093" s="4" t="s">
        <v>8541</v>
      </c>
      <c r="C2093" s="4" t="s">
        <v>8542</v>
      </c>
      <c r="D2093" s="4" t="s">
        <v>4155</v>
      </c>
      <c r="E2093" s="5" t="n">
        <v>13597</v>
      </c>
      <c r="F2093" s="4" t="n">
        <v>1</v>
      </c>
      <c r="G2093" s="4" t="s">
        <v>8543</v>
      </c>
      <c r="H2093" s="4" t="n">
        <v>40.30518</v>
      </c>
      <c r="I2093" s="4" t="n">
        <v>-74.05865</v>
      </c>
      <c r="J2093" s="4" t="s">
        <v>8544</v>
      </c>
      <c r="K2093" s="6" t="str">
        <f aca="false">HYPERLINK("https://www.google.com/search?q=Eatontown+Public+Library+Eatontown+NJ+library+website","Search")</f>
        <v>Search</v>
      </c>
      <c r="L2093" s="7"/>
      <c r="M2093" s="7"/>
    </row>
    <row r="2094" customFormat="false" ht="15" hidden="false" customHeight="true" outlineLevel="0" collapsed="false">
      <c r="A2094" s="4" t="s">
        <v>8419</v>
      </c>
      <c r="B2094" s="4" t="s">
        <v>8545</v>
      </c>
      <c r="C2094" s="4" t="s">
        <v>8546</v>
      </c>
      <c r="D2094" s="4" t="s">
        <v>8445</v>
      </c>
      <c r="E2094" s="5" t="n">
        <v>14336</v>
      </c>
      <c r="F2094" s="4" t="n">
        <v>1</v>
      </c>
      <c r="G2094" s="4" t="s">
        <v>8547</v>
      </c>
      <c r="H2094" s="4" t="n">
        <v>40.82961</v>
      </c>
      <c r="I2094" s="4" t="n">
        <v>-73.97439</v>
      </c>
      <c r="J2094" s="4" t="s">
        <v>8548</v>
      </c>
      <c r="K2094" s="6" t="str">
        <f aca="false">HYPERLINK("https://www.google.com/search?q=Edgewater+Free+Public+Library+Edgewater+NJ+library+website","Search")</f>
        <v>Search</v>
      </c>
      <c r="L2094" s="7"/>
      <c r="M2094" s="7"/>
    </row>
    <row r="2095" customFormat="false" ht="15" hidden="false" customHeight="true" outlineLevel="0" collapsed="false">
      <c r="A2095" s="4" t="s">
        <v>8419</v>
      </c>
      <c r="B2095" s="4" t="s">
        <v>8549</v>
      </c>
      <c r="C2095" s="4" t="s">
        <v>8550</v>
      </c>
      <c r="D2095" s="4" t="s">
        <v>1792</v>
      </c>
      <c r="E2095" s="5" t="n">
        <v>107588</v>
      </c>
      <c r="F2095" s="4" t="n">
        <v>3</v>
      </c>
      <c r="G2095" s="4" t="s">
        <v>8551</v>
      </c>
      <c r="H2095" s="4" t="n">
        <v>40.51773</v>
      </c>
      <c r="I2095" s="4" t="n">
        <v>-74.40789</v>
      </c>
      <c r="J2095" s="4" t="s">
        <v>8552</v>
      </c>
      <c r="K2095" s="6" t="str">
        <f aca="false">HYPERLINK("https://www.google.com/search?q=Edison+Township+Free+Public+Library+Edison+NJ+library+website","Search")</f>
        <v>Search</v>
      </c>
      <c r="L2095" s="7"/>
      <c r="M2095" s="7"/>
    </row>
    <row r="2096" customFormat="false" ht="15" hidden="false" customHeight="true" outlineLevel="0" collapsed="false">
      <c r="A2096" s="4" t="s">
        <v>8419</v>
      </c>
      <c r="B2096" s="4" t="s">
        <v>8553</v>
      </c>
      <c r="C2096" s="4" t="s">
        <v>1644</v>
      </c>
      <c r="D2096" s="4" t="s">
        <v>467</v>
      </c>
      <c r="E2096" s="5" t="n">
        <v>137298</v>
      </c>
      <c r="F2096" s="4" t="n">
        <v>4</v>
      </c>
      <c r="G2096" s="4" t="s">
        <v>8554</v>
      </c>
      <c r="H2096" s="4" t="n">
        <v>40.66137</v>
      </c>
      <c r="I2096" s="4" t="n">
        <v>-74.21514</v>
      </c>
      <c r="J2096" s="4" t="s">
        <v>8555</v>
      </c>
      <c r="K2096" s="6" t="str">
        <f aca="false">HYPERLINK("https://www.google.com/search?q=Elizabeth+Free+Public+Library+Elizabeth+NJ+library+website","Search")</f>
        <v>Search</v>
      </c>
      <c r="L2096" s="7"/>
      <c r="M2096" s="7"/>
    </row>
    <row r="2097" customFormat="false" ht="15" hidden="false" customHeight="true" outlineLevel="0" collapsed="false">
      <c r="A2097" s="4" t="s">
        <v>8419</v>
      </c>
      <c r="B2097" s="4" t="s">
        <v>8556</v>
      </c>
      <c r="C2097" s="4" t="s">
        <v>3546</v>
      </c>
      <c r="D2097" s="4" t="s">
        <v>8445</v>
      </c>
      <c r="E2097" s="5" t="n">
        <v>21422</v>
      </c>
      <c r="F2097" s="4" t="n">
        <v>1</v>
      </c>
      <c r="G2097" s="4" t="s">
        <v>8557</v>
      </c>
      <c r="H2097" s="4" t="n">
        <v>40.90889</v>
      </c>
      <c r="I2097" s="4" t="n">
        <v>-74.1183</v>
      </c>
      <c r="J2097" s="4" t="s">
        <v>8558</v>
      </c>
      <c r="K2097" s="6" t="str">
        <f aca="false">HYPERLINK("https://www.google.com/search?q=Elmwood+Park+Free+Public+Library+Elmwood+Park+NJ+library+website","Search")</f>
        <v>Search</v>
      </c>
      <c r="L2097" s="7"/>
      <c r="M2097" s="7"/>
    </row>
    <row r="2098" customFormat="false" ht="15" hidden="false" customHeight="true" outlineLevel="0" collapsed="false">
      <c r="A2098" s="4" t="s">
        <v>8419</v>
      </c>
      <c r="B2098" s="4" t="s">
        <v>8559</v>
      </c>
      <c r="C2098" s="4" t="s">
        <v>1582</v>
      </c>
      <c r="D2098" s="4" t="s">
        <v>8445</v>
      </c>
      <c r="E2098" s="5" t="n">
        <v>29308</v>
      </c>
      <c r="F2098" s="4" t="n">
        <v>1</v>
      </c>
      <c r="G2098" s="4" t="s">
        <v>8560</v>
      </c>
      <c r="H2098" s="4" t="n">
        <v>40.8941</v>
      </c>
      <c r="I2098" s="4" t="n">
        <v>-73.97233</v>
      </c>
      <c r="J2098" s="4" t="s">
        <v>8561</v>
      </c>
      <c r="K2098" s="6" t="str">
        <f aca="false">HYPERLINK("https://www.google.com/search?q=Englewood+Free+Public+Library+Englewood+NJ+library+website","Search")</f>
        <v>Search</v>
      </c>
      <c r="L2098" s="7"/>
      <c r="M2098" s="7"/>
    </row>
    <row r="2099" customFormat="false" ht="15" hidden="false" customHeight="true" outlineLevel="0" collapsed="false">
      <c r="A2099" s="4" t="s">
        <v>8419</v>
      </c>
      <c r="B2099" s="4" t="s">
        <v>8562</v>
      </c>
      <c r="C2099" s="4" t="s">
        <v>8563</v>
      </c>
      <c r="D2099" s="4" t="s">
        <v>8445</v>
      </c>
      <c r="E2099" s="5" t="n">
        <v>15025</v>
      </c>
      <c r="F2099" s="4" t="n">
        <v>1</v>
      </c>
      <c r="G2099" s="4" t="s">
        <v>8564</v>
      </c>
      <c r="H2099" s="4" t="n">
        <v>40.81568</v>
      </c>
      <c r="I2099" s="4" t="n">
        <v>-73.99563</v>
      </c>
      <c r="J2099" s="4" t="s">
        <v>8565</v>
      </c>
      <c r="K2099" s="6" t="str">
        <f aca="false">HYPERLINK("https://www.google.com/search?q=Fairview+Free+Public+Library+Fairview+NJ+library+website","Search")</f>
        <v>Search</v>
      </c>
      <c r="L2099" s="7"/>
      <c r="M2099" s="7"/>
    </row>
    <row r="2100" customFormat="false" ht="15" hidden="false" customHeight="true" outlineLevel="0" collapsed="false">
      <c r="A2100" s="4" t="s">
        <v>8419</v>
      </c>
      <c r="B2100" s="4" t="s">
        <v>8566</v>
      </c>
      <c r="C2100" s="4" t="s">
        <v>8567</v>
      </c>
      <c r="D2100" s="4" t="s">
        <v>2903</v>
      </c>
      <c r="E2100" s="5" t="n">
        <v>12812</v>
      </c>
      <c r="F2100" s="4" t="n">
        <v>1</v>
      </c>
      <c r="G2100" s="4" t="s">
        <v>8568</v>
      </c>
      <c r="H2100" s="4" t="n">
        <v>40.11626</v>
      </c>
      <c r="I2100" s="4" t="n">
        <v>-74.77828</v>
      </c>
      <c r="J2100" s="4" t="s">
        <v>8569</v>
      </c>
      <c r="K2100" s="6" t="str">
        <f aca="false">HYPERLINK("https://www.google.com/search?q=Florence+Township+Library+Roebling+NJ+library+website","Search")</f>
        <v>Search</v>
      </c>
      <c r="L2100" s="7"/>
      <c r="M2100" s="7"/>
    </row>
    <row r="2101" customFormat="false" ht="15" hidden="false" customHeight="true" outlineLevel="0" collapsed="false">
      <c r="A2101" s="4" t="s">
        <v>8419</v>
      </c>
      <c r="B2101" s="4" t="s">
        <v>8570</v>
      </c>
      <c r="C2101" s="4" t="s">
        <v>8571</v>
      </c>
      <c r="D2101" s="4" t="s">
        <v>3861</v>
      </c>
      <c r="E2101" s="5" t="n">
        <v>12585</v>
      </c>
      <c r="F2101" s="4" t="n">
        <v>1</v>
      </c>
      <c r="G2101" s="4" t="s">
        <v>8572</v>
      </c>
      <c r="H2101" s="4" t="n">
        <v>40.78163</v>
      </c>
      <c r="I2101" s="4" t="n">
        <v>-74.39871</v>
      </c>
      <c r="J2101" s="4" t="s">
        <v>8573</v>
      </c>
      <c r="K2101" s="6" t="str">
        <f aca="false">HYPERLINK("https://www.google.com/search?q=Florham+Park+Free+Public+Library+Florham+Park+NJ+library+website","Search")</f>
        <v>Search</v>
      </c>
      <c r="L2101" s="7"/>
      <c r="M2101" s="7"/>
    </row>
    <row r="2102" customFormat="false" ht="15" hidden="false" customHeight="true" outlineLevel="0" collapsed="false">
      <c r="A2102" s="4" t="s">
        <v>8419</v>
      </c>
      <c r="B2102" s="4" t="s">
        <v>8574</v>
      </c>
      <c r="C2102" s="4" t="s">
        <v>8575</v>
      </c>
      <c r="D2102" s="4" t="s">
        <v>8445</v>
      </c>
      <c r="E2102" s="5" t="n">
        <v>40191</v>
      </c>
      <c r="F2102" s="4" t="n">
        <v>1</v>
      </c>
      <c r="G2102" s="4" t="s">
        <v>8576</v>
      </c>
      <c r="H2102" s="4" t="n">
        <v>40.85258</v>
      </c>
      <c r="I2102" s="4" t="n">
        <v>-73.97312</v>
      </c>
      <c r="J2102" s="4" t="s">
        <v>8577</v>
      </c>
      <c r="K2102" s="6" t="str">
        <f aca="false">HYPERLINK("https://www.google.com/search?q=Fort+Lee+Free+Public+Library+Fort+Lee+NJ+library+website","Search")</f>
        <v>Search</v>
      </c>
      <c r="L2102" s="7"/>
      <c r="M2102" s="7"/>
    </row>
    <row r="2103" customFormat="false" ht="15" hidden="false" customHeight="true" outlineLevel="0" collapsed="false">
      <c r="A2103" s="4" t="s">
        <v>8419</v>
      </c>
      <c r="B2103" s="4" t="s">
        <v>8578</v>
      </c>
      <c r="C2103" s="4" t="s">
        <v>8579</v>
      </c>
      <c r="D2103" s="4" t="s">
        <v>8445</v>
      </c>
      <c r="E2103" s="5" t="n">
        <v>11079</v>
      </c>
      <c r="F2103" s="4" t="n">
        <v>1</v>
      </c>
      <c r="G2103" s="4" t="s">
        <v>8580</v>
      </c>
      <c r="H2103" s="4" t="n">
        <v>41.02012</v>
      </c>
      <c r="I2103" s="4" t="n">
        <v>-74.19974</v>
      </c>
      <c r="J2103" s="4" t="s">
        <v>8581</v>
      </c>
      <c r="K2103" s="6" t="str">
        <f aca="false">HYPERLINK("https://www.google.com/search?q=Franklin+Lakes+Free+Public+Library+Franklin+Lakes+NJ+library+website","Search")</f>
        <v>Search</v>
      </c>
      <c r="L2103" s="7"/>
      <c r="M2103" s="7"/>
    </row>
    <row r="2104" customFormat="false" ht="15" hidden="false" customHeight="true" outlineLevel="0" collapsed="false">
      <c r="A2104" s="4" t="s">
        <v>8419</v>
      </c>
      <c r="B2104" s="4" t="s">
        <v>8582</v>
      </c>
      <c r="C2104" s="4" t="s">
        <v>8583</v>
      </c>
      <c r="D2104" s="4" t="s">
        <v>5684</v>
      </c>
      <c r="E2104" s="5" t="n">
        <v>16380</v>
      </c>
      <c r="F2104" s="4" t="n">
        <v>1</v>
      </c>
      <c r="G2104" s="4" t="s">
        <v>8584</v>
      </c>
      <c r="H2104" s="4" t="n">
        <v>39.61724</v>
      </c>
      <c r="I2104" s="4" t="n">
        <v>-75.07804</v>
      </c>
      <c r="J2104" s="4" t="s">
        <v>8585</v>
      </c>
      <c r="K2104" s="6" t="str">
        <f aca="false">HYPERLINK("https://www.google.com/search?q=Franklin+Twp+Public+Library%2FGloucester+Franklinville+NJ+library+website","Search")</f>
        <v>Search</v>
      </c>
      <c r="L2104" s="7"/>
      <c r="M2104" s="7"/>
    </row>
    <row r="2105" customFormat="false" ht="15" hidden="false" customHeight="true" outlineLevel="0" collapsed="false">
      <c r="A2105" s="4" t="s">
        <v>8419</v>
      </c>
      <c r="B2105" s="4" t="s">
        <v>8586</v>
      </c>
      <c r="C2105" s="4" t="s">
        <v>5152</v>
      </c>
      <c r="D2105" s="4" t="s">
        <v>5152</v>
      </c>
      <c r="E2105" s="5" t="n">
        <v>68364</v>
      </c>
      <c r="F2105" s="4" t="n">
        <v>2</v>
      </c>
      <c r="G2105" s="4" t="s">
        <v>8587</v>
      </c>
      <c r="H2105" s="4" t="n">
        <v>40.49832</v>
      </c>
      <c r="I2105" s="4" t="n">
        <v>-74.52313</v>
      </c>
      <c r="J2105" s="4" t="s">
        <v>8588</v>
      </c>
      <c r="K2105" s="6" t="str">
        <f aca="false">HYPERLINK("https://www.google.com/search?q=Franklin+Twp+Public+Library%2FSomerset+Somerset+NJ+library+website","Search")</f>
        <v>Search</v>
      </c>
      <c r="L2105" s="7"/>
      <c r="M2105" s="7"/>
    </row>
    <row r="2106" customFormat="false" ht="15" hidden="false" customHeight="true" outlineLevel="0" collapsed="false">
      <c r="A2106" s="4" t="s">
        <v>8419</v>
      </c>
      <c r="B2106" s="4" t="s">
        <v>8589</v>
      </c>
      <c r="C2106" s="4" t="s">
        <v>8590</v>
      </c>
      <c r="D2106" s="4" t="s">
        <v>4155</v>
      </c>
      <c r="E2106" s="5" t="n">
        <v>12538</v>
      </c>
      <c r="F2106" s="4" t="n">
        <v>1</v>
      </c>
      <c r="G2106" s="4" t="s">
        <v>8591</v>
      </c>
      <c r="H2106" s="4" t="n">
        <v>40.26087</v>
      </c>
      <c r="I2106" s="4" t="n">
        <v>-74.27301</v>
      </c>
      <c r="J2106" s="4" t="s">
        <v>8592</v>
      </c>
      <c r="K2106" s="6" t="str">
        <f aca="false">HYPERLINK("https://www.google.com/search?q=Freehold+Public+Library+Freehold+NJ+library+website","Search")</f>
        <v>Search</v>
      </c>
      <c r="L2106" s="7"/>
      <c r="M2106" s="7"/>
    </row>
    <row r="2107" customFormat="false" ht="15" hidden="false" customHeight="true" outlineLevel="0" collapsed="false">
      <c r="A2107" s="4" t="s">
        <v>8419</v>
      </c>
      <c r="B2107" s="4" t="s">
        <v>8593</v>
      </c>
      <c r="C2107" s="4" t="s">
        <v>1661</v>
      </c>
      <c r="D2107" s="4" t="s">
        <v>8445</v>
      </c>
      <c r="E2107" s="5" t="n">
        <v>32655</v>
      </c>
      <c r="F2107" s="4" t="n">
        <v>1</v>
      </c>
      <c r="G2107" s="4" t="s">
        <v>8594</v>
      </c>
      <c r="H2107" s="4" t="n">
        <v>40.8807</v>
      </c>
      <c r="I2107" s="4" t="n">
        <v>-74.10123</v>
      </c>
      <c r="J2107" s="4" t="s">
        <v>8595</v>
      </c>
      <c r="K2107" s="6" t="str">
        <f aca="false">HYPERLINK("https://www.google.com/search?q=Garfield+Free+Public+Library+Garfield+NJ+library+website","Search")</f>
        <v>Search</v>
      </c>
      <c r="L2107" s="7"/>
      <c r="M2107" s="7"/>
    </row>
    <row r="2108" customFormat="false" ht="15" hidden="false" customHeight="true" outlineLevel="0" collapsed="false">
      <c r="A2108" s="4" t="s">
        <v>8419</v>
      </c>
      <c r="B2108" s="4" t="s">
        <v>8596</v>
      </c>
      <c r="C2108" s="4" t="s">
        <v>8597</v>
      </c>
      <c r="D2108" s="4" t="s">
        <v>8445</v>
      </c>
      <c r="E2108" s="5" t="n">
        <v>12133</v>
      </c>
      <c r="F2108" s="4" t="n">
        <v>1</v>
      </c>
      <c r="G2108" s="4" t="s">
        <v>8598</v>
      </c>
      <c r="H2108" s="4" t="n">
        <v>40.96235</v>
      </c>
      <c r="I2108" s="4" t="n">
        <v>-74.12642</v>
      </c>
      <c r="J2108" s="4" t="s">
        <v>8599</v>
      </c>
      <c r="K2108" s="6" t="str">
        <f aca="false">HYPERLINK("https://www.google.com/search?q=Glen+Rock+Public+Library+Glen+Rock+NJ+library+website","Search")</f>
        <v>Search</v>
      </c>
      <c r="L2108" s="7"/>
      <c r="M2108" s="7"/>
    </row>
    <row r="2109" customFormat="false" ht="15" hidden="false" customHeight="true" outlineLevel="0" collapsed="false">
      <c r="A2109" s="4" t="s">
        <v>8419</v>
      </c>
      <c r="B2109" s="4" t="s">
        <v>8600</v>
      </c>
      <c r="C2109" s="4" t="s">
        <v>8601</v>
      </c>
      <c r="D2109" s="4" t="s">
        <v>445</v>
      </c>
      <c r="E2109" s="5" t="n">
        <v>11484</v>
      </c>
      <c r="F2109" s="4" t="n">
        <v>1</v>
      </c>
      <c r="G2109" s="4" t="s">
        <v>8602</v>
      </c>
      <c r="H2109" s="4" t="n">
        <v>39.8965</v>
      </c>
      <c r="I2109" s="4" t="n">
        <v>-75.11859</v>
      </c>
      <c r="J2109" s="4" t="s">
        <v>8603</v>
      </c>
      <c r="K2109" s="6" t="str">
        <f aca="false">HYPERLINK("https://www.google.com/search?q=Gloucester+City+Library+Gloucester+City+NJ+library+website","Search")</f>
        <v>Search</v>
      </c>
      <c r="L2109" s="7"/>
      <c r="M2109" s="7"/>
    </row>
    <row r="2110" customFormat="false" ht="15" hidden="false" customHeight="true" outlineLevel="0" collapsed="false">
      <c r="A2110" s="4" t="s">
        <v>8419</v>
      </c>
      <c r="B2110" s="4" t="s">
        <v>8604</v>
      </c>
      <c r="C2110" s="4" t="s">
        <v>8605</v>
      </c>
      <c r="D2110" s="4" t="s">
        <v>5684</v>
      </c>
      <c r="E2110" s="5" t="n">
        <v>114460</v>
      </c>
      <c r="F2110" s="4" t="n">
        <v>5</v>
      </c>
      <c r="G2110" s="4" t="s">
        <v>8606</v>
      </c>
      <c r="H2110" s="4" t="n">
        <v>39.74852</v>
      </c>
      <c r="I2110" s="4" t="n">
        <v>-75.2184</v>
      </c>
      <c r="J2110" s="4" t="s">
        <v>8607</v>
      </c>
      <c r="K2110" s="6" t="str">
        <f aca="false">HYPERLINK("https://www.google.com/search?q=Gloucester+County+Library+Mullica+Hill+NJ+library+website","Search")</f>
        <v>Search</v>
      </c>
      <c r="L2110" s="7"/>
      <c r="M2110" s="7"/>
    </row>
    <row r="2111" customFormat="false" ht="15" hidden="false" customHeight="true" outlineLevel="0" collapsed="false">
      <c r="A2111" s="4" t="s">
        <v>8419</v>
      </c>
      <c r="B2111" s="4" t="s">
        <v>8608</v>
      </c>
      <c r="C2111" s="4" t="s">
        <v>8609</v>
      </c>
      <c r="D2111" s="4" t="s">
        <v>3012</v>
      </c>
      <c r="E2111" s="5" t="n">
        <v>10248</v>
      </c>
      <c r="F2111" s="4" t="n">
        <v>1</v>
      </c>
      <c r="G2111" s="4" t="s">
        <v>8610</v>
      </c>
      <c r="H2111" s="4" t="n">
        <v>40.85182</v>
      </c>
      <c r="I2111" s="4" t="n">
        <v>-74.82839</v>
      </c>
      <c r="J2111" s="4" t="s">
        <v>8611</v>
      </c>
      <c r="K2111" s="6" t="str">
        <f aca="false">HYPERLINK("https://www.google.com/search?q=Hackettstown+Free+Public+Library+Hackettstown+NJ+library+website","Search")</f>
        <v>Search</v>
      </c>
      <c r="L2111" s="7"/>
      <c r="M2111" s="7"/>
    </row>
    <row r="2112" customFormat="false" ht="15" hidden="false" customHeight="true" outlineLevel="0" collapsed="false">
      <c r="A2112" s="4" t="s">
        <v>8419</v>
      </c>
      <c r="B2112" s="4" t="s">
        <v>8612</v>
      </c>
      <c r="C2112" s="4" t="s">
        <v>8613</v>
      </c>
      <c r="D2112" s="4" t="s">
        <v>445</v>
      </c>
      <c r="E2112" s="5" t="n">
        <v>12550</v>
      </c>
      <c r="F2112" s="4" t="n">
        <v>1</v>
      </c>
      <c r="G2112" s="4" t="s">
        <v>8614</v>
      </c>
      <c r="H2112" s="4" t="n">
        <v>39.89928</v>
      </c>
      <c r="I2112" s="4" t="n">
        <v>-75.03463</v>
      </c>
      <c r="J2112" s="4" t="s">
        <v>8615</v>
      </c>
      <c r="K2112" s="6" t="str">
        <f aca="false">HYPERLINK("https://www.google.com/search?q=Haddonfield+Public+Library+Haddonfield+NJ+library+website","Search")</f>
        <v>Search</v>
      </c>
      <c r="L2112" s="7"/>
      <c r="M2112" s="7"/>
    </row>
    <row r="2113" customFormat="false" ht="15" hidden="false" customHeight="true" outlineLevel="0" collapsed="false">
      <c r="A2113" s="4" t="s">
        <v>8419</v>
      </c>
      <c r="B2113" s="4" t="s">
        <v>8616</v>
      </c>
      <c r="C2113" s="4" t="s">
        <v>3025</v>
      </c>
      <c r="D2113" s="4" t="s">
        <v>5095</v>
      </c>
      <c r="E2113" s="5" t="n">
        <v>92297</v>
      </c>
      <c r="F2113" s="4" t="n">
        <v>1</v>
      </c>
      <c r="G2113" s="4" t="s">
        <v>8617</v>
      </c>
      <c r="H2113" s="4" t="n">
        <v>40.21248</v>
      </c>
      <c r="I2113" s="4" t="n">
        <v>-74.69546</v>
      </c>
      <c r="J2113" s="4" t="s">
        <v>8618</v>
      </c>
      <c r="K2113" s="6" t="str">
        <f aca="false">HYPERLINK("https://www.google.com/search?q=Hamilton+Township+Free+Public+Library+Hamilton+NJ+library+website","Search")</f>
        <v>Search</v>
      </c>
      <c r="L2113" s="7"/>
      <c r="M2113" s="7"/>
    </row>
    <row r="2114" customFormat="false" ht="15" hidden="false" customHeight="true" outlineLevel="0" collapsed="false">
      <c r="A2114" s="4" t="s">
        <v>8419</v>
      </c>
      <c r="B2114" s="4" t="s">
        <v>8619</v>
      </c>
      <c r="C2114" s="4" t="s">
        <v>485</v>
      </c>
      <c r="D2114" s="4" t="s">
        <v>2513</v>
      </c>
      <c r="E2114" s="5" t="n">
        <v>19450</v>
      </c>
      <c r="F2114" s="4" t="n">
        <v>1</v>
      </c>
      <c r="G2114" s="4" t="s">
        <v>8620</v>
      </c>
      <c r="H2114" s="4" t="n">
        <v>40.74665</v>
      </c>
      <c r="I2114" s="4" t="n">
        <v>-74.15531</v>
      </c>
      <c r="J2114" s="4" t="s">
        <v>8621</v>
      </c>
      <c r="K2114" s="6" t="str">
        <f aca="false">HYPERLINK("https://www.google.com/search?q=Harrison+Public+Library+Harrison+NJ+library+website","Search")</f>
        <v>Search</v>
      </c>
      <c r="L2114" s="7"/>
      <c r="M2114" s="7"/>
    </row>
    <row r="2115" customFormat="false" ht="15" hidden="false" customHeight="true" outlineLevel="0" collapsed="false">
      <c r="A2115" s="4" t="s">
        <v>8419</v>
      </c>
      <c r="B2115" s="4" t="s">
        <v>8622</v>
      </c>
      <c r="C2115" s="4" t="s">
        <v>8623</v>
      </c>
      <c r="D2115" s="4" t="s">
        <v>8445</v>
      </c>
      <c r="E2115" s="5" t="n">
        <v>12125</v>
      </c>
      <c r="F2115" s="4" t="n">
        <v>1</v>
      </c>
      <c r="G2115" s="4" t="s">
        <v>8624</v>
      </c>
      <c r="H2115" s="4" t="n">
        <v>40.86508</v>
      </c>
      <c r="I2115" s="4" t="n">
        <v>-74.07497</v>
      </c>
      <c r="J2115" s="4" t="s">
        <v>8625</v>
      </c>
      <c r="K2115" s="6" t="str">
        <f aca="false">HYPERLINK("https://www.google.com/search?q=Hasbrouck+Heights+Free+Public+Library+Hasbrouck+Heights+NJ+library+website","Search")</f>
        <v>Search</v>
      </c>
      <c r="L2115" s="7"/>
      <c r="M2115" s="7"/>
    </row>
    <row r="2116" customFormat="false" ht="15" hidden="false" customHeight="true" outlineLevel="0" collapsed="false">
      <c r="A2116" s="4" t="s">
        <v>8419</v>
      </c>
      <c r="B2116" s="4" t="s">
        <v>3682</v>
      </c>
      <c r="C2116" s="4" t="s">
        <v>3683</v>
      </c>
      <c r="D2116" s="4" t="s">
        <v>1792</v>
      </c>
      <c r="E2116" s="5" t="n">
        <v>15072</v>
      </c>
      <c r="F2116" s="4" t="n">
        <v>1</v>
      </c>
      <c r="G2116" s="4" t="s">
        <v>8626</v>
      </c>
      <c r="H2116" s="4" t="n">
        <v>40.50172</v>
      </c>
      <c r="I2116" s="4" t="n">
        <v>-74.42446</v>
      </c>
      <c r="J2116" s="4" t="s">
        <v>8627</v>
      </c>
      <c r="K2116" s="6" t="str">
        <f aca="false">HYPERLINK("https://www.google.com/search?q=Highland+Park+Public+Library+Highland+Park+NJ+library+website","Search")</f>
        <v>Search</v>
      </c>
      <c r="L2116" s="7"/>
      <c r="M2116" s="7"/>
    </row>
    <row r="2117" customFormat="false" ht="15" hidden="false" customHeight="true" outlineLevel="0" collapsed="false">
      <c r="A2117" s="4" t="s">
        <v>8419</v>
      </c>
      <c r="B2117" s="4" t="s">
        <v>8628</v>
      </c>
      <c r="C2117" s="4" t="s">
        <v>6739</v>
      </c>
      <c r="D2117" s="4" t="s">
        <v>8445</v>
      </c>
      <c r="E2117" s="5" t="n">
        <v>10143</v>
      </c>
      <c r="F2117" s="4" t="n">
        <v>1</v>
      </c>
      <c r="G2117" s="4" t="s">
        <v>8629</v>
      </c>
      <c r="H2117" s="4" t="n">
        <v>41.00263</v>
      </c>
      <c r="I2117" s="4" t="n">
        <v>-74.04591</v>
      </c>
      <c r="J2117" s="4" t="s">
        <v>8630</v>
      </c>
      <c r="K2117" s="6" t="str">
        <f aca="false">HYPERLINK("https://www.google.com/search?q=Hillsdale+Free+Public+Library+Hillsdale+NJ+library+website","Search")</f>
        <v>Search</v>
      </c>
      <c r="L2117" s="7"/>
      <c r="M2117" s="7"/>
    </row>
    <row r="2118" customFormat="false" ht="15" hidden="false" customHeight="true" outlineLevel="0" collapsed="false">
      <c r="A2118" s="4" t="s">
        <v>8419</v>
      </c>
      <c r="B2118" s="4" t="s">
        <v>8631</v>
      </c>
      <c r="C2118" s="4" t="s">
        <v>8632</v>
      </c>
      <c r="D2118" s="4" t="s">
        <v>467</v>
      </c>
      <c r="E2118" s="5" t="n">
        <v>22456</v>
      </c>
      <c r="F2118" s="4" t="n">
        <v>1</v>
      </c>
      <c r="G2118" s="4" t="s">
        <v>8633</v>
      </c>
      <c r="H2118" s="4" t="n">
        <v>40.70164</v>
      </c>
      <c r="I2118" s="4" t="n">
        <v>-74.22903</v>
      </c>
      <c r="J2118" s="4" t="s">
        <v>8634</v>
      </c>
      <c r="K2118" s="6" t="str">
        <f aca="false">HYPERLINK("https://www.google.com/search?q=Hillside+Free+Public+Library+Hillside+NJ+library+website","Search")</f>
        <v>Search</v>
      </c>
      <c r="L2118" s="7"/>
      <c r="M2118" s="7"/>
    </row>
    <row r="2119" customFormat="false" ht="15" hidden="false" customHeight="true" outlineLevel="0" collapsed="false">
      <c r="A2119" s="4" t="s">
        <v>8419</v>
      </c>
      <c r="B2119" s="4" t="s">
        <v>8635</v>
      </c>
      <c r="C2119" s="4" t="s">
        <v>8636</v>
      </c>
      <c r="D2119" s="4" t="s">
        <v>2513</v>
      </c>
      <c r="E2119" s="5" t="n">
        <v>60419</v>
      </c>
      <c r="F2119" s="4" t="n">
        <v>2</v>
      </c>
      <c r="G2119" s="4" t="s">
        <v>8637</v>
      </c>
      <c r="H2119" s="4" t="n">
        <v>40.74276</v>
      </c>
      <c r="I2119" s="4" t="n">
        <v>-74.03219</v>
      </c>
      <c r="J2119" s="4" t="s">
        <v>8638</v>
      </c>
      <c r="K2119" s="6" t="str">
        <f aca="false">HYPERLINK("https://www.google.com/search?q=Hoboken+Public+Library+Hoboken+NJ+library+website","Search")</f>
        <v>Search</v>
      </c>
      <c r="L2119" s="7"/>
      <c r="M2119" s="7"/>
    </row>
    <row r="2120" customFormat="false" ht="15" hidden="false" customHeight="true" outlineLevel="0" collapsed="false">
      <c r="A2120" s="4" t="s">
        <v>8419</v>
      </c>
      <c r="B2120" s="4" t="s">
        <v>8639</v>
      </c>
      <c r="C2120" s="4" t="s">
        <v>8640</v>
      </c>
      <c r="D2120" s="4" t="s">
        <v>8641</v>
      </c>
      <c r="E2120" s="5" t="n">
        <v>118700</v>
      </c>
      <c r="F2120" s="4" t="n">
        <v>3</v>
      </c>
      <c r="G2120" s="4" t="s">
        <v>8642</v>
      </c>
      <c r="H2120" s="4" t="n">
        <v>40.50453</v>
      </c>
      <c r="I2120" s="4" t="n">
        <v>-74.89843</v>
      </c>
      <c r="J2120" s="4" t="s">
        <v>8643</v>
      </c>
      <c r="K2120" s="6" t="str">
        <f aca="false">HYPERLINK("https://www.google.com/search?q=Hunterdon+County+Library+Flemington+NJ+library+website","Search")</f>
        <v>Search</v>
      </c>
      <c r="L2120" s="7"/>
      <c r="M2120" s="7"/>
    </row>
    <row r="2121" customFormat="false" ht="15" hidden="false" customHeight="true" outlineLevel="0" collapsed="false">
      <c r="A2121" s="4" t="s">
        <v>8419</v>
      </c>
      <c r="B2121" s="4" t="s">
        <v>8644</v>
      </c>
      <c r="C2121" s="4" t="s">
        <v>8645</v>
      </c>
      <c r="D2121" s="4" t="s">
        <v>5472</v>
      </c>
      <c r="E2121" s="5" t="n">
        <v>61176</v>
      </c>
      <c r="F2121" s="4" t="n">
        <v>1</v>
      </c>
      <c r="G2121" s="4" t="s">
        <v>8646</v>
      </c>
      <c r="H2121" s="4" t="n">
        <v>40.72585</v>
      </c>
      <c r="I2121" s="4" t="n">
        <v>-74.23358</v>
      </c>
      <c r="J2121" s="4" t="s">
        <v>8647</v>
      </c>
      <c r="K2121" s="6" t="str">
        <f aca="false">HYPERLINK("https://www.google.com/search?q=Irvington+Public+Library+Irvington+NJ+library+website","Search")</f>
        <v>Search</v>
      </c>
      <c r="L2121" s="7"/>
      <c r="M2121" s="7"/>
    </row>
    <row r="2122" customFormat="false" ht="15" hidden="false" customHeight="true" outlineLevel="0" collapsed="false">
      <c r="A2122" s="4" t="s">
        <v>8419</v>
      </c>
      <c r="B2122" s="4" t="s">
        <v>8648</v>
      </c>
      <c r="C2122" s="4" t="s">
        <v>8649</v>
      </c>
      <c r="D2122" s="4" t="s">
        <v>5684</v>
      </c>
      <c r="E2122" s="5" t="n">
        <v>31977</v>
      </c>
      <c r="F2122" s="4" t="n">
        <v>1</v>
      </c>
      <c r="G2122" s="4" t="s">
        <v>8650</v>
      </c>
      <c r="H2122" s="4" t="n">
        <v>39.82494</v>
      </c>
      <c r="I2122" s="4" t="n">
        <v>-75.13939</v>
      </c>
      <c r="J2122" s="4" t="s">
        <v>8651</v>
      </c>
      <c r="K2122" s="6" t="str">
        <f aca="false">HYPERLINK("https://www.google.com/search?q=James+H.+Johnson+Memorial+Library+Deptford+NJ+library+website","Search")</f>
        <v>Search</v>
      </c>
      <c r="L2122" s="7"/>
      <c r="M2122" s="7"/>
    </row>
    <row r="2123" customFormat="false" ht="15" hidden="false" customHeight="true" outlineLevel="0" collapsed="false">
      <c r="A2123" s="4" t="s">
        <v>8419</v>
      </c>
      <c r="B2123" s="4" t="s">
        <v>8652</v>
      </c>
      <c r="C2123" s="4" t="s">
        <v>8653</v>
      </c>
      <c r="D2123" s="4" t="s">
        <v>3861</v>
      </c>
      <c r="E2123" s="5" t="n">
        <v>20538</v>
      </c>
      <c r="F2123" s="4" t="n">
        <v>1</v>
      </c>
      <c r="G2123" s="4" t="s">
        <v>8654</v>
      </c>
      <c r="H2123" s="4" t="n">
        <v>41.0193</v>
      </c>
      <c r="I2123" s="4" t="n">
        <v>-74.54888</v>
      </c>
      <c r="J2123" s="4" t="s">
        <v>8655</v>
      </c>
      <c r="K2123" s="6" t="str">
        <f aca="false">HYPERLINK("https://www.google.com/search?q=Jefferson+Township+Public+Library+Oak+Ridge+NJ+library+website","Search")</f>
        <v>Search</v>
      </c>
      <c r="L2123" s="7"/>
      <c r="M2123" s="7"/>
    </row>
    <row r="2124" customFormat="false" ht="15" hidden="false" customHeight="true" outlineLevel="0" collapsed="false">
      <c r="A2124" s="4" t="s">
        <v>8419</v>
      </c>
      <c r="B2124" s="4" t="s">
        <v>8656</v>
      </c>
      <c r="C2124" s="4" t="s">
        <v>8657</v>
      </c>
      <c r="D2124" s="4" t="s">
        <v>2513</v>
      </c>
      <c r="E2124" s="5" t="n">
        <v>292449</v>
      </c>
      <c r="F2124" s="4" t="n">
        <v>10</v>
      </c>
      <c r="G2124" s="4" t="s">
        <v>8658</v>
      </c>
      <c r="H2124" s="4" t="n">
        <v>40.71901</v>
      </c>
      <c r="I2124" s="4" t="n">
        <v>-74.04756</v>
      </c>
      <c r="J2124" s="4" t="s">
        <v>8659</v>
      </c>
      <c r="K2124" s="6" t="str">
        <f aca="false">HYPERLINK("https://www.google.com/search?q=Jersey+City+Free+Public+Library+Jersey+City+NJ+library+website","Search")</f>
        <v>Search</v>
      </c>
      <c r="L2124" s="7"/>
      <c r="M2124" s="8" t="str">
        <f aca="false">HYPERLINK("https://jclibrary.overdrive.com","https://jclibrary.overdrive.com")</f>
        <v>https://jclibrary.overdrive.com</v>
      </c>
    </row>
    <row r="2125" customFormat="false" ht="15" hidden="false" customHeight="true" outlineLevel="0" collapsed="false">
      <c r="A2125" s="4" t="s">
        <v>8419</v>
      </c>
      <c r="B2125" s="4" t="s">
        <v>8660</v>
      </c>
      <c r="C2125" s="4" t="s">
        <v>8661</v>
      </c>
      <c r="D2125" s="4" t="s">
        <v>8445</v>
      </c>
      <c r="E2125" s="5" t="n">
        <v>11868</v>
      </c>
      <c r="F2125" s="4" t="n">
        <v>1</v>
      </c>
      <c r="G2125" s="4" t="s">
        <v>8662</v>
      </c>
      <c r="H2125" s="4" t="n">
        <v>40.85605</v>
      </c>
      <c r="I2125" s="4" t="n">
        <v>-74.11333</v>
      </c>
      <c r="J2125" s="4" t="s">
        <v>8663</v>
      </c>
      <c r="K2125" s="6" t="str">
        <f aca="false">HYPERLINK("https://www.google.com/search?q=John+F.+Kennedy+Memorial+Library+Wallington+NJ+library+website","Search")</f>
        <v>Search</v>
      </c>
      <c r="L2125" s="7"/>
      <c r="M2125" s="7"/>
    </row>
    <row r="2126" customFormat="false" ht="15" hidden="false" customHeight="true" outlineLevel="0" collapsed="false">
      <c r="A2126" s="4" t="s">
        <v>8419</v>
      </c>
      <c r="B2126" s="4" t="s">
        <v>8664</v>
      </c>
      <c r="C2126" s="4" t="s">
        <v>8665</v>
      </c>
      <c r="D2126" s="4" t="s">
        <v>8445</v>
      </c>
      <c r="E2126" s="5" t="n">
        <v>46030</v>
      </c>
      <c r="F2126" s="4" t="n">
        <v>1</v>
      </c>
      <c r="G2126" s="4" t="s">
        <v>8666</v>
      </c>
      <c r="H2126" s="4" t="n">
        <v>40.88703</v>
      </c>
      <c r="I2126" s="4" t="n">
        <v>-74.04126</v>
      </c>
      <c r="J2126" s="4" t="s">
        <v>8667</v>
      </c>
      <c r="K2126" s="6" t="str">
        <f aca="false">HYPERLINK("https://www.google.com/search?q=Johnson+Free+Public+Library+Hackensack+NJ+library+website","Search")</f>
        <v>Search</v>
      </c>
      <c r="L2126" s="7"/>
      <c r="M2126" s="7"/>
    </row>
    <row r="2127" customFormat="false" ht="15" hidden="false" customHeight="true" outlineLevel="0" collapsed="false">
      <c r="A2127" s="4" t="s">
        <v>8419</v>
      </c>
      <c r="B2127" s="4" t="s">
        <v>8668</v>
      </c>
      <c r="C2127" s="4" t="s">
        <v>8669</v>
      </c>
      <c r="D2127" s="4" t="s">
        <v>2513</v>
      </c>
      <c r="E2127" s="5" t="n">
        <v>41999</v>
      </c>
      <c r="F2127" s="4" t="n">
        <v>2</v>
      </c>
      <c r="G2127" s="4" t="s">
        <v>8670</v>
      </c>
      <c r="H2127" s="4" t="n">
        <v>40.7619</v>
      </c>
      <c r="I2127" s="4" t="n">
        <v>-74.15</v>
      </c>
      <c r="J2127" s="4" t="s">
        <v>8671</v>
      </c>
      <c r="K2127" s="6" t="str">
        <f aca="false">HYPERLINK("https://www.google.com/search?q=Kearny+Public+Library+Kearny+NJ+library+website","Search")</f>
        <v>Search</v>
      </c>
      <c r="L2127" s="7"/>
      <c r="M2127" s="7"/>
    </row>
    <row r="2128" customFormat="false" ht="15" hidden="false" customHeight="true" outlineLevel="0" collapsed="false">
      <c r="A2128" s="4" t="s">
        <v>8419</v>
      </c>
      <c r="B2128" s="4" t="s">
        <v>6800</v>
      </c>
      <c r="C2128" s="4" t="s">
        <v>6801</v>
      </c>
      <c r="D2128" s="4" t="s">
        <v>3861</v>
      </c>
      <c r="E2128" s="5" t="n">
        <v>10915</v>
      </c>
      <c r="F2128" s="4" t="n">
        <v>1</v>
      </c>
      <c r="G2128" s="4" t="s">
        <v>8672</v>
      </c>
      <c r="H2128" s="4" t="n">
        <v>40.92222</v>
      </c>
      <c r="I2128" s="4" t="n">
        <v>-74.305</v>
      </c>
      <c r="J2128" s="4" t="s">
        <v>8673</v>
      </c>
      <c r="K2128" s="6" t="str">
        <f aca="false">HYPERLINK("https://www.google.com/search?q=Lincoln+Park+Public+Library+Lincoln+Park+NJ+library+website","Search")</f>
        <v>Search</v>
      </c>
      <c r="L2128" s="7"/>
      <c r="M2128" s="7"/>
    </row>
    <row r="2129" customFormat="false" ht="15" hidden="false" customHeight="true" outlineLevel="0" collapsed="false">
      <c r="A2129" s="4" t="s">
        <v>8419</v>
      </c>
      <c r="B2129" s="4" t="s">
        <v>8674</v>
      </c>
      <c r="C2129" s="4" t="s">
        <v>8675</v>
      </c>
      <c r="D2129" s="4" t="s">
        <v>467</v>
      </c>
      <c r="E2129" s="5" t="n">
        <v>43738</v>
      </c>
      <c r="F2129" s="4" t="n">
        <v>1</v>
      </c>
      <c r="G2129" s="4" t="s">
        <v>8676</v>
      </c>
      <c r="H2129" s="4" t="n">
        <v>40.63452</v>
      </c>
      <c r="I2129" s="4" t="n">
        <v>-74.25784</v>
      </c>
      <c r="J2129" s="4" t="s">
        <v>8677</v>
      </c>
      <c r="K2129" s="6" t="str">
        <f aca="false">HYPERLINK("https://www.google.com/search?q=Linden+Free+Public+Library+Linden+NJ+library+website","Search")</f>
        <v>Search</v>
      </c>
      <c r="L2129" s="7"/>
      <c r="M2129" s="7"/>
    </row>
    <row r="2130" customFormat="false" ht="15" hidden="false" customHeight="true" outlineLevel="0" collapsed="false">
      <c r="A2130" s="4" t="s">
        <v>8419</v>
      </c>
      <c r="B2130" s="4" t="s">
        <v>8678</v>
      </c>
      <c r="C2130" s="4" t="s">
        <v>8679</v>
      </c>
      <c r="D2130" s="4" t="s">
        <v>8421</v>
      </c>
      <c r="E2130" s="5" t="n">
        <v>13360</v>
      </c>
      <c r="F2130" s="4" t="n">
        <v>1</v>
      </c>
      <c r="G2130" s="4" t="s">
        <v>8680</v>
      </c>
      <c r="H2130" s="4" t="n">
        <v>40.8804</v>
      </c>
      <c r="I2130" s="4" t="n">
        <v>-74.22907</v>
      </c>
      <c r="J2130" s="4" t="s">
        <v>8681</v>
      </c>
      <c r="K2130" s="6" t="str">
        <f aca="false">HYPERLINK("https://www.google.com/search?q=Little+Falls+Public+Library+Little+Falls+NJ+library+website","Search")</f>
        <v>Search</v>
      </c>
      <c r="L2130" s="7"/>
      <c r="M2130" s="7"/>
    </row>
    <row r="2131" customFormat="false" ht="15" hidden="false" customHeight="true" outlineLevel="0" collapsed="false">
      <c r="A2131" s="4" t="s">
        <v>8419</v>
      </c>
      <c r="B2131" s="4" t="s">
        <v>8682</v>
      </c>
      <c r="C2131" s="4" t="s">
        <v>8683</v>
      </c>
      <c r="D2131" s="4" t="s">
        <v>8445</v>
      </c>
      <c r="E2131" s="5" t="n">
        <v>10987</v>
      </c>
      <c r="F2131" s="4" t="n">
        <v>1</v>
      </c>
      <c r="G2131" s="4" t="s">
        <v>8684</v>
      </c>
      <c r="H2131" s="4" t="n">
        <v>40.85129</v>
      </c>
      <c r="I2131" s="4" t="n">
        <v>-74.04377</v>
      </c>
      <c r="J2131" s="4" t="s">
        <v>8685</v>
      </c>
      <c r="K2131" s="6" t="str">
        <f aca="false">HYPERLINK("https://www.google.com/search?q=Little+Ferry+Free+Public+Library+Little+Ferry+NJ+library+website","Search")</f>
        <v>Search</v>
      </c>
      <c r="L2131" s="7"/>
      <c r="M2131" s="7"/>
    </row>
    <row r="2132" customFormat="false" ht="15" hidden="false" customHeight="true" outlineLevel="0" collapsed="false">
      <c r="A2132" s="4" t="s">
        <v>8419</v>
      </c>
      <c r="B2132" s="4" t="s">
        <v>8686</v>
      </c>
      <c r="C2132" s="4" t="s">
        <v>1140</v>
      </c>
      <c r="D2132" s="4" t="s">
        <v>8445</v>
      </c>
      <c r="E2132" s="5" t="n">
        <v>26206</v>
      </c>
      <c r="F2132" s="4" t="n">
        <v>1</v>
      </c>
      <c r="G2132" s="4" t="s">
        <v>8687</v>
      </c>
      <c r="H2132" s="4" t="n">
        <v>40.87557</v>
      </c>
      <c r="I2132" s="4" t="n">
        <v>-74.08769</v>
      </c>
      <c r="J2132" s="4" t="s">
        <v>8688</v>
      </c>
      <c r="K2132" s="6" t="str">
        <f aca="false">HYPERLINK("https://www.google.com/search?q=Lodi+Memorial+Library+Lodi+NJ+library+website","Search")</f>
        <v>Search</v>
      </c>
      <c r="L2132" s="7"/>
      <c r="M2132" s="7"/>
    </row>
    <row r="2133" customFormat="false" ht="15" hidden="false" customHeight="true" outlineLevel="0" collapsed="false">
      <c r="A2133" s="4" t="s">
        <v>8419</v>
      </c>
      <c r="B2133" s="4" t="s">
        <v>8689</v>
      </c>
      <c r="C2133" s="4" t="s">
        <v>8690</v>
      </c>
      <c r="D2133" s="4" t="s">
        <v>4155</v>
      </c>
      <c r="E2133" s="5" t="n">
        <v>31667</v>
      </c>
      <c r="F2133" s="4" t="n">
        <v>2</v>
      </c>
      <c r="G2133" s="4" t="s">
        <v>8691</v>
      </c>
      <c r="H2133" s="4" t="n">
        <v>40.30398</v>
      </c>
      <c r="I2133" s="4" t="n">
        <v>-73.9928</v>
      </c>
      <c r="J2133" s="4" t="s">
        <v>8692</v>
      </c>
      <c r="K2133" s="6" t="str">
        <f aca="false">HYPERLINK("https://www.google.com/search?q=Long+Branch+Free+Public+Library+Long+Branch+NJ+library+website","Search")</f>
        <v>Search</v>
      </c>
      <c r="L2133" s="7"/>
      <c r="M2133" s="7"/>
    </row>
    <row r="2134" customFormat="false" ht="15" hidden="false" customHeight="true" outlineLevel="0" collapsed="false">
      <c r="A2134" s="4" t="s">
        <v>8419</v>
      </c>
      <c r="B2134" s="4" t="s">
        <v>8693</v>
      </c>
      <c r="C2134" s="4" t="s">
        <v>8694</v>
      </c>
      <c r="D2134" s="4" t="s">
        <v>8421</v>
      </c>
      <c r="E2134" s="5" t="n">
        <v>19637</v>
      </c>
      <c r="F2134" s="4" t="n">
        <v>1</v>
      </c>
      <c r="G2134" s="4" t="s">
        <v>8695</v>
      </c>
      <c r="H2134" s="4" t="n">
        <v>40.94998</v>
      </c>
      <c r="I2134" s="4" t="n">
        <v>-74.15527</v>
      </c>
      <c r="J2134" s="4" t="s">
        <v>8696</v>
      </c>
      <c r="K2134" s="6" t="str">
        <f aca="false">HYPERLINK("https://www.google.com/search?q=Louis+Bay+2Nd+Library+Hawthorne+NJ+library+website","Search")</f>
        <v>Search</v>
      </c>
      <c r="L2134" s="7"/>
      <c r="M2134" s="7"/>
    </row>
    <row r="2135" customFormat="false" ht="15" hidden="false" customHeight="true" outlineLevel="0" collapsed="false">
      <c r="A2135" s="4" t="s">
        <v>8419</v>
      </c>
      <c r="B2135" s="4" t="s">
        <v>8697</v>
      </c>
      <c r="C2135" s="4" t="s">
        <v>8698</v>
      </c>
      <c r="D2135" s="4" t="s">
        <v>8445</v>
      </c>
      <c r="E2135" s="5" t="n">
        <v>22519</v>
      </c>
      <c r="F2135" s="4" t="n">
        <v>1</v>
      </c>
      <c r="G2135" s="4" t="s">
        <v>8699</v>
      </c>
      <c r="H2135" s="4" t="n">
        <v>40.81218</v>
      </c>
      <c r="I2135" s="4" t="n">
        <v>-74.1247</v>
      </c>
      <c r="J2135" s="4" t="s">
        <v>8700</v>
      </c>
      <c r="K2135" s="6" t="str">
        <f aca="false">HYPERLINK("https://www.google.com/search?q=Lyndhurst+Free+Public+Library+Lyndhurst+NJ+library+website","Search")</f>
        <v>Search</v>
      </c>
      <c r="L2135" s="7"/>
      <c r="M2135" s="7"/>
    </row>
    <row r="2136" customFormat="false" ht="15" hidden="false" customHeight="true" outlineLevel="0" collapsed="false">
      <c r="A2136" s="4" t="s">
        <v>8419</v>
      </c>
      <c r="B2136" s="4" t="s">
        <v>8701</v>
      </c>
      <c r="C2136" s="4" t="s">
        <v>261</v>
      </c>
      <c r="D2136" s="4" t="s">
        <v>3861</v>
      </c>
      <c r="E2136" s="5" t="n">
        <v>16937</v>
      </c>
      <c r="F2136" s="4" t="n">
        <v>1</v>
      </c>
      <c r="G2136" s="4" t="s">
        <v>8702</v>
      </c>
      <c r="H2136" s="4" t="n">
        <v>40.75316</v>
      </c>
      <c r="I2136" s="4" t="n">
        <v>-74.41298</v>
      </c>
      <c r="J2136" s="4" t="s">
        <v>8703</v>
      </c>
      <c r="K2136" s="6" t="str">
        <f aca="false">HYPERLINK("https://www.google.com/search?q=Madison+Public+Library+Madison+NJ+library+website","Search")</f>
        <v>Search</v>
      </c>
      <c r="L2136" s="7"/>
      <c r="M2136" s="7"/>
    </row>
    <row r="2137" customFormat="false" ht="15" hidden="false" customHeight="true" outlineLevel="0" collapsed="false">
      <c r="A2137" s="4" t="s">
        <v>8419</v>
      </c>
      <c r="B2137" s="4" t="s">
        <v>8704</v>
      </c>
      <c r="C2137" s="4" t="s">
        <v>8705</v>
      </c>
      <c r="D2137" s="4" t="s">
        <v>8445</v>
      </c>
      <c r="E2137" s="5" t="n">
        <v>25487</v>
      </c>
      <c r="F2137" s="4" t="n">
        <v>1</v>
      </c>
      <c r="G2137" s="4" t="s">
        <v>8706</v>
      </c>
      <c r="H2137" s="4" t="n">
        <v>41.08711</v>
      </c>
      <c r="I2137" s="4" t="n">
        <v>-74.16013</v>
      </c>
      <c r="J2137" s="4" t="s">
        <v>8707</v>
      </c>
      <c r="K2137" s="6" t="str">
        <f aca="false">HYPERLINK("https://www.google.com/search?q=Mahwah+Free+Public+Library+Mahwah+Township+NJ+library+website","Search")</f>
        <v>Search</v>
      </c>
      <c r="L2137" s="7"/>
      <c r="M2137" s="7"/>
    </row>
    <row r="2138" customFormat="false" ht="15" hidden="false" customHeight="true" outlineLevel="0" collapsed="false">
      <c r="A2138" s="4" t="s">
        <v>8419</v>
      </c>
      <c r="B2138" s="4" t="s">
        <v>8708</v>
      </c>
      <c r="C2138" s="4" t="s">
        <v>8709</v>
      </c>
      <c r="D2138" s="4" t="s">
        <v>5472</v>
      </c>
      <c r="E2138" s="5" t="n">
        <v>25684</v>
      </c>
      <c r="F2138" s="4" t="n">
        <v>2</v>
      </c>
      <c r="G2138" s="4" t="s">
        <v>8710</v>
      </c>
      <c r="H2138" s="4" t="n">
        <v>40.72929</v>
      </c>
      <c r="I2138" s="4" t="n">
        <v>-74.27597</v>
      </c>
      <c r="J2138" s="4" t="s">
        <v>8711</v>
      </c>
      <c r="K2138" s="6" t="str">
        <f aca="false">HYPERLINK("https://www.google.com/search?q=Maplewood+Memorial+Library+Maplewood+NJ+library+website","Search")</f>
        <v>Search</v>
      </c>
      <c r="L2138" s="7"/>
      <c r="M2138" s="7"/>
    </row>
    <row r="2139" customFormat="false" ht="15" hidden="false" customHeight="true" outlineLevel="0" collapsed="false">
      <c r="A2139" s="4" t="s">
        <v>8419</v>
      </c>
      <c r="B2139" s="4" t="s">
        <v>8712</v>
      </c>
      <c r="C2139" s="4" t="s">
        <v>8713</v>
      </c>
      <c r="D2139" s="4" t="s">
        <v>5684</v>
      </c>
      <c r="E2139" s="5" t="n">
        <v>48677</v>
      </c>
      <c r="F2139" s="4" t="n">
        <v>1</v>
      </c>
      <c r="G2139" s="4" t="s">
        <v>8714</v>
      </c>
      <c r="H2139" s="4" t="n">
        <v>39.7471</v>
      </c>
      <c r="I2139" s="4" t="n">
        <v>-75.11331</v>
      </c>
      <c r="J2139" s="4" t="s">
        <v>8715</v>
      </c>
      <c r="K2139" s="6" t="str">
        <f aca="false">HYPERLINK("https://www.google.com/search?q=Margaret+E.+Heggan+Free+Public+Library+Sewell+NJ+library+website","Search")</f>
        <v>Search</v>
      </c>
      <c r="L2139" s="7"/>
      <c r="M2139" s="7"/>
    </row>
    <row r="2140" customFormat="false" ht="15" hidden="false" customHeight="true" outlineLevel="0" collapsed="false">
      <c r="A2140" s="4" t="s">
        <v>8419</v>
      </c>
      <c r="B2140" s="4" t="s">
        <v>8716</v>
      </c>
      <c r="C2140" s="4" t="s">
        <v>8717</v>
      </c>
      <c r="D2140" s="4" t="s">
        <v>4155</v>
      </c>
      <c r="E2140" s="5" t="n">
        <v>28894</v>
      </c>
      <c r="F2140" s="4" t="n">
        <v>1</v>
      </c>
      <c r="G2140" s="4" t="s">
        <v>8718</v>
      </c>
      <c r="H2140" s="4" t="n">
        <v>40.4137</v>
      </c>
      <c r="I2140" s="4" t="n">
        <v>-74.23036</v>
      </c>
      <c r="J2140" s="4" t="s">
        <v>8719</v>
      </c>
      <c r="K2140" s="6" t="str">
        <f aca="false">HYPERLINK("https://www.google.com/search?q=Matawan-Aberdeen+Public+Library+Matawan+NJ+library+website","Search")</f>
        <v>Search</v>
      </c>
      <c r="L2140" s="7"/>
      <c r="M2140" s="7"/>
    </row>
    <row r="2141" customFormat="false" ht="15" hidden="false" customHeight="true" outlineLevel="0" collapsed="false">
      <c r="A2141" s="4" t="s">
        <v>8419</v>
      </c>
      <c r="B2141" s="4" t="s">
        <v>8720</v>
      </c>
      <c r="C2141" s="4" t="s">
        <v>8721</v>
      </c>
      <c r="D2141" s="4" t="s">
        <v>8445</v>
      </c>
      <c r="E2141" s="5" t="n">
        <v>34927</v>
      </c>
      <c r="F2141" s="4" t="n">
        <v>1</v>
      </c>
      <c r="G2141" s="4" t="s">
        <v>8722</v>
      </c>
      <c r="H2141" s="4" t="n">
        <v>40.93627</v>
      </c>
      <c r="I2141" s="4" t="n">
        <v>-74.13135</v>
      </c>
      <c r="J2141" s="4" t="s">
        <v>8723</v>
      </c>
      <c r="K2141" s="6" t="str">
        <f aca="false">HYPERLINK("https://www.google.com/search?q=Maurice+M.+Pine+Free+Public+Library+Fair+Lawn+NJ+library+website","Search")</f>
        <v>Search</v>
      </c>
      <c r="L2141" s="7"/>
      <c r="M2141" s="7"/>
    </row>
    <row r="2142" customFormat="false" ht="15" hidden="false" customHeight="true" outlineLevel="0" collapsed="false">
      <c r="A2142" s="4" t="s">
        <v>8419</v>
      </c>
      <c r="B2142" s="4" t="s">
        <v>8724</v>
      </c>
      <c r="C2142" s="4" t="s">
        <v>3830</v>
      </c>
      <c r="D2142" s="4" t="s">
        <v>8445</v>
      </c>
      <c r="E2142" s="5" t="n">
        <v>10080</v>
      </c>
      <c r="F2142" s="4" t="n">
        <v>1</v>
      </c>
      <c r="G2142" s="4" t="s">
        <v>8725</v>
      </c>
      <c r="H2142" s="4" t="n">
        <v>40.90099</v>
      </c>
      <c r="I2142" s="4" t="n">
        <v>-74.06306</v>
      </c>
      <c r="J2142" s="4" t="s">
        <v>8726</v>
      </c>
      <c r="K2142" s="6" t="str">
        <f aca="false">HYPERLINK("https://www.google.com/search?q=Maywood+Public+Library+Maywood+NJ+library+website","Search")</f>
        <v>Search</v>
      </c>
      <c r="L2142" s="7"/>
      <c r="M2142" s="7"/>
    </row>
    <row r="2143" customFormat="false" ht="15" hidden="false" customHeight="true" outlineLevel="0" collapsed="false">
      <c r="A2143" s="4" t="s">
        <v>8419</v>
      </c>
      <c r="B2143" s="4" t="s">
        <v>8727</v>
      </c>
      <c r="C2143" s="4" t="s">
        <v>2699</v>
      </c>
      <c r="D2143" s="4" t="s">
        <v>5095</v>
      </c>
      <c r="E2143" s="5" t="n">
        <v>168771</v>
      </c>
      <c r="F2143" s="4" t="n">
        <v>9</v>
      </c>
      <c r="G2143" s="4" t="s">
        <v>8728</v>
      </c>
      <c r="H2143" s="4" t="n">
        <v>40.26577</v>
      </c>
      <c r="I2143" s="4" t="n">
        <v>-74.71762</v>
      </c>
      <c r="J2143" s="4" t="s">
        <v>8729</v>
      </c>
      <c r="K2143" s="6" t="str">
        <f aca="false">HYPERLINK("https://www.google.com/search?q=Mercer+County+Library+Lawrenceville+NJ+library+website","Search")</f>
        <v>Search</v>
      </c>
      <c r="L2143" s="7"/>
      <c r="M2143" s="7"/>
    </row>
    <row r="2144" customFormat="false" ht="15" hidden="false" customHeight="true" outlineLevel="0" collapsed="false">
      <c r="A2144" s="4" t="s">
        <v>8419</v>
      </c>
      <c r="B2144" s="4" t="s">
        <v>8730</v>
      </c>
      <c r="C2144" s="4" t="s">
        <v>8731</v>
      </c>
      <c r="D2144" s="4" t="s">
        <v>1792</v>
      </c>
      <c r="E2144" s="5" t="n">
        <v>15049</v>
      </c>
      <c r="F2144" s="4" t="n">
        <v>1</v>
      </c>
      <c r="G2144" s="4" t="s">
        <v>8732</v>
      </c>
      <c r="H2144" s="4" t="n">
        <v>40.54431</v>
      </c>
      <c r="I2144" s="4" t="n">
        <v>-74.36184</v>
      </c>
      <c r="J2144" s="4" t="s">
        <v>8733</v>
      </c>
      <c r="K2144" s="6" t="str">
        <f aca="false">HYPERLINK("https://www.google.com/search?q=Metuchen+Public+Library+Metuchen+NJ+library+website","Search")</f>
        <v>Search</v>
      </c>
      <c r="L2144" s="7"/>
      <c r="M2144" s="7"/>
    </row>
    <row r="2145" customFormat="false" ht="15" hidden="false" customHeight="true" outlineLevel="0" collapsed="false">
      <c r="A2145" s="4" t="s">
        <v>8419</v>
      </c>
      <c r="B2145" s="4" t="s">
        <v>8734</v>
      </c>
      <c r="C2145" s="4" t="s">
        <v>1792</v>
      </c>
      <c r="D2145" s="4" t="s">
        <v>1792</v>
      </c>
      <c r="E2145" s="5" t="n">
        <v>14636</v>
      </c>
      <c r="F2145" s="4" t="n">
        <v>1</v>
      </c>
      <c r="G2145" s="4" t="s">
        <v>8735</v>
      </c>
      <c r="H2145" s="4" t="n">
        <v>40.57915</v>
      </c>
      <c r="I2145" s="4" t="n">
        <v>-74.50049</v>
      </c>
      <c r="J2145" s="4" t="s">
        <v>8736</v>
      </c>
      <c r="K2145" s="6" t="str">
        <f aca="false">HYPERLINK("https://www.google.com/search?q=Middlesex+Public+Library+Middlesex+NJ+library+website","Search")</f>
        <v>Search</v>
      </c>
      <c r="L2145" s="7"/>
      <c r="M2145" s="7"/>
    </row>
    <row r="2146" customFormat="false" ht="15" hidden="false" customHeight="true" outlineLevel="0" collapsed="false">
      <c r="A2146" s="4" t="s">
        <v>8419</v>
      </c>
      <c r="B2146" s="4" t="s">
        <v>8737</v>
      </c>
      <c r="C2146" s="4" t="s">
        <v>2087</v>
      </c>
      <c r="D2146" s="4" t="s">
        <v>4155</v>
      </c>
      <c r="E2146" s="5" t="n">
        <v>67106</v>
      </c>
      <c r="F2146" s="4" t="n">
        <v>1</v>
      </c>
      <c r="G2146" s="4" t="s">
        <v>8738</v>
      </c>
      <c r="H2146" s="4" t="n">
        <v>40.40435</v>
      </c>
      <c r="I2146" s="4" t="n">
        <v>-74.10999</v>
      </c>
      <c r="J2146" s="4" t="s">
        <v>8739</v>
      </c>
      <c r="K2146" s="6" t="str">
        <f aca="false">HYPERLINK("https://www.google.com/search?q=Middletown+Township+Public+Library+Middletown+NJ+library+website","Search")</f>
        <v>Search</v>
      </c>
      <c r="L2146" s="7"/>
      <c r="M2146" s="7"/>
    </row>
    <row r="2147" customFormat="false" ht="15" hidden="false" customHeight="true" outlineLevel="0" collapsed="false">
      <c r="A2147" s="4" t="s">
        <v>8419</v>
      </c>
      <c r="B2147" s="4" t="s">
        <v>8740</v>
      </c>
      <c r="C2147" s="4" t="s">
        <v>8741</v>
      </c>
      <c r="D2147" s="4" t="s">
        <v>5472</v>
      </c>
      <c r="E2147" s="5" t="n">
        <v>21710</v>
      </c>
      <c r="F2147" s="4" t="n">
        <v>1</v>
      </c>
      <c r="G2147" s="4" t="s">
        <v>8742</v>
      </c>
      <c r="H2147" s="4" t="n">
        <v>40.72702</v>
      </c>
      <c r="I2147" s="4" t="n">
        <v>-74.30608</v>
      </c>
      <c r="J2147" s="4" t="s">
        <v>8743</v>
      </c>
      <c r="K2147" s="6" t="str">
        <f aca="false">HYPERLINK("https://www.google.com/search?q=Millburn+Free+Public+Library+Millburn+NJ+library+website","Search")</f>
        <v>Search</v>
      </c>
      <c r="L2147" s="7"/>
      <c r="M2147" s="7"/>
    </row>
    <row r="2148" customFormat="false" ht="15" hidden="false" customHeight="true" outlineLevel="0" collapsed="false">
      <c r="A2148" s="4" t="s">
        <v>8419</v>
      </c>
      <c r="B2148" s="4" t="s">
        <v>8744</v>
      </c>
      <c r="C2148" s="4" t="s">
        <v>8745</v>
      </c>
      <c r="D2148" s="4" t="s">
        <v>6161</v>
      </c>
      <c r="E2148" s="5" t="n">
        <v>27491</v>
      </c>
      <c r="F2148" s="4" t="n">
        <v>1</v>
      </c>
      <c r="G2148" s="4" t="s">
        <v>8746</v>
      </c>
      <c r="H2148" s="4" t="n">
        <v>39.39902</v>
      </c>
      <c r="I2148" s="4" t="n">
        <v>-75.04001</v>
      </c>
      <c r="J2148" s="4" t="s">
        <v>8747</v>
      </c>
      <c r="K2148" s="6" t="str">
        <f aca="false">HYPERLINK("https://www.google.com/search?q=Millville+Public+Library+Millville+NJ+library+website","Search")</f>
        <v>Search</v>
      </c>
      <c r="L2148" s="7"/>
      <c r="M2148" s="7"/>
    </row>
    <row r="2149" customFormat="false" ht="15" hidden="false" customHeight="true" outlineLevel="0" collapsed="false">
      <c r="A2149" s="4" t="s">
        <v>8419</v>
      </c>
      <c r="B2149" s="4" t="s">
        <v>8748</v>
      </c>
      <c r="C2149" s="4" t="s">
        <v>8749</v>
      </c>
      <c r="D2149" s="4" t="s">
        <v>4155</v>
      </c>
      <c r="E2149" s="5" t="n">
        <v>425110</v>
      </c>
      <c r="F2149" s="4" t="n">
        <v>13</v>
      </c>
      <c r="G2149" s="4" t="s">
        <v>8750</v>
      </c>
      <c r="H2149" s="4" t="n">
        <v>40.29238</v>
      </c>
      <c r="I2149" s="4" t="n">
        <v>-74.30398</v>
      </c>
      <c r="J2149" s="4" t="s">
        <v>8751</v>
      </c>
      <c r="K2149" s="6" t="str">
        <f aca="false">HYPERLINK("https://www.google.com/search?q=Monmouth+County+Library+Manalapan+NJ+library+website","Search")</f>
        <v>Search</v>
      </c>
      <c r="L2149" s="7"/>
      <c r="M2149" s="8" t="str">
        <f aca="false">HYPERLINK("https://monmouth.overdrive.com","https://monmouth.overdrive.com")</f>
        <v>https://monmouth.overdrive.com</v>
      </c>
    </row>
    <row r="2150" customFormat="false" ht="15" hidden="false" customHeight="true" outlineLevel="0" collapsed="false">
      <c r="A2150" s="4" t="s">
        <v>8419</v>
      </c>
      <c r="B2150" s="4" t="s">
        <v>8752</v>
      </c>
      <c r="C2150" s="4" t="s">
        <v>4935</v>
      </c>
      <c r="D2150" s="4" t="s">
        <v>5684</v>
      </c>
      <c r="E2150" s="5" t="n">
        <v>37117</v>
      </c>
      <c r="F2150" s="4" t="n">
        <v>1</v>
      </c>
      <c r="G2150" s="4" t="s">
        <v>8753</v>
      </c>
      <c r="H2150" s="4" t="n">
        <v>39.69313</v>
      </c>
      <c r="I2150" s="4" t="n">
        <v>-75.00138</v>
      </c>
      <c r="J2150" s="4" t="s">
        <v>8754</v>
      </c>
      <c r="K2150" s="6" t="str">
        <f aca="false">HYPERLINK("https://www.google.com/search?q=Monroe+Twp+Public+Library%2FGloucester+Williamstown+NJ+library+website","Search")</f>
        <v>Search</v>
      </c>
      <c r="L2150" s="7"/>
      <c r="M2150" s="7"/>
    </row>
    <row r="2151" customFormat="false" ht="15" hidden="false" customHeight="true" outlineLevel="0" collapsed="false">
      <c r="A2151" s="4" t="s">
        <v>8419</v>
      </c>
      <c r="B2151" s="4" t="s">
        <v>8755</v>
      </c>
      <c r="C2151" s="4" t="s">
        <v>8756</v>
      </c>
      <c r="D2151" s="4" t="s">
        <v>1792</v>
      </c>
      <c r="E2151" s="5" t="n">
        <v>48594</v>
      </c>
      <c r="F2151" s="4" t="n">
        <v>1</v>
      </c>
      <c r="G2151" s="4" t="s">
        <v>8757</v>
      </c>
      <c r="H2151" s="4" t="n">
        <v>40.32658</v>
      </c>
      <c r="I2151" s="4" t="n">
        <v>-74.44306</v>
      </c>
      <c r="J2151" s="4" t="s">
        <v>8758</v>
      </c>
      <c r="K2151" s="6" t="str">
        <f aca="false">HYPERLINK("https://www.google.com/search?q=Monroe+Twp+Public+Library%2FMiddlesex+Monroe+Township+NJ+library+website","Search")</f>
        <v>Search</v>
      </c>
      <c r="L2151" s="7"/>
      <c r="M2151" s="7"/>
    </row>
    <row r="2152" customFormat="false" ht="15" hidden="false" customHeight="true" outlineLevel="0" collapsed="false">
      <c r="A2152" s="4" t="s">
        <v>8419</v>
      </c>
      <c r="B2152" s="4" t="s">
        <v>8759</v>
      </c>
      <c r="C2152" s="4" t="s">
        <v>8760</v>
      </c>
      <c r="D2152" s="4" t="s">
        <v>5472</v>
      </c>
      <c r="E2152" s="5" t="n">
        <v>40921</v>
      </c>
      <c r="F2152" s="4" t="n">
        <v>2</v>
      </c>
      <c r="G2152" s="4" t="s">
        <v>8761</v>
      </c>
      <c r="H2152" s="4" t="n">
        <v>40.81152</v>
      </c>
      <c r="I2152" s="4" t="n">
        <v>-74.21833</v>
      </c>
      <c r="J2152" s="4" t="s">
        <v>8762</v>
      </c>
      <c r="K2152" s="6" t="str">
        <f aca="false">HYPERLINK("https://www.google.com/search?q=Montclair+Public+Library+Montclair+NJ+library+website","Search")</f>
        <v>Search</v>
      </c>
      <c r="L2152" s="7"/>
      <c r="M2152" s="7"/>
    </row>
    <row r="2153" customFormat="false" ht="15" hidden="false" customHeight="true" outlineLevel="0" collapsed="false">
      <c r="A2153" s="4" t="s">
        <v>8419</v>
      </c>
      <c r="B2153" s="4" t="s">
        <v>8763</v>
      </c>
      <c r="C2153" s="4" t="s">
        <v>8764</v>
      </c>
      <c r="D2153" s="4" t="s">
        <v>3861</v>
      </c>
      <c r="E2153" s="5" t="n">
        <v>22450</v>
      </c>
      <c r="F2153" s="4" t="n">
        <v>1</v>
      </c>
      <c r="G2153" s="4" t="s">
        <v>8765</v>
      </c>
      <c r="H2153" s="4" t="n">
        <v>40.8916</v>
      </c>
      <c r="I2153" s="4" t="n">
        <v>-74.3586</v>
      </c>
      <c r="J2153" s="4" t="s">
        <v>8766</v>
      </c>
      <c r="K2153" s="6" t="str">
        <f aca="false">HYPERLINK("https://www.google.com/search?q=Montville+Township+Public+Library+Montville+NJ+library+website","Search")</f>
        <v>Search</v>
      </c>
      <c r="L2153" s="7"/>
      <c r="M2153" s="7"/>
    </row>
    <row r="2154" customFormat="false" ht="15" hidden="false" customHeight="true" outlineLevel="0" collapsed="false">
      <c r="A2154" s="4" t="s">
        <v>8419</v>
      </c>
      <c r="B2154" s="4" t="s">
        <v>8767</v>
      </c>
      <c r="C2154" s="4" t="s">
        <v>8768</v>
      </c>
      <c r="D2154" s="4" t="s">
        <v>2903</v>
      </c>
      <c r="E2154" s="5" t="n">
        <v>21355</v>
      </c>
      <c r="F2154" s="4" t="n">
        <v>1</v>
      </c>
      <c r="G2154" s="4" t="s">
        <v>8769</v>
      </c>
      <c r="H2154" s="4" t="n">
        <v>39.964</v>
      </c>
      <c r="I2154" s="4" t="n">
        <v>-74.94961</v>
      </c>
      <c r="J2154" s="4" t="s">
        <v>8770</v>
      </c>
      <c r="K2154" s="6" t="str">
        <f aca="false">HYPERLINK("https://www.google.com/search?q=Moorestown+Library+Moorestown+NJ+library+website","Search")</f>
        <v>Search</v>
      </c>
      <c r="L2154" s="7"/>
      <c r="M2154" s="7"/>
    </row>
    <row r="2155" customFormat="false" ht="15" hidden="false" customHeight="true" outlineLevel="0" collapsed="false">
      <c r="A2155" s="4" t="s">
        <v>8419</v>
      </c>
      <c r="B2155" s="4" t="s">
        <v>8771</v>
      </c>
      <c r="C2155" s="4" t="s">
        <v>8772</v>
      </c>
      <c r="D2155" s="4" t="s">
        <v>3861</v>
      </c>
      <c r="E2155" s="5" t="n">
        <v>509285</v>
      </c>
      <c r="F2155" s="4" t="n">
        <v>1</v>
      </c>
      <c r="G2155" s="4" t="s">
        <v>8773</v>
      </c>
      <c r="H2155" s="4" t="n">
        <v>40.80583</v>
      </c>
      <c r="I2155" s="4" t="n">
        <v>-74.44811</v>
      </c>
      <c r="J2155" s="4" t="s">
        <v>8774</v>
      </c>
      <c r="K2155" s="6" t="str">
        <f aca="false">HYPERLINK("https://www.google.com/search?q=Morris+County+Library+Whippany+NJ+library+website","Search")</f>
        <v>Search</v>
      </c>
      <c r="L2155" s="7"/>
      <c r="M2155" s="7"/>
    </row>
    <row r="2156" customFormat="false" ht="15" hidden="false" customHeight="true" outlineLevel="0" collapsed="false">
      <c r="A2156" s="4" t="s">
        <v>8419</v>
      </c>
      <c r="B2156" s="4" t="s">
        <v>8775</v>
      </c>
      <c r="C2156" s="4" t="s">
        <v>8776</v>
      </c>
      <c r="D2156" s="4" t="s">
        <v>3861</v>
      </c>
      <c r="E2156" s="5" t="n">
        <v>43154</v>
      </c>
      <c r="F2156" s="4" t="n">
        <v>1</v>
      </c>
      <c r="G2156" s="4" t="s">
        <v>8777</v>
      </c>
      <c r="H2156" s="4" t="n">
        <v>40.7937</v>
      </c>
      <c r="I2156" s="4" t="n">
        <v>-74.47807</v>
      </c>
      <c r="J2156" s="4" t="s">
        <v>8778</v>
      </c>
      <c r="K2156" s="6" t="str">
        <f aca="false">HYPERLINK("https://www.google.com/search?q=Morristown-Morris+Twp+Joint+Public+Library+Morristown+NJ+library+website","Search")</f>
        <v>Search</v>
      </c>
      <c r="L2156" s="7"/>
      <c r="M2156" s="7"/>
    </row>
    <row r="2157" customFormat="false" ht="15" hidden="false" customHeight="true" outlineLevel="0" collapsed="false">
      <c r="A2157" s="4" t="s">
        <v>8419</v>
      </c>
      <c r="B2157" s="4" t="s">
        <v>8779</v>
      </c>
      <c r="C2157" s="4" t="s">
        <v>8780</v>
      </c>
      <c r="D2157" s="4" t="s">
        <v>2903</v>
      </c>
      <c r="E2157" s="5" t="n">
        <v>44633</v>
      </c>
      <c r="F2157" s="4" t="n">
        <v>1</v>
      </c>
      <c r="G2157" s="4" t="s">
        <v>8781</v>
      </c>
      <c r="H2157" s="4" t="n">
        <v>39.95805</v>
      </c>
      <c r="I2157" s="4" t="n">
        <v>-74.92409</v>
      </c>
      <c r="J2157" s="4" t="s">
        <v>8782</v>
      </c>
      <c r="K2157" s="6" t="str">
        <f aca="false">HYPERLINK("https://www.google.com/search?q=Mount+Laurel+Library+Mount+Laurel+NJ+library+website","Search")</f>
        <v>Search</v>
      </c>
      <c r="L2157" s="7"/>
      <c r="M2157" s="7"/>
    </row>
    <row r="2158" customFormat="false" ht="15" hidden="false" customHeight="true" outlineLevel="0" collapsed="false">
      <c r="A2158" s="4" t="s">
        <v>8419</v>
      </c>
      <c r="B2158" s="4" t="s">
        <v>8783</v>
      </c>
      <c r="C2158" s="4" t="s">
        <v>8784</v>
      </c>
      <c r="D2158" s="4" t="s">
        <v>3861</v>
      </c>
      <c r="E2158" s="5" t="n">
        <v>28886</v>
      </c>
      <c r="F2158" s="4" t="n">
        <v>1</v>
      </c>
      <c r="G2158" s="4" t="s">
        <v>8785</v>
      </c>
      <c r="H2158" s="4" t="n">
        <v>40.8489</v>
      </c>
      <c r="I2158" s="4" t="n">
        <v>-74.74104</v>
      </c>
      <c r="J2158" s="4" t="s">
        <v>8786</v>
      </c>
      <c r="K2158" s="6" t="str">
        <f aca="false">HYPERLINK("https://www.google.com/search?q=Mount+Olive+Public+Library+Flanders+NJ+library+website","Search")</f>
        <v>Search</v>
      </c>
      <c r="L2158" s="7"/>
      <c r="M2158" s="7"/>
    </row>
    <row r="2159" customFormat="false" ht="15" hidden="false" customHeight="true" outlineLevel="0" collapsed="false">
      <c r="A2159" s="4" t="s">
        <v>8419</v>
      </c>
      <c r="B2159" s="4" t="s">
        <v>8787</v>
      </c>
      <c r="C2159" s="4" t="s">
        <v>8788</v>
      </c>
      <c r="D2159" s="4" t="s">
        <v>4155</v>
      </c>
      <c r="E2159" s="5" t="n">
        <v>28061</v>
      </c>
      <c r="F2159" s="4" t="n">
        <v>1</v>
      </c>
      <c r="G2159" s="4" t="s">
        <v>8789</v>
      </c>
      <c r="H2159" s="4" t="n">
        <v>40.20971</v>
      </c>
      <c r="I2159" s="4" t="n">
        <v>-74.03589</v>
      </c>
      <c r="J2159" s="4" t="s">
        <v>8790</v>
      </c>
      <c r="K2159" s="6" t="str">
        <f aca="false">HYPERLINK("https://www.google.com/search?q=Neptune+Township+Public+Library+Neptune+NJ+library+website","Search")</f>
        <v>Search</v>
      </c>
      <c r="L2159" s="7"/>
      <c r="M2159" s="7"/>
    </row>
    <row r="2160" customFormat="false" ht="15" hidden="false" customHeight="true" outlineLevel="0" collapsed="false">
      <c r="A2160" s="4" t="s">
        <v>8419</v>
      </c>
      <c r="B2160" s="4" t="s">
        <v>8791</v>
      </c>
      <c r="C2160" s="4" t="s">
        <v>8792</v>
      </c>
      <c r="D2160" s="4" t="s">
        <v>1792</v>
      </c>
      <c r="E2160" s="5" t="n">
        <v>55266</v>
      </c>
      <c r="F2160" s="4" t="n">
        <v>1</v>
      </c>
      <c r="G2160" s="4" t="s">
        <v>8793</v>
      </c>
      <c r="H2160" s="4" t="n">
        <v>40.49154</v>
      </c>
      <c r="I2160" s="4" t="n">
        <v>-74.44586</v>
      </c>
      <c r="J2160" s="4" t="s">
        <v>8794</v>
      </c>
      <c r="K2160" s="6" t="str">
        <f aca="false">HYPERLINK("https://www.google.com/search?q=New+Brunswick+Free+Public+Library+New+Brunswick+NJ+library+website","Search")</f>
        <v>Search</v>
      </c>
      <c r="L2160" s="7"/>
      <c r="M2160" s="7"/>
    </row>
    <row r="2161" customFormat="false" ht="15" hidden="false" customHeight="true" outlineLevel="0" collapsed="false">
      <c r="A2161" s="4" t="s">
        <v>8419</v>
      </c>
      <c r="B2161" s="4" t="s">
        <v>2030</v>
      </c>
      <c r="C2161" s="4" t="s">
        <v>2031</v>
      </c>
      <c r="D2161" s="4" t="s">
        <v>8445</v>
      </c>
      <c r="E2161" s="5" t="n">
        <v>16923</v>
      </c>
      <c r="F2161" s="4" t="n">
        <v>1</v>
      </c>
      <c r="G2161" s="4" t="s">
        <v>8795</v>
      </c>
      <c r="H2161" s="4" t="n">
        <v>40.92034</v>
      </c>
      <c r="I2161" s="4" t="n">
        <v>-74.02302</v>
      </c>
      <c r="J2161" s="4" t="s">
        <v>8796</v>
      </c>
      <c r="K2161" s="6" t="str">
        <f aca="false">HYPERLINK("https://www.google.com/search?q=New+Milford+Public+Library+New+Milford+NJ+library+website","Search")</f>
        <v>Search</v>
      </c>
      <c r="L2161" s="7"/>
      <c r="M2161" s="7"/>
    </row>
    <row r="2162" customFormat="false" ht="15" hidden="false" customHeight="true" outlineLevel="0" collapsed="false">
      <c r="A2162" s="4" t="s">
        <v>8419</v>
      </c>
      <c r="B2162" s="4" t="s">
        <v>8797</v>
      </c>
      <c r="C2162" s="4" t="s">
        <v>8798</v>
      </c>
      <c r="D2162" s="4" t="s">
        <v>467</v>
      </c>
      <c r="E2162" s="5" t="n">
        <v>13650</v>
      </c>
      <c r="F2162" s="4" t="n">
        <v>1</v>
      </c>
      <c r="G2162" s="4" t="s">
        <v>8799</v>
      </c>
      <c r="H2162" s="4" t="n">
        <v>40.70826</v>
      </c>
      <c r="I2162" s="4" t="n">
        <v>-74.40471</v>
      </c>
      <c r="J2162" s="4" t="s">
        <v>8800</v>
      </c>
      <c r="K2162" s="6" t="str">
        <f aca="false">HYPERLINK("https://www.google.com/search?q=New+Providence+Memorial+Library+New+Providence+NJ+library+website","Search")</f>
        <v>Search</v>
      </c>
      <c r="L2162" s="7"/>
      <c r="M2162" s="7"/>
    </row>
    <row r="2163" customFormat="false" ht="15" hidden="false" customHeight="true" outlineLevel="0" collapsed="false">
      <c r="A2163" s="4" t="s">
        <v>8419</v>
      </c>
      <c r="B2163" s="4" t="s">
        <v>8801</v>
      </c>
      <c r="C2163" s="4" t="s">
        <v>8802</v>
      </c>
      <c r="D2163" s="4" t="s">
        <v>5472</v>
      </c>
      <c r="E2163" s="5" t="n">
        <v>311549</v>
      </c>
      <c r="F2163" s="4" t="n">
        <v>9</v>
      </c>
      <c r="G2163" s="4" t="s">
        <v>8803</v>
      </c>
      <c r="H2163" s="4" t="n">
        <v>40.74423</v>
      </c>
      <c r="I2163" s="4" t="n">
        <v>-74.17033</v>
      </c>
      <c r="J2163" s="4" t="s">
        <v>8804</v>
      </c>
      <c r="K2163" s="6" t="str">
        <f aca="false">HYPERLINK("https://www.google.com/search?q=Newark+Public+Library+Newark+NJ+library+website","Search")</f>
        <v>Search</v>
      </c>
      <c r="L2163" s="7"/>
      <c r="M2163" s="7"/>
    </row>
    <row r="2164" customFormat="false" ht="15" hidden="false" customHeight="true" outlineLevel="0" collapsed="false">
      <c r="A2164" s="4" t="s">
        <v>8419</v>
      </c>
      <c r="B2164" s="4" t="s">
        <v>8805</v>
      </c>
      <c r="C2164" s="4" t="s">
        <v>8806</v>
      </c>
      <c r="D2164" s="4" t="s">
        <v>8445</v>
      </c>
      <c r="E2164" s="5" t="n">
        <v>16457</v>
      </c>
      <c r="F2164" s="4" t="n">
        <v>1</v>
      </c>
      <c r="G2164" s="4" t="s">
        <v>8807</v>
      </c>
      <c r="H2164" s="4" t="n">
        <v>40.78878</v>
      </c>
      <c r="I2164" s="4" t="n">
        <v>-74.13306</v>
      </c>
      <c r="J2164" s="4" t="s">
        <v>8808</v>
      </c>
      <c r="K2164" s="6" t="str">
        <f aca="false">HYPERLINK("https://www.google.com/search?q=North+Arlington+Public+Library+North+Arlington+NJ+library+website","Search")</f>
        <v>Search</v>
      </c>
      <c r="L2164" s="7"/>
      <c r="M2164" s="7"/>
    </row>
    <row r="2165" customFormat="false" ht="15" hidden="false" customHeight="true" outlineLevel="0" collapsed="false">
      <c r="A2165" s="4" t="s">
        <v>8419</v>
      </c>
      <c r="B2165" s="4" t="s">
        <v>8809</v>
      </c>
      <c r="C2165" s="4" t="s">
        <v>8810</v>
      </c>
      <c r="D2165" s="4" t="s">
        <v>2513</v>
      </c>
      <c r="E2165" s="5" t="n">
        <v>63361</v>
      </c>
      <c r="F2165" s="4" t="n">
        <v>2</v>
      </c>
      <c r="G2165" s="4" t="s">
        <v>8811</v>
      </c>
      <c r="H2165" s="4" t="n">
        <v>40.80472</v>
      </c>
      <c r="I2165" s="4" t="n">
        <v>-74.00455</v>
      </c>
      <c r="J2165" s="4" t="s">
        <v>8812</v>
      </c>
      <c r="K2165" s="6" t="str">
        <f aca="false">HYPERLINK("https://www.google.com/search?q=North+Bergen+Free+Public+Library+North+Bergen+NJ+library+website","Search")</f>
        <v>Search</v>
      </c>
      <c r="L2165" s="7"/>
      <c r="M2165" s="7"/>
    </row>
    <row r="2166" customFormat="false" ht="15" hidden="false" customHeight="true" outlineLevel="0" collapsed="false">
      <c r="A2166" s="4" t="s">
        <v>8419</v>
      </c>
      <c r="B2166" s="4" t="s">
        <v>8813</v>
      </c>
      <c r="C2166" s="4" t="s">
        <v>8814</v>
      </c>
      <c r="D2166" s="4" t="s">
        <v>1792</v>
      </c>
      <c r="E2166" s="5" t="n">
        <v>43905</v>
      </c>
      <c r="F2166" s="4" t="n">
        <v>1</v>
      </c>
      <c r="G2166" s="4" t="s">
        <v>8815</v>
      </c>
      <c r="H2166" s="4" t="n">
        <v>40.46854</v>
      </c>
      <c r="I2166" s="4" t="n">
        <v>-74.46396</v>
      </c>
      <c r="J2166" s="4" t="s">
        <v>8816</v>
      </c>
      <c r="K2166" s="6" t="str">
        <f aca="false">HYPERLINK("https://www.google.com/search?q=North+Brunswick+Free+Public+Library+North+Brunswick+NJ+library+website","Search")</f>
        <v>Search</v>
      </c>
      <c r="L2166" s="7"/>
      <c r="M2166" s="7"/>
    </row>
    <row r="2167" customFormat="false" ht="15" hidden="false" customHeight="true" outlineLevel="0" collapsed="false">
      <c r="A2167" s="4" t="s">
        <v>8419</v>
      </c>
      <c r="B2167" s="4" t="s">
        <v>8817</v>
      </c>
      <c r="C2167" s="4" t="s">
        <v>8818</v>
      </c>
      <c r="D2167" s="4" t="s">
        <v>5472</v>
      </c>
      <c r="E2167" s="5" t="n">
        <v>30143</v>
      </c>
      <c r="F2167" s="4" t="n">
        <v>1</v>
      </c>
      <c r="G2167" s="4" t="s">
        <v>8819</v>
      </c>
      <c r="H2167" s="4" t="n">
        <v>40.81759</v>
      </c>
      <c r="I2167" s="4" t="n">
        <v>-74.15889</v>
      </c>
      <c r="J2167" s="4" t="s">
        <v>8820</v>
      </c>
      <c r="K2167" s="6" t="str">
        <f aca="false">HYPERLINK("https://www.google.com/search?q=Nutley+Free+Public+Library+Nutley+NJ+library+website","Search")</f>
        <v>Search</v>
      </c>
      <c r="L2167" s="7"/>
      <c r="M2167" s="7"/>
    </row>
    <row r="2168" customFormat="false" ht="15" hidden="false" customHeight="true" outlineLevel="0" collapsed="false">
      <c r="A2168" s="4" t="s">
        <v>8419</v>
      </c>
      <c r="B2168" s="4" t="s">
        <v>1245</v>
      </c>
      <c r="C2168" s="4" t="s">
        <v>1246</v>
      </c>
      <c r="D2168" s="4" t="s">
        <v>8445</v>
      </c>
      <c r="E2168" s="5" t="n">
        <v>12748</v>
      </c>
      <c r="F2168" s="4" t="n">
        <v>1</v>
      </c>
      <c r="G2168" s="4" t="s">
        <v>8821</v>
      </c>
      <c r="H2168" s="4" t="n">
        <v>41.02352</v>
      </c>
      <c r="I2168" s="4" t="n">
        <v>-74.24523</v>
      </c>
      <c r="J2168" s="4" t="s">
        <v>8822</v>
      </c>
      <c r="K2168" s="6" t="str">
        <f aca="false">HYPERLINK("https://www.google.com/search?q=Oakland+Public+Library+Oakland+NJ+library+website","Search")</f>
        <v>Search</v>
      </c>
      <c r="L2168" s="7"/>
      <c r="M2168" s="7"/>
    </row>
    <row r="2169" customFormat="false" ht="15" hidden="false" customHeight="true" outlineLevel="0" collapsed="false">
      <c r="A2169" s="4" t="s">
        <v>8419</v>
      </c>
      <c r="B2169" s="4" t="s">
        <v>8823</v>
      </c>
      <c r="C2169" s="4" t="s">
        <v>8824</v>
      </c>
      <c r="D2169" s="4" t="s">
        <v>8471</v>
      </c>
      <c r="E2169" s="5" t="n">
        <v>11229</v>
      </c>
      <c r="F2169" s="4" t="n">
        <v>1</v>
      </c>
      <c r="G2169" s="4" t="s">
        <v>8825</v>
      </c>
      <c r="H2169" s="4" t="n">
        <v>39.27176</v>
      </c>
      <c r="I2169" s="4" t="n">
        <v>-74.59055</v>
      </c>
      <c r="J2169" s="4" t="s">
        <v>8826</v>
      </c>
      <c r="K2169" s="6" t="str">
        <f aca="false">HYPERLINK("https://www.google.com/search?q=Ocean+City+Free+Public+Library+Ocean+City+NJ+library+website","Search")</f>
        <v>Search</v>
      </c>
      <c r="L2169" s="7"/>
      <c r="M2169" s="7"/>
    </row>
    <row r="2170" customFormat="false" ht="15" hidden="false" customHeight="true" outlineLevel="0" collapsed="false">
      <c r="A2170" s="4" t="s">
        <v>8419</v>
      </c>
      <c r="B2170" s="4" t="s">
        <v>8827</v>
      </c>
      <c r="C2170" s="4" t="s">
        <v>8828</v>
      </c>
      <c r="D2170" s="4" t="s">
        <v>8829</v>
      </c>
      <c r="E2170" s="5" t="n">
        <v>636202</v>
      </c>
      <c r="F2170" s="4" t="n">
        <v>21</v>
      </c>
      <c r="G2170" s="4" t="s">
        <v>8830</v>
      </c>
      <c r="H2170" s="4" t="n">
        <v>39.95287</v>
      </c>
      <c r="I2170" s="4" t="n">
        <v>-74.19568</v>
      </c>
      <c r="J2170" s="4" t="s">
        <v>8831</v>
      </c>
      <c r="K2170" s="6" t="str">
        <f aca="false">HYPERLINK("https://www.google.com/search?q=Ocean+County+Library+Toms+River+NJ+library+website","Search")</f>
        <v>Search</v>
      </c>
      <c r="L2170" s="7"/>
      <c r="M2170" s="8" t="str">
        <f aca="false">HYPERLINK("https://ocl.overdrive.com","https://ocl.overdrive.com")</f>
        <v>https://ocl.overdrive.com</v>
      </c>
    </row>
    <row r="2171" customFormat="false" ht="15" hidden="false" customHeight="true" outlineLevel="0" collapsed="false">
      <c r="A2171" s="4" t="s">
        <v>8419</v>
      </c>
      <c r="B2171" s="4" t="s">
        <v>8832</v>
      </c>
      <c r="C2171" s="4" t="s">
        <v>8833</v>
      </c>
      <c r="D2171" s="4" t="s">
        <v>1792</v>
      </c>
      <c r="E2171" s="5" t="n">
        <v>66876</v>
      </c>
      <c r="F2171" s="4" t="n">
        <v>1</v>
      </c>
      <c r="G2171" s="4" t="s">
        <v>8834</v>
      </c>
      <c r="H2171" s="4" t="n">
        <v>40.40423</v>
      </c>
      <c r="I2171" s="4" t="n">
        <v>-74.29787</v>
      </c>
      <c r="J2171" s="4" t="s">
        <v>8835</v>
      </c>
      <c r="K2171" s="6" t="str">
        <f aca="false">HYPERLINK("https://www.google.com/search?q=Old+Bridge+Public+Library+Old+Bridge+NJ+library+website","Search")</f>
        <v>Search</v>
      </c>
      <c r="L2171" s="7"/>
      <c r="M2171" s="7"/>
    </row>
    <row r="2172" customFormat="false" ht="15" hidden="false" customHeight="true" outlineLevel="0" collapsed="false">
      <c r="A2172" s="4" t="s">
        <v>8419</v>
      </c>
      <c r="B2172" s="4" t="s">
        <v>8836</v>
      </c>
      <c r="C2172" s="4" t="s">
        <v>8837</v>
      </c>
      <c r="D2172" s="4" t="s">
        <v>8445</v>
      </c>
      <c r="E2172" s="5" t="n">
        <v>20292</v>
      </c>
      <c r="F2172" s="4" t="n">
        <v>1</v>
      </c>
      <c r="G2172" s="4" t="s">
        <v>8838</v>
      </c>
      <c r="H2172" s="4" t="n">
        <v>40.8466</v>
      </c>
      <c r="I2172" s="4" t="n">
        <v>-73.99692</v>
      </c>
      <c r="J2172" s="4" t="s">
        <v>8839</v>
      </c>
      <c r="K2172" s="6" t="str">
        <f aca="false">HYPERLINK("https://www.google.com/search?q=Palisades+Park+Free+Public+Library+Palisades+Park+NJ+library+website","Search")</f>
        <v>Search</v>
      </c>
      <c r="L2172" s="7"/>
      <c r="M2172" s="7"/>
    </row>
    <row r="2173" customFormat="false" ht="15" hidden="false" customHeight="true" outlineLevel="0" collapsed="false">
      <c r="A2173" s="4" t="s">
        <v>8419</v>
      </c>
      <c r="B2173" s="4" t="s">
        <v>8840</v>
      </c>
      <c r="C2173" s="4" t="s">
        <v>8841</v>
      </c>
      <c r="D2173" s="4" t="s">
        <v>8445</v>
      </c>
      <c r="E2173" s="5" t="n">
        <v>26698</v>
      </c>
      <c r="F2173" s="4" t="n">
        <v>2</v>
      </c>
      <c r="G2173" s="4" t="s">
        <v>8842</v>
      </c>
      <c r="H2173" s="4" t="n">
        <v>40.92675</v>
      </c>
      <c r="I2173" s="4" t="n">
        <v>-74.06049</v>
      </c>
      <c r="J2173" s="4" t="s">
        <v>8843</v>
      </c>
      <c r="K2173" s="6" t="str">
        <f aca="false">HYPERLINK("https://www.google.com/search?q=Paramus+Public+Library+Paramus+NJ+library+website","Search")</f>
        <v>Search</v>
      </c>
      <c r="L2173" s="7"/>
      <c r="M2173" s="7"/>
    </row>
    <row r="2174" customFormat="false" ht="15" hidden="false" customHeight="true" outlineLevel="0" collapsed="false">
      <c r="A2174" s="4" t="s">
        <v>8419</v>
      </c>
      <c r="B2174" s="4" t="s">
        <v>8844</v>
      </c>
      <c r="C2174" s="4" t="s">
        <v>8845</v>
      </c>
      <c r="D2174" s="4" t="s">
        <v>3861</v>
      </c>
      <c r="E2174" s="5" t="n">
        <v>56162</v>
      </c>
      <c r="F2174" s="4" t="n">
        <v>3</v>
      </c>
      <c r="G2174" s="4" t="s">
        <v>8846</v>
      </c>
      <c r="H2174" s="4" t="n">
        <v>40.85243</v>
      </c>
      <c r="I2174" s="4" t="n">
        <v>-74.45291</v>
      </c>
      <c r="J2174" s="4" t="s">
        <v>8847</v>
      </c>
      <c r="K2174" s="6" t="str">
        <f aca="false">HYPERLINK("https://www.google.com/search?q=Parsippany-Troy+Hills+Public+Library+Parsippany+NJ+library+website","Search")</f>
        <v>Search</v>
      </c>
      <c r="L2174" s="7"/>
      <c r="M2174" s="7"/>
    </row>
    <row r="2175" customFormat="false" ht="15" hidden="false" customHeight="true" outlineLevel="0" collapsed="false">
      <c r="A2175" s="4" t="s">
        <v>8419</v>
      </c>
      <c r="B2175" s="4" t="s">
        <v>8848</v>
      </c>
      <c r="C2175" s="4" t="s">
        <v>8421</v>
      </c>
      <c r="D2175" s="4" t="s">
        <v>8421</v>
      </c>
      <c r="E2175" s="5" t="n">
        <v>70537</v>
      </c>
      <c r="F2175" s="4" t="n">
        <v>2</v>
      </c>
      <c r="G2175" s="4" t="s">
        <v>8849</v>
      </c>
      <c r="H2175" s="4" t="n">
        <v>40.85759</v>
      </c>
      <c r="I2175" s="4" t="n">
        <v>-74.12777</v>
      </c>
      <c r="J2175" s="4" t="s">
        <v>8850</v>
      </c>
      <c r="K2175" s="6" t="str">
        <f aca="false">HYPERLINK("https://www.google.com/search?q=Passaic+Public+Library+Passaic+NJ+library+website","Search")</f>
        <v>Search</v>
      </c>
      <c r="L2175" s="7"/>
      <c r="M2175" s="7"/>
    </row>
    <row r="2176" customFormat="false" ht="15" hidden="false" customHeight="true" outlineLevel="0" collapsed="false">
      <c r="A2176" s="4" t="s">
        <v>8419</v>
      </c>
      <c r="B2176" s="4" t="s">
        <v>8851</v>
      </c>
      <c r="C2176" s="4" t="s">
        <v>8852</v>
      </c>
      <c r="D2176" s="4" t="s">
        <v>8421</v>
      </c>
      <c r="E2176" s="5" t="n">
        <v>159732</v>
      </c>
      <c r="F2176" s="4" t="n">
        <v>4</v>
      </c>
      <c r="G2176" s="4" t="s">
        <v>8853</v>
      </c>
      <c r="H2176" s="4" t="n">
        <v>40.91868</v>
      </c>
      <c r="I2176" s="4" t="n">
        <v>-74.16425</v>
      </c>
      <c r="J2176" s="4" t="s">
        <v>8854</v>
      </c>
      <c r="K2176" s="6" t="str">
        <f aca="false">HYPERLINK("https://www.google.com/search?q=Paterson+Free+Public+Library+Paterson+NJ+library+website","Search")</f>
        <v>Search</v>
      </c>
      <c r="L2176" s="7"/>
      <c r="M2176" s="7"/>
    </row>
    <row r="2177" customFormat="false" ht="15" hidden="false" customHeight="true" outlineLevel="0" collapsed="false">
      <c r="A2177" s="4" t="s">
        <v>8419</v>
      </c>
      <c r="B2177" s="4" t="s">
        <v>8855</v>
      </c>
      <c r="C2177" s="4" t="s">
        <v>8856</v>
      </c>
      <c r="D2177" s="4" t="s">
        <v>445</v>
      </c>
      <c r="E2177" s="5" t="n">
        <v>37074</v>
      </c>
      <c r="F2177" s="4" t="n">
        <v>1</v>
      </c>
      <c r="G2177" s="4" t="s">
        <v>8857</v>
      </c>
      <c r="H2177" s="4" t="n">
        <v>39.95656</v>
      </c>
      <c r="I2177" s="4" t="n">
        <v>-75.05762</v>
      </c>
      <c r="J2177" s="4" t="s">
        <v>8858</v>
      </c>
      <c r="K2177" s="6" t="str">
        <f aca="false">HYPERLINK("https://www.google.com/search?q=Pennsauken+Free+Public+Library+Pennsauken+NJ+library+website","Search")</f>
        <v>Search</v>
      </c>
      <c r="L2177" s="7"/>
      <c r="M2177" s="7"/>
    </row>
    <row r="2178" customFormat="false" ht="15" hidden="false" customHeight="true" outlineLevel="0" collapsed="false">
      <c r="A2178" s="4" t="s">
        <v>8419</v>
      </c>
      <c r="B2178" s="4" t="s">
        <v>8859</v>
      </c>
      <c r="C2178" s="4" t="s">
        <v>8860</v>
      </c>
      <c r="D2178" s="4" t="s">
        <v>4598</v>
      </c>
      <c r="E2178" s="5" t="n">
        <v>12684</v>
      </c>
      <c r="F2178" s="4" t="n">
        <v>1</v>
      </c>
      <c r="G2178" s="4" t="s">
        <v>8861</v>
      </c>
      <c r="H2178" s="4" t="n">
        <v>39.64532</v>
      </c>
      <c r="I2178" s="4" t="n">
        <v>-75.51821</v>
      </c>
      <c r="J2178" s="4" t="s">
        <v>8862</v>
      </c>
      <c r="K2178" s="6" t="str">
        <f aca="false">HYPERLINK("https://www.google.com/search?q=Pennsville+Public+Library+Pennsville+NJ+library+website","Search")</f>
        <v>Search</v>
      </c>
      <c r="L2178" s="7"/>
      <c r="M2178" s="7"/>
    </row>
    <row r="2179" customFormat="false" ht="15" hidden="false" customHeight="true" outlineLevel="0" collapsed="false">
      <c r="A2179" s="4" t="s">
        <v>8419</v>
      </c>
      <c r="B2179" s="4" t="s">
        <v>8863</v>
      </c>
      <c r="C2179" s="4" t="s">
        <v>8864</v>
      </c>
      <c r="D2179" s="4" t="s">
        <v>3861</v>
      </c>
      <c r="E2179" s="5" t="n">
        <v>15571</v>
      </c>
      <c r="F2179" s="4" t="n">
        <v>1</v>
      </c>
      <c r="G2179" s="4" t="s">
        <v>8865</v>
      </c>
      <c r="H2179" s="4" t="n">
        <v>40.95924</v>
      </c>
      <c r="I2179" s="4" t="n">
        <v>-74.2942</v>
      </c>
      <c r="J2179" s="4" t="s">
        <v>8866</v>
      </c>
      <c r="K2179" s="6" t="str">
        <f aca="false">HYPERLINK("https://www.google.com/search?q=Pequannock+Township+Public+Library+Pompton+Plains+NJ+library+website","Search")</f>
        <v>Search</v>
      </c>
      <c r="L2179" s="7"/>
      <c r="M2179" s="7"/>
    </row>
    <row r="2180" customFormat="false" ht="15" hidden="false" customHeight="true" outlineLevel="0" collapsed="false">
      <c r="A2180" s="4" t="s">
        <v>8419</v>
      </c>
      <c r="B2180" s="4" t="s">
        <v>8867</v>
      </c>
      <c r="C2180" s="4" t="s">
        <v>8868</v>
      </c>
      <c r="D2180" s="4" t="s">
        <v>1792</v>
      </c>
      <c r="E2180" s="5" t="n">
        <v>55436</v>
      </c>
      <c r="F2180" s="4" t="n">
        <v>1</v>
      </c>
      <c r="G2180" s="4" t="s">
        <v>8869</v>
      </c>
      <c r="H2180" s="4" t="n">
        <v>40.51038</v>
      </c>
      <c r="I2180" s="4" t="n">
        <v>-74.27075</v>
      </c>
      <c r="J2180" s="4" t="s">
        <v>8870</v>
      </c>
      <c r="K2180" s="6" t="str">
        <f aca="false">HYPERLINK("https://www.google.com/search?q=Perth+Amboy+Free+Public+Library+Perth+Amboy+NJ+library+website","Search")</f>
        <v>Search</v>
      </c>
      <c r="L2180" s="7"/>
      <c r="M2180" s="7"/>
    </row>
    <row r="2181" customFormat="false" ht="15" hidden="false" customHeight="true" outlineLevel="0" collapsed="false">
      <c r="A2181" s="4" t="s">
        <v>8419</v>
      </c>
      <c r="B2181" s="4" t="s">
        <v>8871</v>
      </c>
      <c r="C2181" s="4" t="s">
        <v>8872</v>
      </c>
      <c r="D2181" s="4" t="s">
        <v>3012</v>
      </c>
      <c r="E2181" s="5" t="n">
        <v>15249</v>
      </c>
      <c r="F2181" s="4" t="n">
        <v>1</v>
      </c>
      <c r="G2181" s="4" t="s">
        <v>8873</v>
      </c>
      <c r="H2181" s="4" t="n">
        <v>40.69962</v>
      </c>
      <c r="I2181" s="4" t="n">
        <v>-75.17999</v>
      </c>
      <c r="J2181" s="4" t="s">
        <v>8874</v>
      </c>
      <c r="K2181" s="6" t="str">
        <f aca="false">HYPERLINK("https://www.google.com/search?q=Phillipsburg+Free+Public+Library+Phillipsburg+NJ+library+website","Search")</f>
        <v>Search</v>
      </c>
      <c r="L2181" s="7"/>
      <c r="M2181" s="8" t="str">
        <f aca="false">HYPERLINK("https://phillipsburgnj.overdrive.com","https://phillipsburgnj.overdrive.com")</f>
        <v>https://phillipsburgnj.overdrive.com</v>
      </c>
    </row>
    <row r="2182" customFormat="false" ht="15" hidden="false" customHeight="true" outlineLevel="0" collapsed="false">
      <c r="A2182" s="4" t="s">
        <v>8419</v>
      </c>
      <c r="B2182" s="4" t="s">
        <v>8875</v>
      </c>
      <c r="C2182" s="4" t="s">
        <v>8876</v>
      </c>
      <c r="D2182" s="4" t="s">
        <v>1792</v>
      </c>
      <c r="E2182" s="5" t="n">
        <v>60804</v>
      </c>
      <c r="F2182" s="4" t="n">
        <v>2</v>
      </c>
      <c r="G2182" s="4" t="s">
        <v>8877</v>
      </c>
      <c r="H2182" s="4" t="n">
        <v>40.53691</v>
      </c>
      <c r="I2182" s="4" t="n">
        <v>-74.47086</v>
      </c>
      <c r="J2182" s="4" t="s">
        <v>8878</v>
      </c>
      <c r="K2182" s="6" t="str">
        <f aca="false">HYPERLINK("https://www.google.com/search?q=Piscataway+Public+Library+Piscataway+NJ+library+website","Search")</f>
        <v>Search</v>
      </c>
      <c r="L2182" s="7"/>
      <c r="M2182" s="7"/>
    </row>
    <row r="2183" customFormat="false" ht="15" hidden="false" customHeight="true" outlineLevel="0" collapsed="false">
      <c r="A2183" s="4" t="s">
        <v>8419</v>
      </c>
      <c r="B2183" s="4" t="s">
        <v>8879</v>
      </c>
      <c r="C2183" s="4" t="s">
        <v>3970</v>
      </c>
      <c r="D2183" s="4" t="s">
        <v>467</v>
      </c>
      <c r="E2183" s="5" t="n">
        <v>54586</v>
      </c>
      <c r="F2183" s="4" t="n">
        <v>1</v>
      </c>
      <c r="G2183" s="4" t="s">
        <v>8880</v>
      </c>
      <c r="H2183" s="4" t="n">
        <v>40.61393</v>
      </c>
      <c r="I2183" s="4" t="n">
        <v>-74.41559</v>
      </c>
      <c r="J2183" s="4" t="s">
        <v>8881</v>
      </c>
      <c r="K2183" s="6" t="str">
        <f aca="false">HYPERLINK("https://www.google.com/search?q=Plainfield+Free+Public+Library+Plainfield+NJ+library+website","Search")</f>
        <v>Search</v>
      </c>
      <c r="L2183" s="7"/>
      <c r="M2183" s="7"/>
    </row>
    <row r="2184" customFormat="false" ht="15" hidden="false" customHeight="true" outlineLevel="0" collapsed="false">
      <c r="A2184" s="4" t="s">
        <v>8419</v>
      </c>
      <c r="B2184" s="4" t="s">
        <v>8882</v>
      </c>
      <c r="C2184" s="4" t="s">
        <v>8883</v>
      </c>
      <c r="D2184" s="4" t="s">
        <v>1792</v>
      </c>
      <c r="E2184" s="5" t="n">
        <v>24084</v>
      </c>
      <c r="F2184" s="4" t="n">
        <v>1</v>
      </c>
      <c r="G2184" s="4" t="s">
        <v>8884</v>
      </c>
      <c r="H2184" s="4" t="n">
        <v>40.33508</v>
      </c>
      <c r="I2184" s="4" t="n">
        <v>-74.59125</v>
      </c>
      <c r="J2184" s="4" t="s">
        <v>8885</v>
      </c>
      <c r="K2184" s="6" t="str">
        <f aca="false">HYPERLINK("https://www.google.com/search?q=Plainsboro+Free+Public+Library+Plainsboro+NJ+library+website","Search")</f>
        <v>Search</v>
      </c>
      <c r="L2184" s="7"/>
      <c r="M2184" s="7"/>
    </row>
    <row r="2185" customFormat="false" ht="15" hidden="false" customHeight="true" outlineLevel="0" collapsed="false">
      <c r="A2185" s="4" t="s">
        <v>8419</v>
      </c>
      <c r="B2185" s="4" t="s">
        <v>8886</v>
      </c>
      <c r="C2185" s="4" t="s">
        <v>8887</v>
      </c>
      <c r="D2185" s="4" t="s">
        <v>8421</v>
      </c>
      <c r="E2185" s="5" t="n">
        <v>11127</v>
      </c>
      <c r="F2185" s="4" t="n">
        <v>1</v>
      </c>
      <c r="G2185" s="4" t="s">
        <v>8888</v>
      </c>
      <c r="H2185" s="4" t="n">
        <v>41.00185</v>
      </c>
      <c r="I2185" s="4" t="n">
        <v>-74.29062</v>
      </c>
      <c r="J2185" s="4" t="s">
        <v>8889</v>
      </c>
      <c r="K2185" s="6" t="str">
        <f aca="false">HYPERLINK("https://www.google.com/search?q=Pompton+Lakes+Borough+Free+Public+Library+Pompton+Lakes+NJ+library+website","Search")</f>
        <v>Search</v>
      </c>
      <c r="L2185" s="7"/>
      <c r="M2185" s="7"/>
    </row>
    <row r="2186" customFormat="false" ht="15" hidden="false" customHeight="true" outlineLevel="0" collapsed="false">
      <c r="A2186" s="4" t="s">
        <v>8419</v>
      </c>
      <c r="B2186" s="4" t="s">
        <v>4582</v>
      </c>
      <c r="C2186" s="4" t="s">
        <v>4583</v>
      </c>
      <c r="D2186" s="4" t="s">
        <v>5095</v>
      </c>
      <c r="E2186" s="5" t="n">
        <v>30681</v>
      </c>
      <c r="F2186" s="4" t="n">
        <v>1</v>
      </c>
      <c r="G2186" s="4" t="s">
        <v>8890</v>
      </c>
      <c r="H2186" s="4" t="n">
        <v>40.35163</v>
      </c>
      <c r="I2186" s="4" t="n">
        <v>-74.66055</v>
      </c>
      <c r="J2186" s="4" t="s">
        <v>8891</v>
      </c>
      <c r="K2186" s="6" t="str">
        <f aca="false">HYPERLINK("https://www.google.com/search?q=Princeton+Public+Library+Princeton+NJ+library+website","Search")</f>
        <v>Search</v>
      </c>
      <c r="L2186" s="7"/>
      <c r="M2186" s="7"/>
    </row>
    <row r="2187" customFormat="false" ht="15" hidden="false" customHeight="true" outlineLevel="0" collapsed="false">
      <c r="A2187" s="4" t="s">
        <v>8419</v>
      </c>
      <c r="B2187" s="4" t="s">
        <v>8892</v>
      </c>
      <c r="C2187" s="4" t="s">
        <v>8893</v>
      </c>
      <c r="D2187" s="4" t="s">
        <v>467</v>
      </c>
      <c r="E2187" s="5" t="n">
        <v>29556</v>
      </c>
      <c r="F2187" s="4" t="n">
        <v>1</v>
      </c>
      <c r="G2187" s="4" t="s">
        <v>8894</v>
      </c>
      <c r="H2187" s="4" t="n">
        <v>40.60458</v>
      </c>
      <c r="I2187" s="4" t="n">
        <v>-74.27352</v>
      </c>
      <c r="J2187" s="4" t="s">
        <v>8895</v>
      </c>
      <c r="K2187" s="6" t="str">
        <f aca="false">HYPERLINK("https://www.google.com/search?q=Rahway+Public+Library+Rahway+NJ+library+website","Search")</f>
        <v>Search</v>
      </c>
      <c r="L2187" s="7"/>
      <c r="M2187" s="7"/>
    </row>
    <row r="2188" customFormat="false" ht="15" hidden="false" customHeight="true" outlineLevel="0" collapsed="false">
      <c r="A2188" s="4" t="s">
        <v>8419</v>
      </c>
      <c r="B2188" s="4" t="s">
        <v>8896</v>
      </c>
      <c r="C2188" s="4" t="s">
        <v>7274</v>
      </c>
      <c r="D2188" s="4" t="s">
        <v>8445</v>
      </c>
      <c r="E2188" s="5" t="n">
        <v>14798</v>
      </c>
      <c r="F2188" s="4" t="n">
        <v>1</v>
      </c>
      <c r="G2188" s="4" t="s">
        <v>8897</v>
      </c>
      <c r="H2188" s="4" t="n">
        <v>41.05638</v>
      </c>
      <c r="I2188" s="4" t="n">
        <v>-74.147</v>
      </c>
      <c r="J2188" s="4" t="s">
        <v>8898</v>
      </c>
      <c r="K2188" s="6" t="str">
        <f aca="false">HYPERLINK("https://www.google.com/search?q=Ramsey+Free+Public+Library+Ramsey+NJ+library+website","Search")</f>
        <v>Search</v>
      </c>
      <c r="L2188" s="7"/>
      <c r="M2188" s="7"/>
    </row>
    <row r="2189" customFormat="false" ht="15" hidden="false" customHeight="true" outlineLevel="0" collapsed="false">
      <c r="A2189" s="4" t="s">
        <v>8419</v>
      </c>
      <c r="B2189" s="4" t="s">
        <v>8899</v>
      </c>
      <c r="C2189" s="4" t="s">
        <v>6061</v>
      </c>
      <c r="D2189" s="4" t="s">
        <v>3861</v>
      </c>
      <c r="E2189" s="5" t="n">
        <v>26504</v>
      </c>
      <c r="F2189" s="4" t="n">
        <v>1</v>
      </c>
      <c r="G2189" s="4" t="s">
        <v>8900</v>
      </c>
      <c r="H2189" s="4" t="n">
        <v>40.8277</v>
      </c>
      <c r="I2189" s="4" t="n">
        <v>-74.59187</v>
      </c>
      <c r="J2189" s="4" t="s">
        <v>8901</v>
      </c>
      <c r="K2189" s="6" t="str">
        <f aca="false">HYPERLINK("https://www.google.com/search?q=Randolph+Township+Free+Public+Library+Randolph+NJ+library+website","Search")</f>
        <v>Search</v>
      </c>
      <c r="L2189" s="7"/>
      <c r="M2189" s="7"/>
    </row>
    <row r="2190" customFormat="false" ht="15" hidden="false" customHeight="true" outlineLevel="0" collapsed="false">
      <c r="A2190" s="4" t="s">
        <v>8419</v>
      </c>
      <c r="B2190" s="4" t="s">
        <v>8902</v>
      </c>
      <c r="C2190" s="4" t="s">
        <v>8903</v>
      </c>
      <c r="D2190" s="4" t="s">
        <v>4155</v>
      </c>
      <c r="E2190" s="5" t="n">
        <v>12936</v>
      </c>
      <c r="F2190" s="4" t="n">
        <v>1</v>
      </c>
      <c r="G2190" s="4" t="s">
        <v>8904</v>
      </c>
      <c r="H2190" s="4" t="n">
        <v>40.35123</v>
      </c>
      <c r="I2190" s="4" t="n">
        <v>-74.06897</v>
      </c>
      <c r="J2190" s="4" t="s">
        <v>8905</v>
      </c>
      <c r="K2190" s="6" t="str">
        <f aca="false">HYPERLINK("https://www.google.com/search?q=Red+Bank+Public+Library+Red+Bank+NJ+library+website","Search")</f>
        <v>Search</v>
      </c>
      <c r="L2190" s="7"/>
      <c r="M2190" s="7"/>
    </row>
    <row r="2191" customFormat="false" ht="15" hidden="false" customHeight="true" outlineLevel="0" collapsed="false">
      <c r="A2191" s="4" t="s">
        <v>8419</v>
      </c>
      <c r="B2191" s="4" t="s">
        <v>8906</v>
      </c>
      <c r="C2191" s="4" t="s">
        <v>2076</v>
      </c>
      <c r="D2191" s="4" t="s">
        <v>8445</v>
      </c>
      <c r="E2191" s="5" t="n">
        <v>11501</v>
      </c>
      <c r="F2191" s="4" t="n">
        <v>1</v>
      </c>
      <c r="G2191" s="4" t="s">
        <v>8907</v>
      </c>
      <c r="H2191" s="4" t="n">
        <v>40.83197</v>
      </c>
      <c r="I2191" s="4" t="n">
        <v>-74.00489</v>
      </c>
      <c r="J2191" s="4" t="s">
        <v>8908</v>
      </c>
      <c r="K2191" s="6" t="str">
        <f aca="false">HYPERLINK("https://www.google.com/search?q=Ridgefield+Free+Public+Library+Ridgefield+NJ+library+website","Search")</f>
        <v>Search</v>
      </c>
      <c r="L2191" s="7"/>
      <c r="M2191" s="7"/>
    </row>
    <row r="2192" customFormat="false" ht="15" hidden="false" customHeight="true" outlineLevel="0" collapsed="false">
      <c r="A2192" s="4" t="s">
        <v>8419</v>
      </c>
      <c r="B2192" s="4" t="s">
        <v>8909</v>
      </c>
      <c r="C2192" s="4" t="s">
        <v>8910</v>
      </c>
      <c r="D2192" s="4" t="s">
        <v>8445</v>
      </c>
      <c r="E2192" s="5" t="n">
        <v>13224</v>
      </c>
      <c r="F2192" s="4" t="n">
        <v>1</v>
      </c>
      <c r="G2192" s="4" t="s">
        <v>8911</v>
      </c>
      <c r="H2192" s="4" t="n">
        <v>40.85455</v>
      </c>
      <c r="I2192" s="4" t="n">
        <v>-74.02212</v>
      </c>
      <c r="J2192" s="4" t="s">
        <v>8912</v>
      </c>
      <c r="K2192" s="6" t="str">
        <f aca="false">HYPERLINK("https://www.google.com/search?q=Ridgefield+Park+Public+Library+Ridgefield+Park+NJ+library+website","Search")</f>
        <v>Search</v>
      </c>
      <c r="L2192" s="7"/>
      <c r="M2192" s="7"/>
    </row>
    <row r="2193" customFormat="false" ht="15" hidden="false" customHeight="true" outlineLevel="0" collapsed="false">
      <c r="A2193" s="4" t="s">
        <v>8419</v>
      </c>
      <c r="B2193" s="4" t="s">
        <v>8913</v>
      </c>
      <c r="C2193" s="4" t="s">
        <v>8914</v>
      </c>
      <c r="D2193" s="4" t="s">
        <v>8445</v>
      </c>
      <c r="E2193" s="5" t="n">
        <v>25979</v>
      </c>
      <c r="F2193" s="4" t="n">
        <v>1</v>
      </c>
      <c r="G2193" s="4" t="s">
        <v>8915</v>
      </c>
      <c r="H2193" s="4" t="n">
        <v>40.98152</v>
      </c>
      <c r="I2193" s="4" t="n">
        <v>-74.11258</v>
      </c>
      <c r="J2193" s="4" t="s">
        <v>8916</v>
      </c>
      <c r="K2193" s="6" t="str">
        <f aca="false">HYPERLINK("https://www.google.com/search?q=Ridgewood+Public+Library+Ridgewood+NJ+library+website","Search")</f>
        <v>Search</v>
      </c>
      <c r="L2193" s="7"/>
      <c r="M2193" s="7"/>
    </row>
    <row r="2194" customFormat="false" ht="15" hidden="false" customHeight="true" outlineLevel="0" collapsed="false">
      <c r="A2194" s="4" t="s">
        <v>8419</v>
      </c>
      <c r="B2194" s="4" t="s">
        <v>8917</v>
      </c>
      <c r="C2194" s="4" t="s">
        <v>8918</v>
      </c>
      <c r="D2194" s="4" t="s">
        <v>8421</v>
      </c>
      <c r="E2194" s="5" t="n">
        <v>11735</v>
      </c>
      <c r="F2194" s="4" t="n">
        <v>1</v>
      </c>
      <c r="G2194" s="4" t="s">
        <v>8919</v>
      </c>
      <c r="H2194" s="4" t="n">
        <v>41.08832</v>
      </c>
      <c r="I2194" s="4" t="n">
        <v>-74.26625</v>
      </c>
      <c r="J2194" s="4" t="s">
        <v>8920</v>
      </c>
      <c r="K2194" s="6" t="str">
        <f aca="false">HYPERLINK("https://www.google.com/search?q=Ringwood+Public+Library+Ringwood+NJ+library+website","Search")</f>
        <v>Search</v>
      </c>
      <c r="L2194" s="7"/>
      <c r="M2194" s="7"/>
    </row>
    <row r="2195" customFormat="false" ht="15" hidden="false" customHeight="true" outlineLevel="0" collapsed="false">
      <c r="A2195" s="4" t="s">
        <v>8419</v>
      </c>
      <c r="B2195" s="4" t="s">
        <v>8921</v>
      </c>
      <c r="C2195" s="4" t="s">
        <v>8922</v>
      </c>
      <c r="D2195" s="4" t="s">
        <v>8445</v>
      </c>
      <c r="E2195" s="5" t="n">
        <v>12049</v>
      </c>
      <c r="F2195" s="4" t="n">
        <v>1</v>
      </c>
      <c r="G2195" s="4" t="s">
        <v>8923</v>
      </c>
      <c r="H2195" s="4" t="n">
        <v>40.93298</v>
      </c>
      <c r="I2195" s="4" t="n">
        <v>-74.03807</v>
      </c>
      <c r="J2195" s="4" t="s">
        <v>8924</v>
      </c>
      <c r="K2195" s="6" t="str">
        <f aca="false">HYPERLINK("https://www.google.com/search?q=River+Edge+Free+Public+Library+River+Edge+NJ+library+website","Search")</f>
        <v>Search</v>
      </c>
      <c r="L2195" s="7"/>
      <c r="M2195" s="7"/>
    </row>
    <row r="2196" customFormat="false" ht="15" hidden="false" customHeight="true" outlineLevel="0" collapsed="false">
      <c r="A2196" s="4" t="s">
        <v>8419</v>
      </c>
      <c r="B2196" s="4" t="s">
        <v>8925</v>
      </c>
      <c r="C2196" s="4" t="s">
        <v>8926</v>
      </c>
      <c r="D2196" s="4" t="s">
        <v>3861</v>
      </c>
      <c r="E2196" s="5" t="n">
        <v>25341</v>
      </c>
      <c r="F2196" s="4" t="n">
        <v>2</v>
      </c>
      <c r="G2196" s="4" t="s">
        <v>8927</v>
      </c>
      <c r="H2196" s="4" t="n">
        <v>40.91013</v>
      </c>
      <c r="I2196" s="4" t="n">
        <v>-74.5251</v>
      </c>
      <c r="J2196" s="4" t="s">
        <v>8928</v>
      </c>
      <c r="K2196" s="6" t="str">
        <f aca="false">HYPERLINK("https://www.google.com/search?q=Rockaway+Township+Free+Public+Library+Rockaway+NJ+library+website","Search")</f>
        <v>Search</v>
      </c>
      <c r="L2196" s="7"/>
      <c r="M2196" s="7"/>
    </row>
    <row r="2197" customFormat="false" ht="15" hidden="false" customHeight="true" outlineLevel="0" collapsed="false">
      <c r="A2197" s="4" t="s">
        <v>8419</v>
      </c>
      <c r="B2197" s="4" t="s">
        <v>8929</v>
      </c>
      <c r="C2197" s="4" t="s">
        <v>4042</v>
      </c>
      <c r="D2197" s="4" t="s">
        <v>467</v>
      </c>
      <c r="E2197" s="5" t="n">
        <v>22695</v>
      </c>
      <c r="F2197" s="4" t="n">
        <v>1</v>
      </c>
      <c r="G2197" s="4" t="s">
        <v>8930</v>
      </c>
      <c r="H2197" s="4" t="n">
        <v>40.65632</v>
      </c>
      <c r="I2197" s="4" t="n">
        <v>-74.2632</v>
      </c>
      <c r="J2197" s="4" t="s">
        <v>8931</v>
      </c>
      <c r="K2197" s="6" t="str">
        <f aca="false">HYPERLINK("https://www.google.com/search?q=Roselle+Free+Public+Library+Roselle+NJ+library+website","Search")</f>
        <v>Search</v>
      </c>
      <c r="L2197" s="7"/>
      <c r="M2197" s="7"/>
    </row>
    <row r="2198" customFormat="false" ht="15" hidden="false" customHeight="true" outlineLevel="0" collapsed="false">
      <c r="A2198" s="4" t="s">
        <v>8419</v>
      </c>
      <c r="B2198" s="4" t="s">
        <v>8932</v>
      </c>
      <c r="C2198" s="4" t="s">
        <v>8933</v>
      </c>
      <c r="D2198" s="4" t="s">
        <v>467</v>
      </c>
      <c r="E2198" s="5" t="n">
        <v>13967</v>
      </c>
      <c r="F2198" s="4" t="n">
        <v>1</v>
      </c>
      <c r="G2198" s="4" t="s">
        <v>8934</v>
      </c>
      <c r="H2198" s="4" t="n">
        <v>40.66569</v>
      </c>
      <c r="I2198" s="4" t="n">
        <v>-74.26493</v>
      </c>
      <c r="J2198" s="4" t="s">
        <v>8935</v>
      </c>
      <c r="K2198" s="6" t="str">
        <f aca="false">HYPERLINK("https://www.google.com/search?q=Roselle+Park+Veteran%60S+Memorial+Library+Roselle+Park+NJ+library+website","Search")</f>
        <v>Search</v>
      </c>
      <c r="L2198" s="7"/>
      <c r="M2198" s="7"/>
    </row>
    <row r="2199" customFormat="false" ht="15" hidden="false" customHeight="true" outlineLevel="0" collapsed="false">
      <c r="A2199" s="4" t="s">
        <v>8419</v>
      </c>
      <c r="B2199" s="4" t="s">
        <v>8936</v>
      </c>
      <c r="C2199" s="4" t="s">
        <v>8937</v>
      </c>
      <c r="D2199" s="4" t="s">
        <v>3861</v>
      </c>
      <c r="E2199" s="5" t="n">
        <v>22950</v>
      </c>
      <c r="F2199" s="4" t="n">
        <v>1</v>
      </c>
      <c r="G2199" s="4" t="s">
        <v>8938</v>
      </c>
      <c r="H2199" s="4" t="n">
        <v>40.86871</v>
      </c>
      <c r="I2199" s="4" t="n">
        <v>-74.6389</v>
      </c>
      <c r="J2199" s="4" t="s">
        <v>8939</v>
      </c>
      <c r="K2199" s="6" t="str">
        <f aca="false">HYPERLINK("https://www.google.com/search?q=Roxbury+Public+Library+Succasunna+NJ+library+website","Search")</f>
        <v>Search</v>
      </c>
      <c r="L2199" s="7"/>
      <c r="M2199" s="7"/>
    </row>
    <row r="2200" customFormat="false" ht="15" hidden="false" customHeight="true" outlineLevel="0" collapsed="false">
      <c r="A2200" s="4" t="s">
        <v>8419</v>
      </c>
      <c r="B2200" s="4" t="s">
        <v>8940</v>
      </c>
      <c r="C2200" s="4" t="s">
        <v>3979</v>
      </c>
      <c r="D2200" s="4" t="s">
        <v>5472</v>
      </c>
      <c r="E2200" s="5" t="n">
        <v>31330</v>
      </c>
      <c r="F2200" s="4" t="n">
        <v>1</v>
      </c>
      <c r="G2200" s="4" t="s">
        <v>8941</v>
      </c>
      <c r="H2200" s="4" t="n">
        <v>40.78291</v>
      </c>
      <c r="I2200" s="4" t="n">
        <v>-74.31949</v>
      </c>
      <c r="J2200" s="4" t="s">
        <v>8942</v>
      </c>
      <c r="K2200" s="6" t="str">
        <f aca="false">HYPERLINK("https://www.google.com/search?q=Ruth+L.+Rockwood+Memorial+Library+Livingston+NJ+library+website","Search")</f>
        <v>Search</v>
      </c>
      <c r="L2200" s="7"/>
      <c r="M2200" s="7"/>
    </row>
    <row r="2201" customFormat="false" ht="15" hidden="false" customHeight="true" outlineLevel="0" collapsed="false">
      <c r="A2201" s="4" t="s">
        <v>8419</v>
      </c>
      <c r="B2201" s="4" t="s">
        <v>8943</v>
      </c>
      <c r="C2201" s="4" t="s">
        <v>8139</v>
      </c>
      <c r="D2201" s="4" t="s">
        <v>8445</v>
      </c>
      <c r="E2201" s="5" t="n">
        <v>18834</v>
      </c>
      <c r="F2201" s="4" t="n">
        <v>1</v>
      </c>
      <c r="G2201" s="4" t="s">
        <v>8944</v>
      </c>
      <c r="H2201" s="4" t="n">
        <v>40.82648</v>
      </c>
      <c r="I2201" s="4" t="n">
        <v>-74.10647</v>
      </c>
      <c r="J2201" s="4" t="s">
        <v>8945</v>
      </c>
      <c r="K2201" s="6" t="str">
        <f aca="false">HYPERLINK("https://www.google.com/search?q=Rutherford+Free+Public+Library+Rutherford+NJ+library+website","Search")</f>
        <v>Search</v>
      </c>
      <c r="L2201" s="7"/>
      <c r="M2201" s="7"/>
    </row>
    <row r="2202" customFormat="false" ht="15" hidden="false" customHeight="true" outlineLevel="0" collapsed="false">
      <c r="A2202" s="4" t="s">
        <v>8419</v>
      </c>
      <c r="B2202" s="4" t="s">
        <v>8946</v>
      </c>
      <c r="C2202" s="4" t="s">
        <v>8947</v>
      </c>
      <c r="D2202" s="4" t="s">
        <v>8445</v>
      </c>
      <c r="E2202" s="5" t="n">
        <v>14294</v>
      </c>
      <c r="F2202" s="4" t="n">
        <v>1</v>
      </c>
      <c r="G2202" s="4" t="s">
        <v>8948</v>
      </c>
      <c r="H2202" s="4" t="n">
        <v>40.90485</v>
      </c>
      <c r="I2202" s="4" t="n">
        <v>-74.08935</v>
      </c>
      <c r="J2202" s="4" t="s">
        <v>8949</v>
      </c>
      <c r="K2202" s="6" t="str">
        <f aca="false">HYPERLINK("https://www.google.com/search?q=Saddle+Brook+Free+Public+Library+Saddle+Brook+NJ+library+website","Search")</f>
        <v>Search</v>
      </c>
      <c r="L2202" s="7"/>
      <c r="M2202" s="7"/>
    </row>
    <row r="2203" customFormat="false" ht="15" hidden="false" customHeight="true" outlineLevel="0" collapsed="false">
      <c r="A2203" s="4" t="s">
        <v>8419</v>
      </c>
      <c r="B2203" s="4" t="s">
        <v>8950</v>
      </c>
      <c r="C2203" s="4" t="s">
        <v>8951</v>
      </c>
      <c r="D2203" s="4" t="s">
        <v>2903</v>
      </c>
      <c r="E2203" s="5" t="n">
        <v>10317</v>
      </c>
      <c r="F2203" s="4" t="n">
        <v>1</v>
      </c>
      <c r="G2203" s="4" t="s">
        <v>8952</v>
      </c>
      <c r="H2203" s="4" t="n">
        <v>39.9356</v>
      </c>
      <c r="I2203" s="4" t="n">
        <v>-74.75034</v>
      </c>
      <c r="J2203" s="4" t="s">
        <v>8953</v>
      </c>
      <c r="K2203" s="6" t="str">
        <f aca="false">HYPERLINK("https://www.google.com/search?q=Sally+Stretch+Keen+Memorial+Library+Vincentown+NJ+library+website","Search")</f>
        <v>Search</v>
      </c>
      <c r="L2203" s="7"/>
      <c r="M2203" s="7"/>
    </row>
    <row r="2204" customFormat="false" ht="15" hidden="false" customHeight="true" outlineLevel="0" collapsed="false">
      <c r="A2204" s="4" t="s">
        <v>8419</v>
      </c>
      <c r="B2204" s="4" t="s">
        <v>8954</v>
      </c>
      <c r="C2204" s="4" t="s">
        <v>8955</v>
      </c>
      <c r="D2204" s="4" t="s">
        <v>1792</v>
      </c>
      <c r="E2204" s="5" t="n">
        <v>45345</v>
      </c>
      <c r="F2204" s="4" t="n">
        <v>1</v>
      </c>
      <c r="G2204" s="4" t="s">
        <v>8956</v>
      </c>
      <c r="H2204" s="4" t="n">
        <v>40.46255</v>
      </c>
      <c r="I2204" s="4" t="n">
        <v>-74.32559</v>
      </c>
      <c r="J2204" s="4" t="s">
        <v>8957</v>
      </c>
      <c r="K2204" s="6" t="str">
        <f aca="false">HYPERLINK("https://www.google.com/search?q=Sayreville+Free+Public+Library+Parlin+NJ+library+website","Search")</f>
        <v>Search</v>
      </c>
      <c r="L2204" s="7"/>
      <c r="M2204" s="7"/>
    </row>
    <row r="2205" customFormat="false" ht="15" hidden="false" customHeight="true" outlineLevel="0" collapsed="false">
      <c r="A2205" s="4" t="s">
        <v>8419</v>
      </c>
      <c r="B2205" s="4" t="s">
        <v>8958</v>
      </c>
      <c r="C2205" s="4" t="s">
        <v>8959</v>
      </c>
      <c r="D2205" s="4" t="s">
        <v>467</v>
      </c>
      <c r="E2205" s="5" t="n">
        <v>24968</v>
      </c>
      <c r="F2205" s="4" t="n">
        <v>1</v>
      </c>
      <c r="G2205" s="4" t="s">
        <v>8960</v>
      </c>
      <c r="H2205" s="4" t="n">
        <v>40.65136</v>
      </c>
      <c r="I2205" s="4" t="n">
        <v>-74.39725</v>
      </c>
      <c r="J2205" s="4" t="s">
        <v>8961</v>
      </c>
      <c r="K2205" s="6" t="str">
        <f aca="false">HYPERLINK("https://www.google.com/search?q=Scotch+Plains+Public+Library+Scotch+Plains+NJ+library+website","Search")</f>
        <v>Search</v>
      </c>
      <c r="L2205" s="7"/>
      <c r="M2205" s="7"/>
    </row>
    <row r="2206" customFormat="false" ht="15" hidden="false" customHeight="true" outlineLevel="0" collapsed="false">
      <c r="A2206" s="4" t="s">
        <v>8419</v>
      </c>
      <c r="B2206" s="4" t="s">
        <v>8962</v>
      </c>
      <c r="C2206" s="4" t="s">
        <v>8963</v>
      </c>
      <c r="D2206" s="4" t="s">
        <v>2513</v>
      </c>
      <c r="E2206" s="5" t="n">
        <v>22181</v>
      </c>
      <c r="F2206" s="4" t="n">
        <v>2</v>
      </c>
      <c r="G2206" s="4" t="s">
        <v>8964</v>
      </c>
      <c r="H2206" s="4" t="n">
        <v>40.79337</v>
      </c>
      <c r="I2206" s="4" t="n">
        <v>-74.05834</v>
      </c>
      <c r="J2206" s="4" t="s">
        <v>8965</v>
      </c>
      <c r="K2206" s="6" t="str">
        <f aca="false">HYPERLINK("https://www.google.com/search?q=Secaucus+Free+Public+Library+Secaucus+NJ+library+website","Search")</f>
        <v>Search</v>
      </c>
      <c r="L2206" s="7"/>
      <c r="M2206" s="7"/>
    </row>
    <row r="2207" customFormat="false" ht="15" hidden="false" customHeight="true" outlineLevel="0" collapsed="false">
      <c r="A2207" s="4" t="s">
        <v>8419</v>
      </c>
      <c r="B2207" s="4" t="s">
        <v>6238</v>
      </c>
      <c r="C2207" s="4" t="s">
        <v>5566</v>
      </c>
      <c r="D2207" s="4" t="s">
        <v>5152</v>
      </c>
      <c r="E2207" s="5" t="n">
        <v>224243</v>
      </c>
      <c r="F2207" s="4" t="n">
        <v>11</v>
      </c>
      <c r="G2207" s="4" t="s">
        <v>8966</v>
      </c>
      <c r="H2207" s="4" t="n">
        <v>40.58898</v>
      </c>
      <c r="I2207" s="4" t="n">
        <v>-74.60766</v>
      </c>
      <c r="J2207" s="4" t="s">
        <v>8967</v>
      </c>
      <c r="K2207" s="6" t="str">
        <f aca="false">HYPERLINK("https://www.google.com/search?q=Somerset+County+Library+Bridgewater+NJ+library+website","Search")</f>
        <v>Search</v>
      </c>
      <c r="L2207" s="7"/>
      <c r="M2207" s="7"/>
    </row>
    <row r="2208" customFormat="false" ht="15" hidden="false" customHeight="true" outlineLevel="0" collapsed="false">
      <c r="A2208" s="4" t="s">
        <v>8419</v>
      </c>
      <c r="B2208" s="4" t="s">
        <v>8968</v>
      </c>
      <c r="C2208" s="4" t="s">
        <v>8969</v>
      </c>
      <c r="D2208" s="4" t="s">
        <v>1792</v>
      </c>
      <c r="E2208" s="5" t="n">
        <v>47043</v>
      </c>
      <c r="F2208" s="4" t="n">
        <v>1</v>
      </c>
      <c r="G2208" s="4" t="s">
        <v>8970</v>
      </c>
      <c r="H2208" s="4" t="n">
        <v>40.38265</v>
      </c>
      <c r="I2208" s="4" t="n">
        <v>-74.53125</v>
      </c>
      <c r="J2208" s="4" t="s">
        <v>8971</v>
      </c>
      <c r="K2208" s="6" t="str">
        <f aca="false">HYPERLINK("https://www.google.com/search?q=South+Brunswick+Public+Library+Monmouth+Junction+NJ+library+website","Search")</f>
        <v>Search</v>
      </c>
      <c r="L2208" s="7"/>
      <c r="M2208" s="7"/>
    </row>
    <row r="2209" customFormat="false" ht="15" hidden="false" customHeight="true" outlineLevel="0" collapsed="false">
      <c r="A2209" s="4" t="s">
        <v>8419</v>
      </c>
      <c r="B2209" s="4" t="s">
        <v>8972</v>
      </c>
      <c r="C2209" s="4" t="s">
        <v>8973</v>
      </c>
      <c r="D2209" s="4" t="s">
        <v>5472</v>
      </c>
      <c r="E2209" s="5" t="n">
        <v>18484</v>
      </c>
      <c r="F2209" s="4" t="n">
        <v>1</v>
      </c>
      <c r="G2209" s="4" t="s">
        <v>8974</v>
      </c>
      <c r="H2209" s="4" t="n">
        <v>40.74688</v>
      </c>
      <c r="I2209" s="4" t="n">
        <v>-74.25705</v>
      </c>
      <c r="J2209" s="4" t="s">
        <v>8975</v>
      </c>
      <c r="K2209" s="6" t="str">
        <f aca="false">HYPERLINK("https://www.google.com/search?q=South+Orange+Public+Library+South+Orange+NJ+library+website","Search")</f>
        <v>Search</v>
      </c>
      <c r="L2209" s="7"/>
      <c r="M2209" s="7"/>
    </row>
    <row r="2210" customFormat="false" ht="15" hidden="false" customHeight="true" outlineLevel="0" collapsed="false">
      <c r="A2210" s="4" t="s">
        <v>8419</v>
      </c>
      <c r="B2210" s="4" t="s">
        <v>8976</v>
      </c>
      <c r="C2210" s="4" t="s">
        <v>8977</v>
      </c>
      <c r="D2210" s="4" t="s">
        <v>1792</v>
      </c>
      <c r="E2210" s="5" t="n">
        <v>24338</v>
      </c>
      <c r="F2210" s="4" t="n">
        <v>1</v>
      </c>
      <c r="G2210" s="4" t="s">
        <v>8978</v>
      </c>
      <c r="H2210" s="4" t="n">
        <v>40.58429</v>
      </c>
      <c r="I2210" s="4" t="n">
        <v>-74.41592</v>
      </c>
      <c r="J2210" s="4" t="s">
        <v>8979</v>
      </c>
      <c r="K2210" s="6" t="str">
        <f aca="false">HYPERLINK("https://www.google.com/search?q=South+Plainfield+Free+Public+Library+South+Plainfield+NJ+library+website","Search")</f>
        <v>Search</v>
      </c>
      <c r="L2210" s="7"/>
      <c r="M2210" s="7"/>
    </row>
    <row r="2211" customFormat="false" ht="15" hidden="false" customHeight="true" outlineLevel="0" collapsed="false">
      <c r="A2211" s="4" t="s">
        <v>8419</v>
      </c>
      <c r="B2211" s="4" t="s">
        <v>8980</v>
      </c>
      <c r="C2211" s="4" t="s">
        <v>8981</v>
      </c>
      <c r="D2211" s="4" t="s">
        <v>1792</v>
      </c>
      <c r="E2211" s="5" t="n">
        <v>16118</v>
      </c>
      <c r="F2211" s="4" t="n">
        <v>1</v>
      </c>
      <c r="G2211" s="4" t="s">
        <v>8982</v>
      </c>
      <c r="H2211" s="4" t="n">
        <v>40.43482</v>
      </c>
      <c r="I2211" s="4" t="n">
        <v>-74.37765</v>
      </c>
      <c r="J2211" s="4" t="s">
        <v>8983</v>
      </c>
      <c r="K2211" s="6" t="str">
        <f aca="false">HYPERLINK("https://www.google.com/search?q=South+River+Public+Library+South+River+NJ+library+website","Search")</f>
        <v>Search</v>
      </c>
      <c r="L2211" s="7"/>
      <c r="M2211" s="7"/>
    </row>
    <row r="2212" customFormat="false" ht="15" hidden="false" customHeight="true" outlineLevel="0" collapsed="false">
      <c r="A2212" s="4" t="s">
        <v>8419</v>
      </c>
      <c r="B2212" s="4" t="s">
        <v>8984</v>
      </c>
      <c r="C2212" s="4" t="s">
        <v>8985</v>
      </c>
      <c r="D2212" s="4" t="s">
        <v>2235</v>
      </c>
      <c r="E2212" s="5" t="n">
        <v>19600</v>
      </c>
      <c r="F2212" s="4" t="n">
        <v>1</v>
      </c>
      <c r="G2212" s="4" t="s">
        <v>8986</v>
      </c>
      <c r="H2212" s="4" t="n">
        <v>41.03468</v>
      </c>
      <c r="I2212" s="4" t="n">
        <v>-74.6377</v>
      </c>
      <c r="J2212" s="4" t="s">
        <v>8987</v>
      </c>
      <c r="K2212" s="6" t="str">
        <f aca="false">HYPERLINK("https://www.google.com/search?q=Sparta+Public+Library+Sparta+NJ+library+website","Search")</f>
        <v>Search</v>
      </c>
      <c r="L2212" s="7"/>
      <c r="M2212" s="7"/>
    </row>
    <row r="2213" customFormat="false" ht="15" hidden="false" customHeight="true" outlineLevel="0" collapsed="false">
      <c r="A2213" s="4" t="s">
        <v>8419</v>
      </c>
      <c r="B2213" s="4" t="s">
        <v>8988</v>
      </c>
      <c r="C2213" s="4" t="s">
        <v>3770</v>
      </c>
      <c r="D2213" s="4" t="s">
        <v>467</v>
      </c>
      <c r="E2213" s="5" t="n">
        <v>17178</v>
      </c>
      <c r="F2213" s="4" t="n">
        <v>1</v>
      </c>
      <c r="G2213" s="4" t="s">
        <v>8989</v>
      </c>
      <c r="H2213" s="4" t="n">
        <v>40.7091</v>
      </c>
      <c r="I2213" s="4" t="n">
        <v>-74.31303</v>
      </c>
      <c r="J2213" s="4" t="s">
        <v>8990</v>
      </c>
      <c r="K2213" s="6" t="str">
        <f aca="false">HYPERLINK("https://www.google.com/search?q=Springfield+Free+Public+Library+Springfield+NJ+library+website","Search")</f>
        <v>Search</v>
      </c>
      <c r="L2213" s="7"/>
      <c r="M2213" s="7"/>
    </row>
    <row r="2214" customFormat="false" ht="15" hidden="false" customHeight="true" outlineLevel="0" collapsed="false">
      <c r="A2214" s="4" t="s">
        <v>8419</v>
      </c>
      <c r="B2214" s="4" t="s">
        <v>8991</v>
      </c>
      <c r="C2214" s="4" t="s">
        <v>1768</v>
      </c>
      <c r="D2214" s="4" t="s">
        <v>467</v>
      </c>
      <c r="E2214" s="5" t="n">
        <v>22719</v>
      </c>
      <c r="F2214" s="4" t="n">
        <v>1</v>
      </c>
      <c r="G2214" s="4" t="s">
        <v>8992</v>
      </c>
      <c r="H2214" s="4" t="n">
        <v>40.71502</v>
      </c>
      <c r="I2214" s="4" t="n">
        <v>-74.35987</v>
      </c>
      <c r="J2214" s="4" t="s">
        <v>8993</v>
      </c>
      <c r="K2214" s="6" t="str">
        <f aca="false">HYPERLINK("https://www.google.com/search?q=Summit+Free+Public+Library+Summit+NJ+library+website","Search")</f>
        <v>Search</v>
      </c>
      <c r="L2214" s="7"/>
      <c r="M2214" s="7"/>
    </row>
    <row r="2215" customFormat="false" ht="15" hidden="false" customHeight="true" outlineLevel="0" collapsed="false">
      <c r="A2215" s="4" t="s">
        <v>8419</v>
      </c>
      <c r="B2215" s="4" t="s">
        <v>8994</v>
      </c>
      <c r="C2215" s="4" t="s">
        <v>2762</v>
      </c>
      <c r="D2215" s="4" t="s">
        <v>2235</v>
      </c>
      <c r="E2215" s="5" t="n">
        <v>124621</v>
      </c>
      <c r="F2215" s="4" t="n">
        <v>6</v>
      </c>
      <c r="G2215" s="4" t="s">
        <v>8995</v>
      </c>
      <c r="H2215" s="4" t="n">
        <v>41.12316</v>
      </c>
      <c r="I2215" s="4" t="n">
        <v>-74.75557</v>
      </c>
      <c r="J2215" s="4" t="s">
        <v>8996</v>
      </c>
      <c r="K2215" s="6" t="str">
        <f aca="false">HYPERLINK("https://www.google.com/search?q=Sussex+County+Library+Newton+NJ+library+website","Search")</f>
        <v>Search</v>
      </c>
      <c r="L2215" s="7"/>
      <c r="M2215" s="7"/>
    </row>
    <row r="2216" customFormat="false" ht="15" hidden="false" customHeight="true" outlineLevel="0" collapsed="false">
      <c r="A2216" s="4" t="s">
        <v>8419</v>
      </c>
      <c r="B2216" s="4" t="s">
        <v>8997</v>
      </c>
      <c r="C2216" s="4" t="s">
        <v>8998</v>
      </c>
      <c r="D2216" s="4" t="s">
        <v>8445</v>
      </c>
      <c r="E2216" s="5" t="n">
        <v>41246</v>
      </c>
      <c r="F2216" s="4" t="n">
        <v>1</v>
      </c>
      <c r="G2216" s="4" t="s">
        <v>8999</v>
      </c>
      <c r="H2216" s="4" t="n">
        <v>40.88554</v>
      </c>
      <c r="I2216" s="4" t="n">
        <v>-74.00624</v>
      </c>
      <c r="J2216" s="4" t="s">
        <v>9000</v>
      </c>
      <c r="K2216" s="6" t="str">
        <f aca="false">HYPERLINK("https://www.google.com/search?q=Teaneck+Public+Library+Teaneck+NJ+library+website","Search")</f>
        <v>Search</v>
      </c>
      <c r="L2216" s="7"/>
      <c r="M2216" s="7"/>
    </row>
    <row r="2217" customFormat="false" ht="15" hidden="false" customHeight="true" outlineLevel="0" collapsed="false">
      <c r="A2217" s="4" t="s">
        <v>8419</v>
      </c>
      <c r="B2217" s="4" t="s">
        <v>9001</v>
      </c>
      <c r="C2217" s="4" t="s">
        <v>9002</v>
      </c>
      <c r="D2217" s="4" t="s">
        <v>8445</v>
      </c>
      <c r="E2217" s="5" t="n">
        <v>15409</v>
      </c>
      <c r="F2217" s="4" t="n">
        <v>1</v>
      </c>
      <c r="G2217" s="4" t="s">
        <v>9003</v>
      </c>
      <c r="H2217" s="4" t="n">
        <v>40.92766</v>
      </c>
      <c r="I2217" s="4" t="n">
        <v>-73.96875</v>
      </c>
      <c r="J2217" s="4" t="s">
        <v>9004</v>
      </c>
      <c r="K2217" s="6" t="str">
        <f aca="false">HYPERLINK("https://www.google.com/search?q=Tenafly+Free+Public+Library+Tenafly+NJ+library+website","Search")</f>
        <v>Search</v>
      </c>
      <c r="L2217" s="7"/>
      <c r="M2217" s="7"/>
    </row>
    <row r="2218" customFormat="false" ht="15" hidden="false" customHeight="true" outlineLevel="0" collapsed="false">
      <c r="A2218" s="4" t="s">
        <v>8419</v>
      </c>
      <c r="B2218" s="4" t="s">
        <v>9005</v>
      </c>
      <c r="C2218" s="4" t="s">
        <v>885</v>
      </c>
      <c r="D2218" s="4" t="s">
        <v>5472</v>
      </c>
      <c r="E2218" s="5" t="n">
        <v>34447</v>
      </c>
      <c r="F2218" s="4" t="n">
        <v>1</v>
      </c>
      <c r="G2218" s="4" t="s">
        <v>9006</v>
      </c>
      <c r="H2218" s="4" t="n">
        <v>40.77284</v>
      </c>
      <c r="I2218" s="4" t="n">
        <v>-74.2315</v>
      </c>
      <c r="J2218" s="4" t="s">
        <v>9007</v>
      </c>
      <c r="K2218" s="6" t="str">
        <f aca="false">HYPERLINK("https://www.google.com/search?q=The+Orange+Public+Library+Orange+NJ+library+website","Search")</f>
        <v>Search</v>
      </c>
      <c r="L2218" s="7"/>
      <c r="M2218" s="7"/>
    </row>
    <row r="2219" customFormat="false" ht="15" hidden="false" customHeight="true" outlineLevel="0" collapsed="false">
      <c r="A2219" s="4" t="s">
        <v>8419</v>
      </c>
      <c r="B2219" s="4" t="s">
        <v>9008</v>
      </c>
      <c r="C2219" s="4" t="s">
        <v>9009</v>
      </c>
      <c r="D2219" s="4" t="s">
        <v>4155</v>
      </c>
      <c r="E2219" s="5" t="n">
        <v>19181</v>
      </c>
      <c r="F2219" s="4" t="n">
        <v>1</v>
      </c>
      <c r="G2219" s="4" t="s">
        <v>9010</v>
      </c>
      <c r="H2219" s="4" t="n">
        <v>40.30259</v>
      </c>
      <c r="I2219" s="4" t="n">
        <v>-74.09813</v>
      </c>
      <c r="J2219" s="4" t="s">
        <v>9011</v>
      </c>
      <c r="K2219" s="6" t="str">
        <f aca="false">HYPERLINK("https://www.google.com/search?q=Tinton+Falls+Public+Library+Tinton+Falls+NJ+library+website","Search")</f>
        <v>Search</v>
      </c>
      <c r="L2219" s="7"/>
      <c r="M2219" s="7"/>
    </row>
    <row r="2220" customFormat="false" ht="15" hidden="false" customHeight="true" outlineLevel="0" collapsed="false">
      <c r="A2220" s="4" t="s">
        <v>8419</v>
      </c>
      <c r="B2220" s="4" t="s">
        <v>9012</v>
      </c>
      <c r="C2220" s="4" t="s">
        <v>7071</v>
      </c>
      <c r="D2220" s="4" t="s">
        <v>5095</v>
      </c>
      <c r="E2220" s="5" t="n">
        <v>90871</v>
      </c>
      <c r="F2220" s="4" t="n">
        <v>1</v>
      </c>
      <c r="G2220" s="4" t="s">
        <v>9013</v>
      </c>
      <c r="H2220" s="4" t="n">
        <v>40.22197</v>
      </c>
      <c r="I2220" s="4" t="n">
        <v>-74.76389</v>
      </c>
      <c r="J2220" s="4" t="s">
        <v>9014</v>
      </c>
      <c r="K2220" s="6" t="str">
        <f aca="false">HYPERLINK("https://www.google.com/search?q=Trenton+Free+Public+Library+Trenton+NJ+library+website","Search")</f>
        <v>Search</v>
      </c>
      <c r="L2220" s="7"/>
      <c r="M2220" s="7"/>
    </row>
    <row r="2221" customFormat="false" ht="15" hidden="false" customHeight="true" outlineLevel="0" collapsed="false">
      <c r="A2221" s="4" t="s">
        <v>8419</v>
      </c>
      <c r="B2221" s="4" t="s">
        <v>9015</v>
      </c>
      <c r="C2221" s="4" t="s">
        <v>9016</v>
      </c>
      <c r="D2221" s="4" t="s">
        <v>2513</v>
      </c>
      <c r="E2221" s="5" t="n">
        <v>68589</v>
      </c>
      <c r="F2221" s="4" t="n">
        <v>2</v>
      </c>
      <c r="G2221" s="4" t="s">
        <v>9017</v>
      </c>
      <c r="H2221" s="4" t="n">
        <v>40.77721</v>
      </c>
      <c r="I2221" s="4" t="n">
        <v>-74.02253</v>
      </c>
      <c r="J2221" s="4" t="s">
        <v>9018</v>
      </c>
      <c r="K2221" s="6" t="str">
        <f aca="false">HYPERLINK("https://www.google.com/search?q=Union+City+Public+Library+Union+City+NJ+library+website","Search")</f>
        <v>Search</v>
      </c>
      <c r="L2221" s="7"/>
      <c r="M2221" s="7"/>
    </row>
    <row r="2222" customFormat="false" ht="15" hidden="false" customHeight="true" outlineLevel="0" collapsed="false">
      <c r="A2222" s="4" t="s">
        <v>8419</v>
      </c>
      <c r="B2222" s="4" t="s">
        <v>9019</v>
      </c>
      <c r="C2222" s="4" t="s">
        <v>467</v>
      </c>
      <c r="D2222" s="4" t="s">
        <v>467</v>
      </c>
      <c r="E2222" s="5" t="n">
        <v>59728</v>
      </c>
      <c r="F2222" s="4" t="n">
        <v>2</v>
      </c>
      <c r="G2222" s="4" t="s">
        <v>9020</v>
      </c>
      <c r="H2222" s="4" t="n">
        <v>40.69617</v>
      </c>
      <c r="I2222" s="4" t="n">
        <v>-74.26905</v>
      </c>
      <c r="J2222" s="4" t="s">
        <v>9021</v>
      </c>
      <c r="K2222" s="6" t="str">
        <f aca="false">HYPERLINK("https://www.google.com/search?q=Union+Free+Public+Library+Union+NJ+library+website","Search")</f>
        <v>Search</v>
      </c>
      <c r="L2222" s="7"/>
      <c r="M2222" s="7"/>
    </row>
    <row r="2223" customFormat="false" ht="15" hidden="false" customHeight="true" outlineLevel="0" collapsed="false">
      <c r="A2223" s="4" t="s">
        <v>8419</v>
      </c>
      <c r="B2223" s="4" t="s">
        <v>9022</v>
      </c>
      <c r="C2223" s="4" t="s">
        <v>9023</v>
      </c>
      <c r="D2223" s="4" t="s">
        <v>5472</v>
      </c>
      <c r="E2223" s="5" t="n">
        <v>14572</v>
      </c>
      <c r="F2223" s="4" t="n">
        <v>1</v>
      </c>
      <c r="G2223" s="4" t="s">
        <v>9024</v>
      </c>
      <c r="H2223" s="4" t="n">
        <v>40.83307</v>
      </c>
      <c r="I2223" s="4" t="n">
        <v>-74.24651</v>
      </c>
      <c r="J2223" s="4" t="s">
        <v>9025</v>
      </c>
      <c r="K2223" s="6" t="str">
        <f aca="false">HYPERLINK("https://www.google.com/search?q=Verona+Free+Public+Library+Verona+NJ+library+website","Search")</f>
        <v>Search</v>
      </c>
      <c r="L2223" s="7"/>
      <c r="M2223" s="7"/>
    </row>
    <row r="2224" customFormat="false" ht="15" hidden="false" customHeight="true" outlineLevel="0" collapsed="false">
      <c r="A2224" s="4" t="s">
        <v>8419</v>
      </c>
      <c r="B2224" s="4" t="s">
        <v>9026</v>
      </c>
      <c r="C2224" s="4" t="s">
        <v>9027</v>
      </c>
      <c r="D2224" s="4" t="s">
        <v>6161</v>
      </c>
      <c r="E2224" s="5" t="n">
        <v>60780</v>
      </c>
      <c r="F2224" s="4" t="n">
        <v>1</v>
      </c>
      <c r="G2224" s="4" t="s">
        <v>9028</v>
      </c>
      <c r="H2224" s="4" t="n">
        <v>39.48541</v>
      </c>
      <c r="I2224" s="4" t="n">
        <v>-75.00932</v>
      </c>
      <c r="J2224" s="4" t="s">
        <v>9029</v>
      </c>
      <c r="K2224" s="6" t="str">
        <f aca="false">HYPERLINK("https://www.google.com/search?q=Vineland+Public+Library+Vineland+NJ+library+website","Search")</f>
        <v>Search</v>
      </c>
      <c r="L2224" s="7"/>
      <c r="M2224" s="7"/>
    </row>
    <row r="2225" customFormat="false" ht="15" hidden="false" customHeight="true" outlineLevel="0" collapsed="false">
      <c r="A2225" s="4" t="s">
        <v>8419</v>
      </c>
      <c r="B2225" s="4" t="s">
        <v>9030</v>
      </c>
      <c r="C2225" s="4" t="s">
        <v>9031</v>
      </c>
      <c r="D2225" s="4" t="s">
        <v>8445</v>
      </c>
      <c r="E2225" s="5" t="n">
        <v>10058</v>
      </c>
      <c r="F2225" s="4" t="n">
        <v>1</v>
      </c>
      <c r="G2225" s="4" t="s">
        <v>9032</v>
      </c>
      <c r="H2225" s="4" t="n">
        <v>41.01085</v>
      </c>
      <c r="I2225" s="4" t="n">
        <v>-74.11769</v>
      </c>
      <c r="J2225" s="4" t="s">
        <v>9033</v>
      </c>
      <c r="K2225" s="6" t="str">
        <f aca="false">HYPERLINK("https://www.google.com/search?q=Waldwick+Public+Library+Waldwick+NJ+library+website","Search")</f>
        <v>Search</v>
      </c>
      <c r="L2225" s="7"/>
      <c r="M2225" s="7"/>
    </row>
    <row r="2226" customFormat="false" ht="15" hidden="false" customHeight="true" outlineLevel="0" collapsed="false">
      <c r="A2226" s="4" t="s">
        <v>8419</v>
      </c>
      <c r="B2226" s="4" t="s">
        <v>9034</v>
      </c>
      <c r="C2226" s="4" t="s">
        <v>9035</v>
      </c>
      <c r="D2226" s="4" t="s">
        <v>8421</v>
      </c>
      <c r="E2226" s="5" t="n">
        <v>11317</v>
      </c>
      <c r="F2226" s="4" t="n">
        <v>1</v>
      </c>
      <c r="G2226" s="4" t="s">
        <v>9036</v>
      </c>
      <c r="H2226" s="4" t="n">
        <v>41.05017</v>
      </c>
      <c r="I2226" s="4" t="n">
        <v>-74.28928</v>
      </c>
      <c r="J2226" s="4" t="s">
        <v>9037</v>
      </c>
      <c r="K2226" s="6" t="str">
        <f aca="false">HYPERLINK("https://www.google.com/search?q=Wanaque+Borough+Free+Public+Library+Wanaque+NJ+library+website","Search")</f>
        <v>Search</v>
      </c>
      <c r="L2226" s="7"/>
      <c r="M2226" s="7"/>
    </row>
    <row r="2227" customFormat="false" ht="15" hidden="false" customHeight="true" outlineLevel="0" collapsed="false">
      <c r="A2227" s="4" t="s">
        <v>8419</v>
      </c>
      <c r="B2227" s="4" t="s">
        <v>9038</v>
      </c>
      <c r="C2227" s="4" t="s">
        <v>3706</v>
      </c>
      <c r="D2227" s="4" t="s">
        <v>3012</v>
      </c>
      <c r="E2227" s="5" t="n">
        <v>74508</v>
      </c>
      <c r="F2227" s="4" t="n">
        <v>5</v>
      </c>
      <c r="G2227" s="4" t="s">
        <v>9039</v>
      </c>
      <c r="H2227" s="4" t="n">
        <v>40.80449</v>
      </c>
      <c r="I2227" s="4" t="n">
        <v>-75.07849</v>
      </c>
      <c r="J2227" s="4" t="s">
        <v>9040</v>
      </c>
      <c r="K2227" s="6" t="str">
        <f aca="false">HYPERLINK("https://www.google.com/search?q=Warren+County+Library+Belvidere+NJ+library+website","Search")</f>
        <v>Search</v>
      </c>
      <c r="L2227" s="7"/>
      <c r="M2227" s="7"/>
    </row>
    <row r="2228" customFormat="false" ht="15" hidden="false" customHeight="true" outlineLevel="0" collapsed="false">
      <c r="A2228" s="4" t="s">
        <v>8419</v>
      </c>
      <c r="B2228" s="4" t="s">
        <v>9041</v>
      </c>
      <c r="C2228" s="4" t="s">
        <v>9042</v>
      </c>
      <c r="D2228" s="4" t="s">
        <v>3861</v>
      </c>
      <c r="E2228" s="5" t="n">
        <v>18197</v>
      </c>
      <c r="F2228" s="4" t="n">
        <v>1</v>
      </c>
      <c r="G2228" s="4" t="s">
        <v>9043</v>
      </c>
      <c r="H2228" s="4" t="n">
        <v>40.798</v>
      </c>
      <c r="I2228" s="4" t="n">
        <v>-74.79144</v>
      </c>
      <c r="J2228" s="4" t="s">
        <v>9044</v>
      </c>
      <c r="K2228" s="6" t="str">
        <f aca="false">HYPERLINK("https://www.google.com/search?q=Washington+Twp+Public+Library%2FMorris+Long+Valley+NJ+library+website","Search")</f>
        <v>Search</v>
      </c>
      <c r="L2228" s="7"/>
      <c r="M2228" s="7"/>
    </row>
    <row r="2229" customFormat="false" ht="15" hidden="false" customHeight="true" outlineLevel="0" collapsed="false">
      <c r="A2229" s="4" t="s">
        <v>8419</v>
      </c>
      <c r="B2229" s="4" t="s">
        <v>7086</v>
      </c>
      <c r="C2229" s="4" t="s">
        <v>9045</v>
      </c>
      <c r="D2229" s="4" t="s">
        <v>445</v>
      </c>
      <c r="E2229" s="5" t="n">
        <v>10421</v>
      </c>
      <c r="F2229" s="4" t="n">
        <v>1</v>
      </c>
      <c r="G2229" s="4" t="s">
        <v>9046</v>
      </c>
      <c r="H2229" s="4" t="n">
        <v>39.77006</v>
      </c>
      <c r="I2229" s="4" t="n">
        <v>-74.8872</v>
      </c>
      <c r="J2229" s="4" t="s">
        <v>9047</v>
      </c>
      <c r="K2229" s="6" t="str">
        <f aca="false">HYPERLINK("https://www.google.com/search?q=Waterford+Township+Public+Library+Atco+NJ+library+website","Search")</f>
        <v>Search</v>
      </c>
      <c r="L2229" s="7"/>
      <c r="M2229" s="7"/>
    </row>
    <row r="2230" customFormat="false" ht="15" hidden="false" customHeight="true" outlineLevel="0" collapsed="false">
      <c r="A2230" s="4" t="s">
        <v>8419</v>
      </c>
      <c r="B2230" s="4" t="s">
        <v>7089</v>
      </c>
      <c r="C2230" s="4" t="s">
        <v>2849</v>
      </c>
      <c r="D2230" s="4" t="s">
        <v>8421</v>
      </c>
      <c r="E2230" s="5" t="n">
        <v>54838</v>
      </c>
      <c r="F2230" s="4" t="n">
        <v>1</v>
      </c>
      <c r="G2230" s="4" t="s">
        <v>9048</v>
      </c>
      <c r="H2230" s="4" t="n">
        <v>40.92699</v>
      </c>
      <c r="I2230" s="4" t="n">
        <v>-74.23121</v>
      </c>
      <c r="J2230" s="4" t="s">
        <v>9049</v>
      </c>
      <c r="K2230" s="6" t="str">
        <f aca="false">HYPERLINK("https://www.google.com/search?q=Wayne+Public+Library+Wayne+NJ+library+website","Search")</f>
        <v>Search</v>
      </c>
      <c r="L2230" s="7"/>
      <c r="M2230" s="7"/>
    </row>
    <row r="2231" customFormat="false" ht="15" hidden="false" customHeight="true" outlineLevel="0" collapsed="false">
      <c r="A2231" s="4" t="s">
        <v>8419</v>
      </c>
      <c r="B2231" s="4" t="s">
        <v>9050</v>
      </c>
      <c r="C2231" s="4" t="s">
        <v>9051</v>
      </c>
      <c r="D2231" s="4" t="s">
        <v>2513</v>
      </c>
      <c r="E2231" s="5" t="n">
        <v>17197</v>
      </c>
      <c r="F2231" s="4" t="n">
        <v>1</v>
      </c>
      <c r="G2231" s="4" t="s">
        <v>9052</v>
      </c>
      <c r="H2231" s="4" t="n">
        <v>40.76894</v>
      </c>
      <c r="I2231" s="4" t="n">
        <v>-74.02281</v>
      </c>
      <c r="J2231" s="4" t="s">
        <v>9053</v>
      </c>
      <c r="K2231" s="6" t="str">
        <f aca="false">HYPERLINK("https://www.google.com/search?q=Weehawken+Free+Public+Library+Weehawken+NJ+library+website","Search")</f>
        <v>Search</v>
      </c>
      <c r="L2231" s="7"/>
      <c r="M2231" s="7"/>
    </row>
    <row r="2232" customFormat="false" ht="15" hidden="false" customHeight="true" outlineLevel="0" collapsed="false">
      <c r="A2232" s="4" t="s">
        <v>8419</v>
      </c>
      <c r="B2232" s="4" t="s">
        <v>9054</v>
      </c>
      <c r="C2232" s="4" t="s">
        <v>9055</v>
      </c>
      <c r="D2232" s="4" t="s">
        <v>5472</v>
      </c>
      <c r="E2232" s="5" t="n">
        <v>11012</v>
      </c>
      <c r="F2232" s="4" t="n">
        <v>1</v>
      </c>
      <c r="G2232" s="4" t="s">
        <v>9056</v>
      </c>
      <c r="H2232" s="4" t="n">
        <v>40.85104</v>
      </c>
      <c r="I2232" s="4" t="n">
        <v>-74.29357</v>
      </c>
      <c r="J2232" s="4" t="s">
        <v>9057</v>
      </c>
      <c r="K2232" s="6" t="str">
        <f aca="false">HYPERLINK("https://www.google.com/search?q=West+Caldwell+Public+Library+West+Caldwell+NJ+library+website","Search")</f>
        <v>Search</v>
      </c>
      <c r="L2232" s="7"/>
      <c r="M2232" s="8" t="str">
        <f aca="false">HYPERLINK("https://westcaldwellnj.overdrive.com","https://westcaldwellnj.overdrive.com")</f>
        <v>https://westcaldwellnj.overdrive.com</v>
      </c>
    </row>
    <row r="2233" customFormat="false" ht="15" hidden="false" customHeight="true" outlineLevel="0" collapsed="false">
      <c r="A2233" s="4" t="s">
        <v>8419</v>
      </c>
      <c r="B2233" s="4" t="s">
        <v>9058</v>
      </c>
      <c r="C2233" s="4" t="s">
        <v>9059</v>
      </c>
      <c r="D2233" s="4" t="s">
        <v>5684</v>
      </c>
      <c r="E2233" s="5" t="n">
        <v>22197</v>
      </c>
      <c r="F2233" s="4" t="n">
        <v>1</v>
      </c>
      <c r="G2233" s="4" t="s">
        <v>9060</v>
      </c>
      <c r="H2233" s="4" t="n">
        <v>39.84455</v>
      </c>
      <c r="I2233" s="4" t="n">
        <v>-75.18979</v>
      </c>
      <c r="J2233" s="4" t="s">
        <v>9061</v>
      </c>
      <c r="K2233" s="6" t="str">
        <f aca="false">HYPERLINK("https://www.google.com/search?q=West+Deptford+Free+Public+Library+West+Deptford+NJ+library+website","Search")</f>
        <v>Search</v>
      </c>
      <c r="L2233" s="7"/>
      <c r="M2233" s="7"/>
    </row>
    <row r="2234" customFormat="false" ht="15" hidden="false" customHeight="true" outlineLevel="0" collapsed="false">
      <c r="A2234" s="4" t="s">
        <v>8419</v>
      </c>
      <c r="B2234" s="4" t="s">
        <v>9062</v>
      </c>
      <c r="C2234" s="4" t="s">
        <v>9063</v>
      </c>
      <c r="D2234" s="4" t="s">
        <v>8421</v>
      </c>
      <c r="E2234" s="5" t="n">
        <v>24862</v>
      </c>
      <c r="F2234" s="4" t="n">
        <v>1</v>
      </c>
      <c r="G2234" s="4" t="s">
        <v>9064</v>
      </c>
      <c r="H2234" s="4" t="n">
        <v>41.1309</v>
      </c>
      <c r="I2234" s="4" t="n">
        <v>-74.36811</v>
      </c>
      <c r="J2234" s="4" t="s">
        <v>9065</v>
      </c>
      <c r="K2234" s="6" t="str">
        <f aca="false">HYPERLINK("https://www.google.com/search?q=West+Milford+Township+Library+West+Milford+NJ+library+website","Search")</f>
        <v>Search</v>
      </c>
      <c r="L2234" s="7"/>
      <c r="M2234" s="7"/>
    </row>
    <row r="2235" customFormat="false" ht="15" hidden="false" customHeight="true" outlineLevel="0" collapsed="false">
      <c r="A2235" s="4" t="s">
        <v>8419</v>
      </c>
      <c r="B2235" s="4" t="s">
        <v>9066</v>
      </c>
      <c r="C2235" s="4" t="s">
        <v>9067</v>
      </c>
      <c r="D2235" s="4" t="s">
        <v>2513</v>
      </c>
      <c r="E2235" s="5" t="n">
        <v>52912</v>
      </c>
      <c r="F2235" s="4" t="n">
        <v>1</v>
      </c>
      <c r="G2235" s="4" t="s">
        <v>9068</v>
      </c>
      <c r="H2235" s="4" t="n">
        <v>40.78837</v>
      </c>
      <c r="I2235" s="4" t="n">
        <v>-74.01539</v>
      </c>
      <c r="J2235" s="4" t="s">
        <v>9069</v>
      </c>
      <c r="K2235" s="6" t="str">
        <f aca="false">HYPERLINK("https://www.google.com/search?q=West+New+York+Free+Public+Library+West+New+York+NJ+library+website","Search")</f>
        <v>Search</v>
      </c>
      <c r="L2235" s="7"/>
      <c r="M2235" s="7"/>
    </row>
    <row r="2236" customFormat="false" ht="15" hidden="false" customHeight="true" outlineLevel="0" collapsed="false">
      <c r="A2236" s="4" t="s">
        <v>8419</v>
      </c>
      <c r="B2236" s="4" t="s">
        <v>9070</v>
      </c>
      <c r="C2236" s="4" t="s">
        <v>9071</v>
      </c>
      <c r="D2236" s="4" t="s">
        <v>5472</v>
      </c>
      <c r="E2236" s="5" t="n">
        <v>48843</v>
      </c>
      <c r="F2236" s="4" t="n">
        <v>1</v>
      </c>
      <c r="G2236" s="4" t="s">
        <v>9072</v>
      </c>
      <c r="H2236" s="4" t="n">
        <v>40.77942</v>
      </c>
      <c r="I2236" s="4" t="n">
        <v>-74.24089</v>
      </c>
      <c r="J2236" s="4" t="s">
        <v>9073</v>
      </c>
      <c r="K2236" s="6" t="str">
        <f aca="false">HYPERLINK("https://www.google.com/search?q=West+Orange+Free+Public+Library+West+Orange+NJ+library+website","Search")</f>
        <v>Search</v>
      </c>
      <c r="L2236" s="7"/>
      <c r="M2236" s="7"/>
    </row>
    <row r="2237" customFormat="false" ht="15" hidden="false" customHeight="true" outlineLevel="0" collapsed="false">
      <c r="A2237" s="4" t="s">
        <v>8419</v>
      </c>
      <c r="B2237" s="4" t="s">
        <v>9074</v>
      </c>
      <c r="C2237" s="4" t="s">
        <v>4664</v>
      </c>
      <c r="D2237" s="4" t="s">
        <v>467</v>
      </c>
      <c r="E2237" s="5" t="n">
        <v>31032</v>
      </c>
      <c r="F2237" s="4" t="n">
        <v>1</v>
      </c>
      <c r="G2237" s="4" t="s">
        <v>9075</v>
      </c>
      <c r="H2237" s="4" t="n">
        <v>40.65685</v>
      </c>
      <c r="I2237" s="4" t="n">
        <v>-74.34269</v>
      </c>
      <c r="J2237" s="4" t="s">
        <v>9076</v>
      </c>
      <c r="K2237" s="6" t="str">
        <f aca="false">HYPERLINK("https://www.google.com/search?q=Westfield+Memorial+Library+Westfield+NJ+library+website","Search")</f>
        <v>Search</v>
      </c>
      <c r="L2237" s="7"/>
      <c r="M2237" s="7"/>
    </row>
    <row r="2238" customFormat="false" ht="15" hidden="false" customHeight="true" outlineLevel="0" collapsed="false">
      <c r="A2238" s="4" t="s">
        <v>8419</v>
      </c>
      <c r="B2238" s="4" t="s">
        <v>9077</v>
      </c>
      <c r="C2238" s="4" t="s">
        <v>6116</v>
      </c>
      <c r="D2238" s="4" t="s">
        <v>8445</v>
      </c>
      <c r="E2238" s="5" t="n">
        <v>11282</v>
      </c>
      <c r="F2238" s="4" t="n">
        <v>1</v>
      </c>
      <c r="G2238" s="4" t="s">
        <v>9078</v>
      </c>
      <c r="H2238" s="4" t="n">
        <v>40.99055</v>
      </c>
      <c r="I2238" s="4" t="n">
        <v>-74.0345</v>
      </c>
      <c r="J2238" s="4" t="s">
        <v>9079</v>
      </c>
      <c r="K2238" s="6" t="str">
        <f aca="false">HYPERLINK("https://www.google.com/search?q=Westwood+Free+Public+Library+Westwood+NJ+library+website","Search")</f>
        <v>Search</v>
      </c>
      <c r="L2238" s="7"/>
      <c r="M2238" s="7"/>
    </row>
    <row r="2239" customFormat="false" ht="15" hidden="false" customHeight="true" outlineLevel="0" collapsed="false">
      <c r="A2239" s="4" t="s">
        <v>8419</v>
      </c>
      <c r="B2239" s="4" t="s">
        <v>9080</v>
      </c>
      <c r="C2239" s="4" t="s">
        <v>8772</v>
      </c>
      <c r="D2239" s="4" t="s">
        <v>3861</v>
      </c>
      <c r="E2239" s="5" t="n">
        <v>14677</v>
      </c>
      <c r="F2239" s="4" t="n">
        <v>1</v>
      </c>
      <c r="G2239" s="4" t="s">
        <v>9081</v>
      </c>
      <c r="H2239" s="4" t="n">
        <v>40.83007</v>
      </c>
      <c r="I2239" s="4" t="n">
        <v>-74.43392</v>
      </c>
      <c r="J2239" s="4" t="s">
        <v>9082</v>
      </c>
      <c r="K2239" s="6" t="str">
        <f aca="false">HYPERLINK("https://www.google.com/search?q=Whippanong+Library%2FHanover+Township+Whippany+NJ+library+website","Search")</f>
        <v>Search</v>
      </c>
      <c r="L2239" s="7"/>
      <c r="M2239" s="7"/>
    </row>
    <row r="2240" customFormat="false" ht="15" hidden="false" customHeight="true" outlineLevel="0" collapsed="false">
      <c r="A2240" s="4" t="s">
        <v>8419</v>
      </c>
      <c r="B2240" s="4" t="s">
        <v>9083</v>
      </c>
      <c r="C2240" s="4" t="s">
        <v>9084</v>
      </c>
      <c r="D2240" s="4" t="s">
        <v>2903</v>
      </c>
      <c r="E2240" s="5" t="n">
        <v>31889</v>
      </c>
      <c r="F2240" s="4" t="n">
        <v>1</v>
      </c>
      <c r="G2240" s="4" t="s">
        <v>9085</v>
      </c>
      <c r="H2240" s="4" t="n">
        <v>40.05298</v>
      </c>
      <c r="I2240" s="4" t="n">
        <v>-74.89039</v>
      </c>
      <c r="J2240" s="4" t="s">
        <v>9086</v>
      </c>
      <c r="K2240" s="6" t="str">
        <f aca="false">HYPERLINK("https://www.google.com/search?q=Willingboro+Public+Library+Willingboro+NJ+library+website","Search")</f>
        <v>Search</v>
      </c>
      <c r="L2240" s="7"/>
      <c r="M2240" s="7"/>
    </row>
    <row r="2241" customFormat="false" ht="15" hidden="false" customHeight="true" outlineLevel="0" collapsed="false">
      <c r="A2241" s="4" t="s">
        <v>8419</v>
      </c>
      <c r="B2241" s="4" t="s">
        <v>9087</v>
      </c>
      <c r="C2241" s="4" t="s">
        <v>9088</v>
      </c>
      <c r="D2241" s="4" t="s">
        <v>8445</v>
      </c>
      <c r="E2241" s="5" t="n">
        <v>10137</v>
      </c>
      <c r="F2241" s="4" t="n">
        <v>1</v>
      </c>
      <c r="G2241" s="4" t="s">
        <v>9089</v>
      </c>
      <c r="H2241" s="4" t="n">
        <v>40.84792</v>
      </c>
      <c r="I2241" s="4" t="n">
        <v>-74.08164</v>
      </c>
      <c r="J2241" s="4" t="s">
        <v>9090</v>
      </c>
      <c r="K2241" s="6" t="str">
        <f aca="false">HYPERLINK("https://www.google.com/search?q=Wood-Ridge+Memorial+Library+Wood-Ridge+NJ+library+website","Search")</f>
        <v>Search</v>
      </c>
      <c r="L2241" s="7"/>
      <c r="M2241" s="7"/>
    </row>
    <row r="2242" customFormat="false" ht="15" hidden="false" customHeight="true" outlineLevel="0" collapsed="false">
      <c r="A2242" s="4" t="s">
        <v>8419</v>
      </c>
      <c r="B2242" s="4" t="s">
        <v>9091</v>
      </c>
      <c r="C2242" s="4" t="s">
        <v>9092</v>
      </c>
      <c r="D2242" s="4" t="s">
        <v>1792</v>
      </c>
      <c r="E2242" s="5" t="n">
        <v>103639</v>
      </c>
      <c r="F2242" s="4" t="n">
        <v>4</v>
      </c>
      <c r="G2242" s="4" t="s">
        <v>9093</v>
      </c>
      <c r="H2242" s="4" t="n">
        <v>40.56698</v>
      </c>
      <c r="I2242" s="4" t="n">
        <v>-74.28806</v>
      </c>
      <c r="J2242" s="4" t="s">
        <v>9094</v>
      </c>
      <c r="K2242" s="6" t="str">
        <f aca="false">HYPERLINK("https://www.google.com/search?q=Woodbridge+Public+Library+Woodbridge+NJ+library+website","Search")</f>
        <v>Search</v>
      </c>
      <c r="L2242" s="7"/>
      <c r="M2242" s="7"/>
    </row>
    <row r="2243" customFormat="false" ht="15" hidden="false" customHeight="true" outlineLevel="0" collapsed="false">
      <c r="A2243" s="4" t="s">
        <v>8419</v>
      </c>
      <c r="B2243" s="4" t="s">
        <v>9095</v>
      </c>
      <c r="C2243" s="4" t="s">
        <v>9096</v>
      </c>
      <c r="D2243" s="4" t="s">
        <v>8445</v>
      </c>
      <c r="E2243" s="5" t="n">
        <v>16585</v>
      </c>
      <c r="F2243" s="4" t="n">
        <v>1</v>
      </c>
      <c r="G2243" s="4" t="s">
        <v>9097</v>
      </c>
      <c r="H2243" s="4" t="n">
        <v>41.00789</v>
      </c>
      <c r="I2243" s="4" t="n">
        <v>-74.16678</v>
      </c>
      <c r="J2243" s="4" t="s">
        <v>9098</v>
      </c>
      <c r="K2243" s="6" t="str">
        <f aca="false">HYPERLINK("https://www.google.com/search?q=Wyckoff+Free+Public+Library+Wyckoff+NJ+library+website","Search")</f>
        <v>Search</v>
      </c>
      <c r="L2243" s="7"/>
      <c r="M2243" s="7"/>
    </row>
    <row r="2244" customFormat="false" ht="15" hidden="false" customHeight="true" outlineLevel="0" collapsed="false">
      <c r="A2244" s="4" t="s">
        <v>9099</v>
      </c>
      <c r="B2244" s="4" t="s">
        <v>9100</v>
      </c>
      <c r="C2244" s="4" t="s">
        <v>9101</v>
      </c>
      <c r="D2244" s="4" t="s">
        <v>9102</v>
      </c>
      <c r="E2244" s="5" t="n">
        <v>30403</v>
      </c>
      <c r="F2244" s="4" t="n">
        <v>1</v>
      </c>
      <c r="G2244" s="4" t="s">
        <v>9103</v>
      </c>
      <c r="H2244" s="4" t="n">
        <v>32.89944</v>
      </c>
      <c r="I2244" s="4" t="n">
        <v>-105.94455</v>
      </c>
      <c r="J2244" s="4" t="s">
        <v>9104</v>
      </c>
      <c r="K2244" s="6" t="str">
        <f aca="false">HYPERLINK("https://www.google.com/search?q=Alamogordo+Public+Library+Alamogordo+NM+library+website","Search")</f>
        <v>Search</v>
      </c>
      <c r="L2244" s="7"/>
      <c r="M2244" s="7"/>
    </row>
    <row r="2245" customFormat="false" ht="15" hidden="false" customHeight="true" outlineLevel="0" collapsed="false">
      <c r="A2245" s="4" t="s">
        <v>9099</v>
      </c>
      <c r="B2245" s="4" t="s">
        <v>9105</v>
      </c>
      <c r="C2245" s="4" t="s">
        <v>9106</v>
      </c>
      <c r="D2245" s="4" t="s">
        <v>9107</v>
      </c>
      <c r="E2245" s="5" t="n">
        <v>662564</v>
      </c>
      <c r="F2245" s="4" t="n">
        <v>18</v>
      </c>
      <c r="G2245" s="4" t="s">
        <v>9108</v>
      </c>
      <c r="H2245" s="4" t="n">
        <v>35.08578</v>
      </c>
      <c r="I2245" s="4" t="n">
        <v>-106.65299</v>
      </c>
      <c r="J2245" s="4" t="s">
        <v>9109</v>
      </c>
      <c r="K2245" s="6" t="str">
        <f aca="false">HYPERLINK("https://www.google.com/search?q=Albuquerque%2FBernalillo+County+Library+System+Albuquerque+NM+library+website","Search")</f>
        <v>Search</v>
      </c>
      <c r="L2245" s="7"/>
      <c r="M2245" s="8" t="str">
        <f aca="false">HYPERLINK("https://cabq.overdrive.com","https://cabq.overdrive.com")</f>
        <v>https://cabq.overdrive.com</v>
      </c>
    </row>
    <row r="2246" customFormat="false" ht="15" hidden="false" customHeight="true" outlineLevel="0" collapsed="false">
      <c r="A2246" s="4" t="s">
        <v>9099</v>
      </c>
      <c r="B2246" s="4" t="s">
        <v>9110</v>
      </c>
      <c r="C2246" s="4" t="s">
        <v>9111</v>
      </c>
      <c r="D2246" s="4" t="s">
        <v>9112</v>
      </c>
      <c r="E2246" s="5" t="n">
        <v>11301</v>
      </c>
      <c r="F2246" s="4" t="n">
        <v>1</v>
      </c>
      <c r="G2246" s="4" t="s">
        <v>9113</v>
      </c>
      <c r="H2246" s="4" t="n">
        <v>32.84112</v>
      </c>
      <c r="I2246" s="4" t="n">
        <v>-104.39911</v>
      </c>
      <c r="J2246" s="4" t="s">
        <v>9114</v>
      </c>
      <c r="K2246" s="6" t="str">
        <f aca="false">HYPERLINK("https://www.google.com/search?q=Artesia+Public+Library+Artesia+NM+library+website","Search")</f>
        <v>Search</v>
      </c>
      <c r="L2246" s="7"/>
      <c r="M2246" s="7"/>
    </row>
    <row r="2247" customFormat="false" ht="15" hidden="false" customHeight="true" outlineLevel="0" collapsed="false">
      <c r="A2247" s="4" t="s">
        <v>9099</v>
      </c>
      <c r="B2247" s="4" t="s">
        <v>9115</v>
      </c>
      <c r="C2247" s="4" t="s">
        <v>969</v>
      </c>
      <c r="D2247" s="4" t="s">
        <v>9112</v>
      </c>
      <c r="E2247" s="5" t="n">
        <v>26138</v>
      </c>
      <c r="F2247" s="4" t="n">
        <v>1</v>
      </c>
      <c r="G2247" s="4" t="s">
        <v>9116</v>
      </c>
      <c r="H2247" s="4" t="n">
        <v>32.41974</v>
      </c>
      <c r="I2247" s="4" t="n">
        <v>-104.23033</v>
      </c>
      <c r="J2247" s="4" t="s">
        <v>9117</v>
      </c>
      <c r="K2247" s="6" t="str">
        <f aca="false">HYPERLINK("https://www.google.com/search?q=Carlsbad+Public+Library+Carlsbad+NM+library+website","Search")</f>
        <v>Search</v>
      </c>
      <c r="L2247" s="7"/>
      <c r="M2247" s="7"/>
    </row>
    <row r="2248" customFormat="false" ht="15" hidden="false" customHeight="true" outlineLevel="0" collapsed="false">
      <c r="A2248" s="4" t="s">
        <v>9099</v>
      </c>
      <c r="B2248" s="4" t="s">
        <v>7611</v>
      </c>
      <c r="C2248" s="4" t="s">
        <v>9118</v>
      </c>
      <c r="D2248" s="4" t="s">
        <v>9119</v>
      </c>
      <c r="E2248" s="5" t="n">
        <v>13753</v>
      </c>
      <c r="F2248" s="4" t="n">
        <v>1</v>
      </c>
      <c r="G2248" s="4" t="s">
        <v>9120</v>
      </c>
      <c r="H2248" s="4" t="n">
        <v>35.59725</v>
      </c>
      <c r="I2248" s="4" t="n">
        <v>-105.21589</v>
      </c>
      <c r="J2248" s="4" t="s">
        <v>9121</v>
      </c>
      <c r="K2248" s="6" t="str">
        <f aca="false">HYPERLINK("https://www.google.com/search?q=Carnegie+Public+Library+Las+Vegas+NM+library+website","Search")</f>
        <v>Search</v>
      </c>
      <c r="L2248" s="7"/>
      <c r="M2248" s="7"/>
    </row>
    <row r="2249" customFormat="false" ht="15" hidden="false" customHeight="true" outlineLevel="0" collapsed="false">
      <c r="A2249" s="4" t="s">
        <v>9099</v>
      </c>
      <c r="B2249" s="4" t="s">
        <v>9122</v>
      </c>
      <c r="C2249" s="4" t="s">
        <v>9123</v>
      </c>
      <c r="D2249" s="4" t="s">
        <v>9124</v>
      </c>
      <c r="E2249" s="5" t="n">
        <v>37775</v>
      </c>
      <c r="F2249" s="4" t="n">
        <v>1</v>
      </c>
      <c r="G2249" s="4" t="s">
        <v>9125</v>
      </c>
      <c r="H2249" s="4" t="n">
        <v>34.40524</v>
      </c>
      <c r="I2249" s="4" t="n">
        <v>-103.20531</v>
      </c>
      <c r="J2249" s="4" t="s">
        <v>9126</v>
      </c>
      <c r="K2249" s="6" t="str">
        <f aca="false">HYPERLINK("https://www.google.com/search?q=Clovis+Carver+Public+Library+Clovis+NM+library+website","Search")</f>
        <v>Search</v>
      </c>
      <c r="L2249" s="7"/>
      <c r="M2249" s="7"/>
    </row>
    <row r="2250" customFormat="false" ht="15" hidden="false" customHeight="true" outlineLevel="0" collapsed="false">
      <c r="A2250" s="4" t="s">
        <v>9099</v>
      </c>
      <c r="B2250" s="4" t="s">
        <v>9127</v>
      </c>
      <c r="C2250" s="4" t="s">
        <v>9128</v>
      </c>
      <c r="D2250" s="4" t="s">
        <v>9129</v>
      </c>
      <c r="E2250" s="5" t="n">
        <v>10224</v>
      </c>
      <c r="F2250" s="4" t="n">
        <v>1</v>
      </c>
      <c r="G2250" s="4" t="s">
        <v>9130</v>
      </c>
      <c r="H2250" s="4" t="n">
        <v>35.99491</v>
      </c>
      <c r="I2250" s="4" t="n">
        <v>-106.0831</v>
      </c>
      <c r="J2250" s="4" t="s">
        <v>9131</v>
      </c>
      <c r="K2250" s="6" t="str">
        <f aca="false">HYPERLINK("https://www.google.com/search?q=Espanola+Public+Library+Espanola+NM+library+website","Search")</f>
        <v>Search</v>
      </c>
      <c r="L2250" s="7"/>
      <c r="M2250" s="7"/>
    </row>
    <row r="2251" customFormat="false" ht="15" hidden="false" customHeight="true" outlineLevel="0" collapsed="false">
      <c r="A2251" s="4" t="s">
        <v>9099</v>
      </c>
      <c r="B2251" s="4" t="s">
        <v>7404</v>
      </c>
      <c r="C2251" s="4" t="s">
        <v>1923</v>
      </c>
      <c r="D2251" s="4" t="s">
        <v>9132</v>
      </c>
      <c r="E2251" s="5" t="n">
        <v>45877</v>
      </c>
      <c r="F2251" s="4" t="n">
        <v>1</v>
      </c>
      <c r="G2251" s="4" t="s">
        <v>9133</v>
      </c>
      <c r="H2251" s="4" t="n">
        <v>36.74969</v>
      </c>
      <c r="I2251" s="4" t="n">
        <v>-108.1798</v>
      </c>
      <c r="J2251" s="4" t="s">
        <v>9134</v>
      </c>
      <c r="K2251" s="6" t="str">
        <f aca="false">HYPERLINK("https://www.google.com/search?q=Farmington+Public+Library+Farmington+NM+library+website","Search")</f>
        <v>Search</v>
      </c>
      <c r="L2251" s="7"/>
      <c r="M2251" s="7"/>
    </row>
    <row r="2252" customFormat="false" ht="15" hidden="false" customHeight="true" outlineLevel="0" collapsed="false">
      <c r="A2252" s="4" t="s">
        <v>9099</v>
      </c>
      <c r="B2252" s="4" t="s">
        <v>9135</v>
      </c>
      <c r="C2252" s="4" t="s">
        <v>9136</v>
      </c>
      <c r="D2252" s="4" t="s">
        <v>9137</v>
      </c>
      <c r="E2252" s="5" t="n">
        <v>34122</v>
      </c>
      <c r="F2252" s="4" t="n">
        <v>1</v>
      </c>
      <c r="G2252" s="4" t="s">
        <v>9138</v>
      </c>
      <c r="H2252" s="4" t="n">
        <v>32.70552</v>
      </c>
      <c r="I2252" s="4" t="n">
        <v>-103.13749</v>
      </c>
      <c r="J2252" s="4" t="s">
        <v>9139</v>
      </c>
      <c r="K2252" s="6" t="str">
        <f aca="false">HYPERLINK("https://www.google.com/search?q=Hobbs+Public+Library+Hobbs+NM+library+website","Search")</f>
        <v>Search</v>
      </c>
      <c r="L2252" s="7"/>
      <c r="M2252" s="7"/>
    </row>
    <row r="2253" customFormat="false" ht="15" hidden="false" customHeight="true" outlineLevel="0" collapsed="false">
      <c r="A2253" s="4" t="s">
        <v>9099</v>
      </c>
      <c r="B2253" s="4" t="s">
        <v>9140</v>
      </c>
      <c r="C2253" s="4" t="s">
        <v>9141</v>
      </c>
      <c r="D2253" s="4" t="s">
        <v>9141</v>
      </c>
      <c r="E2253" s="5" t="n">
        <v>17950</v>
      </c>
      <c r="F2253" s="4" t="n">
        <v>2</v>
      </c>
      <c r="G2253" s="4" t="s">
        <v>9142</v>
      </c>
      <c r="H2253" s="4" t="n">
        <v>35.88203</v>
      </c>
      <c r="I2253" s="4" t="n">
        <v>-106.30421</v>
      </c>
      <c r="J2253" s="4" t="s">
        <v>9143</v>
      </c>
      <c r="K2253" s="6" t="str">
        <f aca="false">HYPERLINK("https://www.google.com/search?q=Los+Alamos+County+Library+System+Los+Alamos+NM+library+website","Search")</f>
        <v>Search</v>
      </c>
      <c r="L2253" s="7"/>
      <c r="M2253" s="8" t="str">
        <f aca="false">HYPERLINK("https://lacnm.overdrive.com","https://lacnm.overdrive.com")</f>
        <v>https://lacnm.overdrive.com</v>
      </c>
    </row>
    <row r="2254" customFormat="false" ht="15" hidden="false" customHeight="true" outlineLevel="0" collapsed="false">
      <c r="A2254" s="4" t="s">
        <v>9099</v>
      </c>
      <c r="B2254" s="4" t="s">
        <v>9144</v>
      </c>
      <c r="C2254" s="4" t="s">
        <v>9145</v>
      </c>
      <c r="D2254" s="4" t="s">
        <v>9146</v>
      </c>
      <c r="E2254" s="5" t="n">
        <v>14835</v>
      </c>
      <c r="F2254" s="4" t="n">
        <v>2</v>
      </c>
      <c r="G2254" s="4" t="s">
        <v>9147</v>
      </c>
      <c r="H2254" s="4" t="n">
        <v>34.80554</v>
      </c>
      <c r="I2254" s="4" t="n">
        <v>-106.73073</v>
      </c>
      <c r="J2254" s="4" t="s">
        <v>9148</v>
      </c>
      <c r="K2254" s="6" t="str">
        <f aca="false">HYPERLINK("https://www.google.com/search?q=Los+Lunas+Public+Library+Los+Lunas+NM+library+website","Search")</f>
        <v>Search</v>
      </c>
      <c r="L2254" s="7"/>
      <c r="M2254" s="7"/>
    </row>
    <row r="2255" customFormat="false" ht="15" hidden="false" customHeight="true" outlineLevel="0" collapsed="false">
      <c r="A2255" s="4" t="s">
        <v>9099</v>
      </c>
      <c r="B2255" s="4" t="s">
        <v>9149</v>
      </c>
      <c r="C2255" s="4" t="s">
        <v>9150</v>
      </c>
      <c r="D2255" s="4" t="s">
        <v>9137</v>
      </c>
      <c r="E2255" s="5" t="n">
        <v>11009</v>
      </c>
      <c r="F2255" s="4" t="n">
        <v>1</v>
      </c>
      <c r="G2255" s="4" t="s">
        <v>9151</v>
      </c>
      <c r="H2255" s="4" t="n">
        <v>32.94792</v>
      </c>
      <c r="I2255" s="4" t="n">
        <v>-103.34854</v>
      </c>
      <c r="J2255" s="4" t="s">
        <v>9152</v>
      </c>
      <c r="K2255" s="6" t="str">
        <f aca="false">HYPERLINK("https://www.google.com/search?q=Lovington+Public+Library+Lovington+NM+library+website","Search")</f>
        <v>Search</v>
      </c>
      <c r="L2255" s="7"/>
      <c r="M2255" s="7"/>
    </row>
    <row r="2256" customFormat="false" ht="15" hidden="false" customHeight="true" outlineLevel="0" collapsed="false">
      <c r="A2256" s="4" t="s">
        <v>9099</v>
      </c>
      <c r="B2256" s="4" t="s">
        <v>9153</v>
      </c>
      <c r="C2256" s="4" t="s">
        <v>9154</v>
      </c>
      <c r="D2256" s="4" t="s">
        <v>9155</v>
      </c>
      <c r="E2256" s="5" t="n">
        <v>14855</v>
      </c>
      <c r="F2256" s="4" t="n">
        <v>1</v>
      </c>
      <c r="G2256" s="4" t="s">
        <v>9156</v>
      </c>
      <c r="H2256" s="4" t="n">
        <v>32.26849</v>
      </c>
      <c r="I2256" s="4" t="n">
        <v>-107.75481</v>
      </c>
      <c r="J2256" s="4" t="s">
        <v>9157</v>
      </c>
      <c r="K2256" s="6" t="str">
        <f aca="false">HYPERLINK("https://www.google.com/search?q=Marshall+Memorial+Library+Deming+NM+library+website","Search")</f>
        <v>Search</v>
      </c>
      <c r="L2256" s="7"/>
      <c r="M2256" s="7"/>
    </row>
    <row r="2257" customFormat="false" ht="15" hidden="false" customHeight="true" outlineLevel="0" collapsed="false">
      <c r="A2257" s="4" t="s">
        <v>9099</v>
      </c>
      <c r="B2257" s="4" t="s">
        <v>9158</v>
      </c>
      <c r="C2257" s="4" t="s">
        <v>9159</v>
      </c>
      <c r="D2257" s="4" t="s">
        <v>9160</v>
      </c>
      <c r="E2257" s="5" t="n">
        <v>21678</v>
      </c>
      <c r="F2257" s="4" t="n">
        <v>2</v>
      </c>
      <c r="G2257" s="4" t="s">
        <v>9161</v>
      </c>
      <c r="H2257" s="4" t="n">
        <v>35.52545</v>
      </c>
      <c r="I2257" s="4" t="n">
        <v>-108.74125</v>
      </c>
      <c r="J2257" s="4" t="s">
        <v>9162</v>
      </c>
      <c r="K2257" s="6" t="str">
        <f aca="false">HYPERLINK("https://www.google.com/search?q=Octavia+Fellin+Public+Library+Gallup+NM+library+website","Search")</f>
        <v>Search</v>
      </c>
      <c r="L2257" s="7"/>
      <c r="M2257" s="7"/>
    </row>
    <row r="2258" customFormat="false" ht="15" hidden="false" customHeight="true" outlineLevel="0" collapsed="false">
      <c r="A2258" s="4" t="s">
        <v>9099</v>
      </c>
      <c r="B2258" s="4" t="s">
        <v>9163</v>
      </c>
      <c r="C2258" s="4" t="s">
        <v>9164</v>
      </c>
      <c r="D2258" s="4" t="s">
        <v>7855</v>
      </c>
      <c r="E2258" s="5" t="n">
        <v>12280</v>
      </c>
      <c r="F2258" s="4" t="n">
        <v>1</v>
      </c>
      <c r="G2258" s="4" t="s">
        <v>9165</v>
      </c>
      <c r="H2258" s="4" t="n">
        <v>34.18425</v>
      </c>
      <c r="I2258" s="4" t="n">
        <v>-103.33802</v>
      </c>
      <c r="J2258" s="4" t="s">
        <v>9166</v>
      </c>
      <c r="K2258" s="6" t="str">
        <f aca="false">HYPERLINK("https://www.google.com/search?q=Portales+Public+Library+Portales+NM+library+website","Search")</f>
        <v>Search</v>
      </c>
      <c r="L2258" s="7"/>
      <c r="M2258" s="7"/>
    </row>
    <row r="2259" customFormat="false" ht="15" hidden="false" customHeight="true" outlineLevel="0" collapsed="false">
      <c r="A2259" s="4" t="s">
        <v>9099</v>
      </c>
      <c r="B2259" s="4" t="s">
        <v>9167</v>
      </c>
      <c r="C2259" s="4" t="s">
        <v>9168</v>
      </c>
      <c r="D2259" s="4" t="s">
        <v>9169</v>
      </c>
      <c r="E2259" s="5" t="n">
        <v>87521</v>
      </c>
      <c r="F2259" s="4" t="n">
        <v>2</v>
      </c>
      <c r="G2259" s="4" t="s">
        <v>9170</v>
      </c>
      <c r="H2259" s="4" t="n">
        <v>35.26904</v>
      </c>
      <c r="I2259" s="4" t="n">
        <v>-106.66151</v>
      </c>
      <c r="J2259" s="4" t="s">
        <v>9171</v>
      </c>
      <c r="K2259" s="6" t="str">
        <f aca="false">HYPERLINK("https://www.google.com/search?q=Rio+Rancho+Public+Library+Rio+Rancho+NM+library+website","Search")</f>
        <v>Search</v>
      </c>
      <c r="L2259" s="7"/>
      <c r="M2259" s="8" t="str">
        <f aca="false">HYPERLINK("https://riopl.overdrive.com","https://riopl.overdrive.com")</f>
        <v>https://riopl.overdrive.com</v>
      </c>
    </row>
    <row r="2260" customFormat="false" ht="15" hidden="false" customHeight="true" outlineLevel="0" collapsed="false">
      <c r="A2260" s="4" t="s">
        <v>9099</v>
      </c>
      <c r="B2260" s="4" t="s">
        <v>9172</v>
      </c>
      <c r="C2260" s="4" t="s">
        <v>9173</v>
      </c>
      <c r="D2260" s="4" t="s">
        <v>9174</v>
      </c>
      <c r="E2260" s="5" t="n">
        <v>48366</v>
      </c>
      <c r="F2260" s="4" t="n">
        <v>1</v>
      </c>
      <c r="G2260" s="4" t="s">
        <v>9175</v>
      </c>
      <c r="H2260" s="4" t="n">
        <v>33.3959</v>
      </c>
      <c r="I2260" s="4" t="n">
        <v>-104.52599</v>
      </c>
      <c r="J2260" s="4" t="s">
        <v>9176</v>
      </c>
      <c r="K2260" s="6" t="str">
        <f aca="false">HYPERLINK("https://www.google.com/search?q=Roswell+Public+Library+Roswell+NM+library+website","Search")</f>
        <v>Search</v>
      </c>
      <c r="L2260" s="7"/>
      <c r="M2260" s="7"/>
    </row>
    <row r="2261" customFormat="false" ht="15" hidden="false" customHeight="true" outlineLevel="0" collapsed="false">
      <c r="A2261" s="4" t="s">
        <v>9099</v>
      </c>
      <c r="B2261" s="4" t="s">
        <v>9177</v>
      </c>
      <c r="C2261" s="4" t="s">
        <v>9178</v>
      </c>
      <c r="D2261" s="4" t="s">
        <v>9178</v>
      </c>
      <c r="E2261" s="5" t="n">
        <v>67947</v>
      </c>
      <c r="F2261" s="4" t="n">
        <v>3</v>
      </c>
      <c r="G2261" s="4" t="s">
        <v>9179</v>
      </c>
      <c r="H2261" s="4" t="n">
        <v>35.68881</v>
      </c>
      <c r="I2261" s="4" t="n">
        <v>-105.93718</v>
      </c>
      <c r="J2261" s="4" t="s">
        <v>9180</v>
      </c>
      <c r="K2261" s="6" t="str">
        <f aca="false">HYPERLINK("https://www.google.com/search?q=Santa+Fe+Public+Library+Santa+Fe+NM+library+website","Search")</f>
        <v>Search</v>
      </c>
      <c r="L2261" s="7"/>
      <c r="M2261" s="8" t="str">
        <f aca="false">HYPERLINK("https://sanfe.overdrive.com","https://sanfe.overdrive.com")</f>
        <v>https://sanfe.overdrive.com</v>
      </c>
    </row>
    <row r="2262" customFormat="false" ht="15" hidden="false" customHeight="true" outlineLevel="0" collapsed="false">
      <c r="A2262" s="4" t="s">
        <v>9099</v>
      </c>
      <c r="B2262" s="4" t="s">
        <v>9181</v>
      </c>
      <c r="C2262" s="4" t="s">
        <v>9182</v>
      </c>
      <c r="D2262" s="4" t="s">
        <v>4474</v>
      </c>
      <c r="E2262" s="5" t="n">
        <v>10315</v>
      </c>
      <c r="F2262" s="4" t="n">
        <v>1</v>
      </c>
      <c r="G2262" s="4" t="s">
        <v>9183</v>
      </c>
      <c r="H2262" s="4" t="n">
        <v>32.77479</v>
      </c>
      <c r="I2262" s="4" t="n">
        <v>-108.27918</v>
      </c>
      <c r="J2262" s="4" t="s">
        <v>9184</v>
      </c>
      <c r="K2262" s="6" t="str">
        <f aca="false">HYPERLINK("https://www.google.com/search?q=Silver+City+Public+Library+Silver+City+NM+library+website","Search")</f>
        <v>Search</v>
      </c>
      <c r="L2262" s="7"/>
      <c r="M2262" s="7"/>
    </row>
    <row r="2263" customFormat="false" ht="15" hidden="false" customHeight="true" outlineLevel="0" collapsed="false">
      <c r="A2263" s="4" t="s">
        <v>9099</v>
      </c>
      <c r="B2263" s="4" t="s">
        <v>9185</v>
      </c>
      <c r="C2263" s="4" t="s">
        <v>9186</v>
      </c>
      <c r="D2263" s="4" t="s">
        <v>9187</v>
      </c>
      <c r="E2263" s="5" t="n">
        <v>14106</v>
      </c>
      <c r="F2263" s="4" t="n">
        <v>1</v>
      </c>
      <c r="G2263" s="4" t="s">
        <v>9188</v>
      </c>
      <c r="H2263" s="4" t="n">
        <v>31.79577</v>
      </c>
      <c r="I2263" s="4" t="n">
        <v>-106.55615</v>
      </c>
      <c r="J2263" s="4" t="s">
        <v>9189</v>
      </c>
      <c r="K2263" s="6" t="str">
        <f aca="false">HYPERLINK("https://www.google.com/search?q=Sunland+Park+Community+Library+Sunland+Park+NM+library+website","Search")</f>
        <v>Search</v>
      </c>
      <c r="L2263" s="7"/>
      <c r="M2263" s="7"/>
    </row>
    <row r="2264" customFormat="false" ht="15" hidden="false" customHeight="true" outlineLevel="0" collapsed="false">
      <c r="A2264" s="4" t="s">
        <v>9099</v>
      </c>
      <c r="B2264" s="4" t="s">
        <v>9190</v>
      </c>
      <c r="C2264" s="4" t="s">
        <v>9191</v>
      </c>
      <c r="D2264" s="4" t="s">
        <v>9187</v>
      </c>
      <c r="E2264" s="5" t="n">
        <v>97618</v>
      </c>
      <c r="F2264" s="4" t="n">
        <v>3</v>
      </c>
      <c r="G2264" s="4" t="s">
        <v>9192</v>
      </c>
      <c r="H2264" s="4" t="n">
        <v>32.31635</v>
      </c>
      <c r="I2264" s="4" t="n">
        <v>-106.77908</v>
      </c>
      <c r="J2264" s="4" t="s">
        <v>9193</v>
      </c>
      <c r="K2264" s="6" t="str">
        <f aca="false">HYPERLINK("https://www.google.com/search?q=Thomas+Branigan+Memorial+Library+Las+Cruces+NM+library+website","Search")</f>
        <v>Search</v>
      </c>
      <c r="L2264" s="7"/>
      <c r="M2264" s="7"/>
    </row>
    <row r="2265" customFormat="false" ht="15" hidden="false" customHeight="true" outlineLevel="0" collapsed="false">
      <c r="A2265" s="4" t="s">
        <v>9194</v>
      </c>
      <c r="B2265" s="4" t="s">
        <v>9195</v>
      </c>
      <c r="C2265" s="4" t="s">
        <v>9196</v>
      </c>
      <c r="D2265" s="4" t="s">
        <v>501</v>
      </c>
      <c r="E2265" s="5" t="n">
        <v>15189</v>
      </c>
      <c r="F2265" s="4" t="n">
        <v>1</v>
      </c>
      <c r="G2265" s="4" t="s">
        <v>9197</v>
      </c>
      <c r="H2265" s="4" t="n">
        <v>35.96903</v>
      </c>
      <c r="I2265" s="4" t="n">
        <v>-114.82949</v>
      </c>
      <c r="J2265" s="4" t="s">
        <v>9198</v>
      </c>
      <c r="K2265" s="6" t="str">
        <f aca="false">HYPERLINK("https://www.google.com/search?q=Boulder+City+Library+District+Boulder+City+NV+library+website","Search")</f>
        <v>Search</v>
      </c>
      <c r="L2265" s="7"/>
      <c r="M2265" s="7"/>
    </row>
    <row r="2266" customFormat="false" ht="15" hidden="false" customHeight="true" outlineLevel="0" collapsed="false">
      <c r="A2266" s="4" t="s">
        <v>9194</v>
      </c>
      <c r="B2266" s="4" t="s">
        <v>9199</v>
      </c>
      <c r="C2266" s="4" t="s">
        <v>6502</v>
      </c>
      <c r="D2266" s="4" t="s">
        <v>6502</v>
      </c>
      <c r="E2266" s="5" t="n">
        <v>57073</v>
      </c>
      <c r="F2266" s="4" t="n">
        <v>1</v>
      </c>
      <c r="G2266" s="4" t="s">
        <v>9200</v>
      </c>
      <c r="H2266" s="4" t="n">
        <v>39.16924</v>
      </c>
      <c r="I2266" s="4" t="n">
        <v>-119.76164</v>
      </c>
      <c r="J2266" s="4" t="s">
        <v>9201</v>
      </c>
      <c r="K2266" s="6" t="str">
        <f aca="false">HYPERLINK("https://www.google.com/search?q=Carson+City+Library+Carson+City+NV+library+website","Search")</f>
        <v>Search</v>
      </c>
      <c r="L2266" s="7"/>
      <c r="M2266" s="7"/>
    </row>
    <row r="2267" customFormat="false" ht="15" hidden="false" customHeight="true" outlineLevel="0" collapsed="false">
      <c r="A2267" s="4" t="s">
        <v>9194</v>
      </c>
      <c r="B2267" s="4" t="s">
        <v>9202</v>
      </c>
      <c r="C2267" s="4" t="s">
        <v>9203</v>
      </c>
      <c r="D2267" s="4" t="s">
        <v>9204</v>
      </c>
      <c r="E2267" s="5" t="n">
        <v>26310</v>
      </c>
      <c r="F2267" s="4" t="n">
        <v>1</v>
      </c>
      <c r="G2267" s="4" t="s">
        <v>9205</v>
      </c>
      <c r="H2267" s="4" t="n">
        <v>39.46962</v>
      </c>
      <c r="I2267" s="4" t="n">
        <v>-118.7771</v>
      </c>
      <c r="J2267" s="4" t="s">
        <v>9206</v>
      </c>
      <c r="K2267" s="6" t="str">
        <f aca="false">HYPERLINK("https://www.google.com/search?q=Churchill+County+Library+Fallon+NV+library+website","Search")</f>
        <v>Search</v>
      </c>
      <c r="L2267" s="7"/>
      <c r="M2267" s="7"/>
    </row>
    <row r="2268" customFormat="false" ht="15" hidden="false" customHeight="true" outlineLevel="0" collapsed="false">
      <c r="A2268" s="4" t="s">
        <v>9194</v>
      </c>
      <c r="B2268" s="4" t="s">
        <v>7395</v>
      </c>
      <c r="C2268" s="4" t="s">
        <v>5451</v>
      </c>
      <c r="D2268" s="4" t="s">
        <v>719</v>
      </c>
      <c r="E2268" s="5" t="n">
        <v>49661</v>
      </c>
      <c r="F2268" s="4" t="n">
        <v>2</v>
      </c>
      <c r="G2268" s="4" t="s">
        <v>9207</v>
      </c>
      <c r="H2268" s="4" t="n">
        <v>38.95522</v>
      </c>
      <c r="I2268" s="4" t="n">
        <v>-119.77753</v>
      </c>
      <c r="J2268" s="4" t="s">
        <v>9208</v>
      </c>
      <c r="K2268" s="6" t="str">
        <f aca="false">HYPERLINK("https://www.google.com/search?q=Douglas+County+Public+Library+Minden+NV+library+website","Search")</f>
        <v>Search</v>
      </c>
      <c r="L2268" s="7"/>
      <c r="M2268" s="7"/>
    </row>
    <row r="2269" customFormat="false" ht="15" hidden="false" customHeight="true" outlineLevel="0" collapsed="false">
      <c r="A2269" s="4" t="s">
        <v>9194</v>
      </c>
      <c r="B2269" s="4" t="s">
        <v>9209</v>
      </c>
      <c r="C2269" s="4" t="s">
        <v>9210</v>
      </c>
      <c r="D2269" s="4" t="s">
        <v>9210</v>
      </c>
      <c r="E2269" s="5" t="n">
        <v>62639</v>
      </c>
      <c r="F2269" s="4" t="n">
        <v>10</v>
      </c>
      <c r="G2269" s="4" t="s">
        <v>9211</v>
      </c>
      <c r="H2269" s="4" t="n">
        <v>40.83508</v>
      </c>
      <c r="I2269" s="4" t="n">
        <v>-115.76173</v>
      </c>
      <c r="J2269" s="4" t="s">
        <v>9212</v>
      </c>
      <c r="K2269" s="6" t="str">
        <f aca="false">HYPERLINK("https://www.google.com/search?q=Elko-Lander-Eureka+County+Library+System+Elko+NV+library+website","Search")</f>
        <v>Search</v>
      </c>
      <c r="L2269" s="7"/>
      <c r="M2269" s="7"/>
    </row>
    <row r="2270" customFormat="false" ht="15" hidden="false" customHeight="true" outlineLevel="0" collapsed="false">
      <c r="A2270" s="4" t="s">
        <v>9194</v>
      </c>
      <c r="B2270" s="4" t="s">
        <v>9213</v>
      </c>
      <c r="C2270" s="4" t="s">
        <v>4969</v>
      </c>
      <c r="D2270" s="4" t="s">
        <v>501</v>
      </c>
      <c r="E2270" s="5" t="n">
        <v>330561</v>
      </c>
      <c r="F2270" s="4" t="n">
        <v>4</v>
      </c>
      <c r="G2270" s="4" t="s">
        <v>9214</v>
      </c>
      <c r="H2270" s="4" t="n">
        <v>36.01755</v>
      </c>
      <c r="I2270" s="4" t="n">
        <v>-115.07992</v>
      </c>
      <c r="J2270" s="4" t="s">
        <v>9215</v>
      </c>
      <c r="K2270" s="6" t="str">
        <f aca="false">HYPERLINK("https://www.google.com/search?q=Henderson+District+Public+Libraries+Henderson+NV+library+website","Search")</f>
        <v>Search</v>
      </c>
      <c r="L2270" s="7"/>
      <c r="M2270" s="8" t="str">
        <f aca="false">HYPERLINK("https://hendersonlibraries.overdrive.com","https://hendersonlibraries.overdrive.com")</f>
        <v>https://hendersonlibraries.overdrive.com</v>
      </c>
    </row>
    <row r="2271" customFormat="false" ht="15" hidden="false" customHeight="true" outlineLevel="0" collapsed="false">
      <c r="A2271" s="4" t="s">
        <v>9194</v>
      </c>
      <c r="B2271" s="4" t="s">
        <v>1080</v>
      </c>
      <c r="C2271" s="4" t="s">
        <v>9216</v>
      </c>
      <c r="D2271" s="4" t="s">
        <v>1082</v>
      </c>
      <c r="E2271" s="5" t="n">
        <v>17202</v>
      </c>
      <c r="F2271" s="4" t="n">
        <v>3</v>
      </c>
      <c r="G2271" s="4" t="s">
        <v>9217</v>
      </c>
      <c r="H2271" s="4" t="n">
        <v>40.97259</v>
      </c>
      <c r="I2271" s="4" t="n">
        <v>-117.73235</v>
      </c>
      <c r="J2271" s="4" t="s">
        <v>9218</v>
      </c>
      <c r="K2271" s="6" t="str">
        <f aca="false">HYPERLINK("https://www.google.com/search?q=Humboldt+County+Library+Winnemucca+NV+library+website","Search")</f>
        <v>Search</v>
      </c>
      <c r="L2271" s="7"/>
      <c r="M2271" s="7"/>
    </row>
    <row r="2272" customFormat="false" ht="15" hidden="false" customHeight="true" outlineLevel="0" collapsed="false">
      <c r="A2272" s="4" t="s">
        <v>9194</v>
      </c>
      <c r="B2272" s="4" t="s">
        <v>9219</v>
      </c>
      <c r="C2272" s="4" t="s">
        <v>9118</v>
      </c>
      <c r="D2272" s="4" t="s">
        <v>501</v>
      </c>
      <c r="E2272" s="5" t="n">
        <v>1699068</v>
      </c>
      <c r="F2272" s="4" t="n">
        <v>25</v>
      </c>
      <c r="G2272" s="4" t="s">
        <v>9220</v>
      </c>
      <c r="H2272" s="4" t="n">
        <v>36.04123</v>
      </c>
      <c r="I2272" s="4" t="n">
        <v>-115.24629</v>
      </c>
      <c r="J2272" s="4" t="s">
        <v>9221</v>
      </c>
      <c r="K2272" s="6" t="str">
        <f aca="false">HYPERLINK("https://www.google.com/search?q=Las+Vegas-Clark+County+Library+District+Las+Vegas+NV+library+website","Search")</f>
        <v>Search</v>
      </c>
      <c r="L2272" s="7"/>
      <c r="M2272" s="8" t="str">
        <f aca="false">HYPERLINK("https://lasvegas.overdrive.com","https://lasvegas.overdrive.com")</f>
        <v>https://lasvegas.overdrive.com</v>
      </c>
    </row>
    <row r="2273" customFormat="false" ht="15" hidden="false" customHeight="true" outlineLevel="0" collapsed="false">
      <c r="A2273" s="4" t="s">
        <v>9194</v>
      </c>
      <c r="B2273" s="4" t="s">
        <v>9222</v>
      </c>
      <c r="C2273" s="4" t="s">
        <v>9223</v>
      </c>
      <c r="D2273" s="4" t="s">
        <v>4711</v>
      </c>
      <c r="E2273" s="5" t="n">
        <v>58051</v>
      </c>
      <c r="F2273" s="4" t="n">
        <v>5</v>
      </c>
      <c r="G2273" s="4" t="s">
        <v>9224</v>
      </c>
      <c r="H2273" s="4" t="n">
        <v>38.99517</v>
      </c>
      <c r="I2273" s="4" t="n">
        <v>-119.16174</v>
      </c>
      <c r="J2273" s="4" t="s">
        <v>9225</v>
      </c>
      <c r="K2273" s="6" t="str">
        <f aca="false">HYPERLINK("https://www.google.com/search?q=Lyon+County+Library+System+Yerington+NV+library+website","Search")</f>
        <v>Search</v>
      </c>
      <c r="L2273" s="7"/>
      <c r="M2273" s="7"/>
    </row>
    <row r="2274" customFormat="false" ht="15" hidden="false" customHeight="true" outlineLevel="0" collapsed="false">
      <c r="A2274" s="4" t="s">
        <v>9194</v>
      </c>
      <c r="B2274" s="4" t="s">
        <v>9226</v>
      </c>
      <c r="C2274" s="4" t="s">
        <v>9227</v>
      </c>
      <c r="D2274" s="4" t="s">
        <v>501</v>
      </c>
      <c r="E2274" s="5" t="n">
        <v>275733</v>
      </c>
      <c r="F2274" s="4" t="n">
        <v>3</v>
      </c>
      <c r="G2274" s="4" t="s">
        <v>9228</v>
      </c>
      <c r="H2274" s="4" t="n">
        <v>36.20068</v>
      </c>
      <c r="I2274" s="4" t="n">
        <v>-115.12223</v>
      </c>
      <c r="J2274" s="4" t="s">
        <v>9229</v>
      </c>
      <c r="K2274" s="6" t="str">
        <f aca="false">HYPERLINK("https://www.google.com/search?q=North+Las+Vegas+Library+District+North+Las+Vegas+NV+library+website","Search")</f>
        <v>Search</v>
      </c>
      <c r="L2274" s="7"/>
      <c r="M2274" s="7"/>
    </row>
    <row r="2275" customFormat="false" ht="15" hidden="false" customHeight="true" outlineLevel="0" collapsed="false">
      <c r="A2275" s="4" t="s">
        <v>9194</v>
      </c>
      <c r="B2275" s="4" t="s">
        <v>9230</v>
      </c>
      <c r="C2275" s="4" t="s">
        <v>9231</v>
      </c>
      <c r="D2275" s="4" t="s">
        <v>9232</v>
      </c>
      <c r="E2275" s="5" t="n">
        <v>41940</v>
      </c>
      <c r="F2275" s="4" t="n">
        <v>1</v>
      </c>
      <c r="G2275" s="4" t="s">
        <v>9233</v>
      </c>
      <c r="H2275" s="4" t="n">
        <v>36.20972</v>
      </c>
      <c r="I2275" s="4" t="n">
        <v>-115.99176</v>
      </c>
      <c r="J2275" s="4" t="s">
        <v>9234</v>
      </c>
      <c r="K2275" s="6" t="str">
        <f aca="false">HYPERLINK("https://www.google.com/search?q=Pahrump+Community+Library+Pahrump+NV+library+website","Search")</f>
        <v>Search</v>
      </c>
      <c r="L2275" s="7"/>
      <c r="M2275" s="7"/>
    </row>
    <row r="2276" customFormat="false" ht="15" hidden="false" customHeight="true" outlineLevel="0" collapsed="false">
      <c r="A2276" s="4" t="s">
        <v>9194</v>
      </c>
      <c r="B2276" s="4" t="s">
        <v>9235</v>
      </c>
      <c r="C2276" s="4" t="s">
        <v>4734</v>
      </c>
      <c r="D2276" s="4" t="s">
        <v>9236</v>
      </c>
      <c r="E2276" s="5" t="n">
        <v>485113</v>
      </c>
      <c r="F2276" s="4" t="n">
        <v>12</v>
      </c>
      <c r="G2276" s="4" t="s">
        <v>9237</v>
      </c>
      <c r="H2276" s="4" t="n">
        <v>39.52266</v>
      </c>
      <c r="I2276" s="4" t="n">
        <v>-119.81012</v>
      </c>
      <c r="J2276" s="4" t="s">
        <v>9238</v>
      </c>
      <c r="K2276" s="6" t="str">
        <f aca="false">HYPERLINK("https://www.google.com/search?q=Washoe+County+Library+System+Reno+NV+library+website","Search")</f>
        <v>Search</v>
      </c>
      <c r="L2276" s="7"/>
      <c r="M2276" s="8" t="str">
        <f aca="false">HYPERLINK("https://washoecounty.overdrive.com","https://washoecounty.overdrive.com")</f>
        <v>https://washoecounty.overdrive.com</v>
      </c>
    </row>
    <row r="2277" customFormat="false" ht="15" hidden="false" customHeight="true" outlineLevel="0" collapsed="false">
      <c r="A2277" s="4" t="s">
        <v>9194</v>
      </c>
      <c r="B2277" s="4" t="s">
        <v>9239</v>
      </c>
      <c r="C2277" s="4" t="s">
        <v>9240</v>
      </c>
      <c r="D2277" s="4" t="s">
        <v>9241</v>
      </c>
      <c r="E2277" s="5" t="n">
        <v>10293</v>
      </c>
      <c r="F2277" s="4" t="n">
        <v>1</v>
      </c>
      <c r="G2277" s="4" t="s">
        <v>9242</v>
      </c>
      <c r="H2277" s="4" t="n">
        <v>39.24793</v>
      </c>
      <c r="I2277" s="4" t="n">
        <v>-114.88805</v>
      </c>
      <c r="J2277" s="4" t="s">
        <v>9243</v>
      </c>
      <c r="K2277" s="6" t="str">
        <f aca="false">HYPERLINK("https://www.google.com/search?q=White+Pine+County+Library+Ely+NV+library+website","Search")</f>
        <v>Search</v>
      </c>
      <c r="L2277" s="7"/>
      <c r="M2277" s="7"/>
    </row>
    <row r="2278" customFormat="false" ht="15" hidden="false" customHeight="true" outlineLevel="0" collapsed="false">
      <c r="A2278" s="4" t="s">
        <v>9244</v>
      </c>
      <c r="B2278" s="4" t="s">
        <v>9245</v>
      </c>
      <c r="C2278" s="4" t="s">
        <v>2671</v>
      </c>
      <c r="D2278" s="4" t="s">
        <v>2671</v>
      </c>
      <c r="E2278" s="5" t="n">
        <v>99224</v>
      </c>
      <c r="F2278" s="4" t="n">
        <v>7</v>
      </c>
      <c r="G2278" s="4" t="s">
        <v>9246</v>
      </c>
      <c r="H2278" s="4" t="n">
        <v>42.6566</v>
      </c>
      <c r="I2278" s="4" t="n">
        <v>-73.76212</v>
      </c>
      <c r="J2278" s="4" t="s">
        <v>9247</v>
      </c>
      <c r="K2278" s="6" t="str">
        <f aca="false">HYPERLINK("https://www.google.com/search?q=Albany+Public+Library+Albany+NY+library+website","Search")</f>
        <v>Search</v>
      </c>
      <c r="L2278" s="7"/>
      <c r="M2278" s="7"/>
    </row>
    <row r="2279" customFormat="false" ht="15" hidden="false" customHeight="true" outlineLevel="0" collapsed="false">
      <c r="A2279" s="4" t="s">
        <v>9244</v>
      </c>
      <c r="B2279" s="4" t="s">
        <v>9248</v>
      </c>
      <c r="C2279" s="4" t="s">
        <v>9249</v>
      </c>
      <c r="D2279" s="4" t="s">
        <v>885</v>
      </c>
      <c r="E2279" s="5" t="n">
        <v>23453</v>
      </c>
      <c r="F2279" s="4" t="n">
        <v>1</v>
      </c>
      <c r="G2279" s="4" t="s">
        <v>9250</v>
      </c>
      <c r="H2279" s="4" t="n">
        <v>41.25349</v>
      </c>
      <c r="I2279" s="4" t="n">
        <v>-74.34777</v>
      </c>
      <c r="J2279" s="4" t="s">
        <v>9251</v>
      </c>
      <c r="K2279" s="6" t="str">
        <f aca="false">HYPERLINK("https://www.google.com/search?q=Albert+Wisner+Public+Library+Warwick+NY+library+website","Search")</f>
        <v>Search</v>
      </c>
      <c r="L2279" s="7"/>
      <c r="M2279" s="7"/>
    </row>
    <row r="2280" customFormat="false" ht="15" hidden="false" customHeight="true" outlineLevel="0" collapsed="false">
      <c r="A2280" s="4" t="s">
        <v>9244</v>
      </c>
      <c r="B2280" s="4" t="s">
        <v>9252</v>
      </c>
      <c r="C2280" s="4" t="s">
        <v>5767</v>
      </c>
      <c r="D2280" s="4" t="s">
        <v>9253</v>
      </c>
      <c r="E2280" s="5" t="n">
        <v>129595</v>
      </c>
      <c r="F2280" s="4" t="n">
        <v>4</v>
      </c>
      <c r="G2280" s="4" t="s">
        <v>9254</v>
      </c>
      <c r="H2280" s="4" t="n">
        <v>43.01598</v>
      </c>
      <c r="I2280" s="4" t="n">
        <v>-78.78196</v>
      </c>
      <c r="J2280" s="4" t="s">
        <v>9255</v>
      </c>
      <c r="K2280" s="6" t="str">
        <f aca="false">HYPERLINK("https://www.google.com/search?q=Amherst+Public+Library+Amherst+NY+library+website","Search")</f>
        <v>Search</v>
      </c>
      <c r="L2280" s="7"/>
      <c r="M2280" s="7"/>
    </row>
    <row r="2281" customFormat="false" ht="15" hidden="false" customHeight="true" outlineLevel="0" collapsed="false">
      <c r="A2281" s="4" t="s">
        <v>9244</v>
      </c>
      <c r="B2281" s="4" t="s">
        <v>9256</v>
      </c>
      <c r="C2281" s="4" t="s">
        <v>9257</v>
      </c>
      <c r="D2281" s="4" t="s">
        <v>5553</v>
      </c>
      <c r="E2281" s="5" t="n">
        <v>27482</v>
      </c>
      <c r="F2281" s="4" t="n">
        <v>1</v>
      </c>
      <c r="G2281" s="4" t="s">
        <v>9258</v>
      </c>
      <c r="H2281" s="4" t="n">
        <v>40.67958</v>
      </c>
      <c r="I2281" s="4" t="n">
        <v>-73.41916</v>
      </c>
      <c r="J2281" s="4" t="s">
        <v>9259</v>
      </c>
      <c r="K2281" s="6" t="str">
        <f aca="false">HYPERLINK("https://www.google.com/search?q=Amityville+Public+Library+Amityville+NY+library+website","Search")</f>
        <v>Search</v>
      </c>
      <c r="L2281" s="7"/>
      <c r="M2281" s="7"/>
    </row>
    <row r="2282" customFormat="false" ht="15" hidden="false" customHeight="true" outlineLevel="0" collapsed="false">
      <c r="A2282" s="4" t="s">
        <v>9244</v>
      </c>
      <c r="B2282" s="4" t="s">
        <v>9260</v>
      </c>
      <c r="C2282" s="4" t="s">
        <v>9261</v>
      </c>
      <c r="D2282" s="4" t="s">
        <v>315</v>
      </c>
      <c r="E2282" s="5" t="n">
        <v>23776</v>
      </c>
      <c r="F2282" s="4" t="n">
        <v>1</v>
      </c>
      <c r="G2282" s="4" t="s">
        <v>9262</v>
      </c>
      <c r="H2282" s="4" t="n">
        <v>42.93763</v>
      </c>
      <c r="I2282" s="4" t="n">
        <v>-74.19077</v>
      </c>
      <c r="J2282" s="4" t="s">
        <v>9263</v>
      </c>
      <c r="K2282" s="6" t="str">
        <f aca="false">HYPERLINK("https://www.google.com/search?q=Amsterdam+Free+Library+Amsterdam+NY+library+website","Search")</f>
        <v>Search</v>
      </c>
      <c r="L2282" s="7"/>
      <c r="M2282" s="7"/>
    </row>
    <row r="2283" customFormat="false" ht="15" hidden="false" customHeight="true" outlineLevel="0" collapsed="false">
      <c r="A2283" s="4" t="s">
        <v>9244</v>
      </c>
      <c r="B2283" s="4" t="s">
        <v>9264</v>
      </c>
      <c r="C2283" s="4" t="s">
        <v>9265</v>
      </c>
      <c r="D2283" s="4" t="s">
        <v>9253</v>
      </c>
      <c r="E2283" s="5" t="n">
        <v>13943</v>
      </c>
      <c r="F2283" s="4" t="n">
        <v>1</v>
      </c>
      <c r="G2283" s="4" t="s">
        <v>9266</v>
      </c>
      <c r="H2283" s="4" t="n">
        <v>42.76823</v>
      </c>
      <c r="I2283" s="4" t="n">
        <v>-78.6143</v>
      </c>
      <c r="J2283" s="4" t="s">
        <v>9267</v>
      </c>
      <c r="K2283" s="6" t="str">
        <f aca="false">HYPERLINK("https://www.google.com/search?q=Aurora+Town+Public+Library+East+Aurora+NY+library+website","Search")</f>
        <v>Search</v>
      </c>
      <c r="L2283" s="7"/>
      <c r="M2283" s="7"/>
    </row>
    <row r="2284" customFormat="false" ht="15" hidden="false" customHeight="true" outlineLevel="0" collapsed="false">
      <c r="A2284" s="4" t="s">
        <v>9244</v>
      </c>
      <c r="B2284" s="4" t="s">
        <v>9268</v>
      </c>
      <c r="C2284" s="4" t="s">
        <v>9269</v>
      </c>
      <c r="D2284" s="4" t="s">
        <v>5553</v>
      </c>
      <c r="E2284" s="5" t="n">
        <v>11890</v>
      </c>
      <c r="F2284" s="4" t="n">
        <v>1</v>
      </c>
      <c r="G2284" s="4" t="s">
        <v>9270</v>
      </c>
      <c r="H2284" s="4" t="n">
        <v>40.69499</v>
      </c>
      <c r="I2284" s="4" t="n">
        <v>-73.32595</v>
      </c>
      <c r="J2284" s="4" t="s">
        <v>9271</v>
      </c>
      <c r="K2284" s="6" t="str">
        <f aca="false">HYPERLINK("https://www.google.com/search?q=Babylon+School+District+Public+Library+Babylon+NY+library+website","Search")</f>
        <v>Search</v>
      </c>
      <c r="L2284" s="7"/>
      <c r="M2284" s="7"/>
    </row>
    <row r="2285" customFormat="false" ht="15" hidden="false" customHeight="true" outlineLevel="0" collapsed="false">
      <c r="A2285" s="4" t="s">
        <v>9244</v>
      </c>
      <c r="B2285" s="4" t="s">
        <v>6427</v>
      </c>
      <c r="C2285" s="4" t="s">
        <v>93</v>
      </c>
      <c r="D2285" s="4" t="s">
        <v>2451</v>
      </c>
      <c r="E2285" s="5" t="n">
        <v>34404</v>
      </c>
      <c r="F2285" s="4" t="n">
        <v>1</v>
      </c>
      <c r="G2285" s="4" t="s">
        <v>9272</v>
      </c>
      <c r="H2285" s="4" t="n">
        <v>40.65222</v>
      </c>
      <c r="I2285" s="4" t="n">
        <v>-73.61125</v>
      </c>
      <c r="J2285" s="4" t="s">
        <v>9273</v>
      </c>
      <c r="K2285" s="6" t="str">
        <f aca="false">HYPERLINK("https://www.google.com/search?q=Baldwin+Public+Library+Baldwin+NY+library+website","Search")</f>
        <v>Search</v>
      </c>
      <c r="L2285" s="7"/>
      <c r="M2285" s="7"/>
    </row>
    <row r="2286" customFormat="false" ht="15" hidden="false" customHeight="true" outlineLevel="0" collapsed="false">
      <c r="A2286" s="4" t="s">
        <v>9244</v>
      </c>
      <c r="B2286" s="4" t="s">
        <v>9274</v>
      </c>
      <c r="C2286" s="4" t="s">
        <v>9275</v>
      </c>
      <c r="D2286" s="4" t="s">
        <v>9276</v>
      </c>
      <c r="E2286" s="5" t="n">
        <v>37816</v>
      </c>
      <c r="F2286" s="4" t="n">
        <v>1</v>
      </c>
      <c r="G2286" s="4" t="s">
        <v>9277</v>
      </c>
      <c r="H2286" s="4" t="n">
        <v>43.15912</v>
      </c>
      <c r="I2286" s="4" t="n">
        <v>-76.32935</v>
      </c>
      <c r="J2286" s="4" t="s">
        <v>9278</v>
      </c>
      <c r="K2286" s="6" t="str">
        <f aca="false">HYPERLINK("https://www.google.com/search?q=Baldwinsville+Public+Library+Baldwinsville+NY+library+website","Search")</f>
        <v>Search</v>
      </c>
      <c r="L2286" s="7"/>
      <c r="M2286" s="7"/>
    </row>
    <row r="2287" customFormat="false" ht="15" hidden="false" customHeight="true" outlineLevel="0" collapsed="false">
      <c r="A2287" s="4" t="s">
        <v>9244</v>
      </c>
      <c r="B2287" s="4" t="s">
        <v>9279</v>
      </c>
      <c r="C2287" s="4" t="s">
        <v>9280</v>
      </c>
      <c r="D2287" s="4" t="s">
        <v>9281</v>
      </c>
      <c r="E2287" s="5" t="n">
        <v>10780</v>
      </c>
      <c r="F2287" s="4" t="n">
        <v>1</v>
      </c>
      <c r="G2287" s="4" t="s">
        <v>9282</v>
      </c>
      <c r="H2287" s="4" t="n">
        <v>42.90955</v>
      </c>
      <c r="I2287" s="4" t="n">
        <v>-73.89082</v>
      </c>
      <c r="J2287" s="4" t="s">
        <v>9283</v>
      </c>
      <c r="K2287" s="6" t="str">
        <f aca="false">HYPERLINK("https://www.google.com/search?q=Ballston+Community+Public+Library+Burnt+Hills+NY+library+website","Search")</f>
        <v>Search</v>
      </c>
      <c r="L2287" s="7"/>
      <c r="M2287" s="7"/>
    </row>
    <row r="2288" customFormat="false" ht="15" hidden="false" customHeight="true" outlineLevel="0" collapsed="false">
      <c r="A2288" s="4" t="s">
        <v>9244</v>
      </c>
      <c r="B2288" s="4" t="s">
        <v>9284</v>
      </c>
      <c r="C2288" s="4" t="s">
        <v>9285</v>
      </c>
      <c r="D2288" s="4" t="s">
        <v>5553</v>
      </c>
      <c r="E2288" s="5" t="n">
        <v>35336</v>
      </c>
      <c r="F2288" s="4" t="n">
        <v>1</v>
      </c>
      <c r="G2288" s="4" t="s">
        <v>9286</v>
      </c>
      <c r="H2288" s="4" t="n">
        <v>40.7134</v>
      </c>
      <c r="I2288" s="4" t="n">
        <v>-73.25775</v>
      </c>
      <c r="J2288" s="4" t="s">
        <v>9287</v>
      </c>
      <c r="K2288" s="6" t="str">
        <f aca="false">HYPERLINK("https://www.google.com/search?q=Bay+Shore-Brightwaters+Public+Library+Brightwaters+NY+library+website","Search")</f>
        <v>Search</v>
      </c>
      <c r="L2288" s="7"/>
      <c r="M2288" s="7"/>
    </row>
    <row r="2289" customFormat="false" ht="15" hidden="false" customHeight="true" outlineLevel="0" collapsed="false">
      <c r="A2289" s="4" t="s">
        <v>9244</v>
      </c>
      <c r="B2289" s="4" t="s">
        <v>9288</v>
      </c>
      <c r="C2289" s="4" t="s">
        <v>9289</v>
      </c>
      <c r="D2289" s="4" t="s">
        <v>5553</v>
      </c>
      <c r="E2289" s="5" t="n">
        <v>13836</v>
      </c>
      <c r="F2289" s="4" t="n">
        <v>1</v>
      </c>
      <c r="G2289" s="4" t="s">
        <v>9290</v>
      </c>
      <c r="H2289" s="4" t="n">
        <v>40.74318</v>
      </c>
      <c r="I2289" s="4" t="n">
        <v>-73.03557</v>
      </c>
      <c r="J2289" s="4" t="s">
        <v>9291</v>
      </c>
      <c r="K2289" s="6" t="str">
        <f aca="false">HYPERLINK("https://www.google.com/search?q=Bayport-Blue+Point+Public+Library+Blue+Point+NY+library+website","Search")</f>
        <v>Search</v>
      </c>
      <c r="L2289" s="7"/>
      <c r="M2289" s="7"/>
    </row>
    <row r="2290" customFormat="false" ht="15" hidden="false" customHeight="true" outlineLevel="0" collapsed="false">
      <c r="A2290" s="4" t="s">
        <v>9244</v>
      </c>
      <c r="B2290" s="4" t="s">
        <v>9292</v>
      </c>
      <c r="C2290" s="4" t="s">
        <v>9293</v>
      </c>
      <c r="D2290" s="4" t="s">
        <v>9294</v>
      </c>
      <c r="E2290" s="5" t="n">
        <v>14172</v>
      </c>
      <c r="F2290" s="4" t="n">
        <v>1</v>
      </c>
      <c r="G2290" s="4" t="s">
        <v>9295</v>
      </c>
      <c r="H2290" s="4" t="n">
        <v>41.631</v>
      </c>
      <c r="I2290" s="4" t="n">
        <v>-73.69287</v>
      </c>
      <c r="J2290" s="4" t="s">
        <v>9296</v>
      </c>
      <c r="K2290" s="6" t="str">
        <f aca="false">HYPERLINK("https://www.google.com/search?q=Beekman+Library+Hopewell+Junction+NY+library+website","Search")</f>
        <v>Search</v>
      </c>
      <c r="L2290" s="7"/>
      <c r="M2290" s="7"/>
    </row>
    <row r="2291" customFormat="false" ht="15" hidden="false" customHeight="true" outlineLevel="0" collapsed="false">
      <c r="A2291" s="4" t="s">
        <v>9244</v>
      </c>
      <c r="B2291" s="4" t="s">
        <v>9297</v>
      </c>
      <c r="C2291" s="4" t="s">
        <v>9298</v>
      </c>
      <c r="D2291" s="4" t="s">
        <v>2451</v>
      </c>
      <c r="E2291" s="5" t="n">
        <v>12682</v>
      </c>
      <c r="F2291" s="4" t="n">
        <v>1</v>
      </c>
      <c r="G2291" s="4" t="s">
        <v>9299</v>
      </c>
      <c r="H2291" s="4" t="n">
        <v>40.66772</v>
      </c>
      <c r="I2291" s="4" t="n">
        <v>-73.52717</v>
      </c>
      <c r="J2291" s="4" t="s">
        <v>9300</v>
      </c>
      <c r="K2291" s="6" t="str">
        <f aca="false">HYPERLINK("https://www.google.com/search?q=Bellmore+Memorial+Library+Bellmore+NY+library+website","Search")</f>
        <v>Search</v>
      </c>
      <c r="L2291" s="7"/>
      <c r="M2291" s="7"/>
    </row>
    <row r="2292" customFormat="false" ht="15" hidden="false" customHeight="true" outlineLevel="0" collapsed="false">
      <c r="A2292" s="4" t="s">
        <v>9244</v>
      </c>
      <c r="B2292" s="4" t="s">
        <v>9301</v>
      </c>
      <c r="C2292" s="4" t="s">
        <v>9302</v>
      </c>
      <c r="D2292" s="4" t="s">
        <v>2671</v>
      </c>
      <c r="E2292" s="5" t="n">
        <v>28631</v>
      </c>
      <c r="F2292" s="4" t="n">
        <v>1</v>
      </c>
      <c r="G2292" s="4" t="s">
        <v>9303</v>
      </c>
      <c r="H2292" s="4" t="n">
        <v>42.61969</v>
      </c>
      <c r="I2292" s="4" t="n">
        <v>-73.84121</v>
      </c>
      <c r="J2292" s="4" t="s">
        <v>9304</v>
      </c>
      <c r="K2292" s="6" t="str">
        <f aca="false">HYPERLINK("https://www.google.com/search?q=Bethlehem+Public+Library+Delmar+NY+library+website","Search")</f>
        <v>Search</v>
      </c>
      <c r="L2292" s="7"/>
      <c r="M2292" s="7"/>
    </row>
    <row r="2293" customFormat="false" ht="15" hidden="false" customHeight="true" outlineLevel="0" collapsed="false">
      <c r="A2293" s="4" t="s">
        <v>9244</v>
      </c>
      <c r="B2293" s="4" t="s">
        <v>9305</v>
      </c>
      <c r="C2293" s="4" t="s">
        <v>9306</v>
      </c>
      <c r="D2293" s="4" t="s">
        <v>2451</v>
      </c>
      <c r="E2293" s="5" t="n">
        <v>19537</v>
      </c>
      <c r="F2293" s="4" t="n">
        <v>1</v>
      </c>
      <c r="G2293" s="4" t="s">
        <v>9307</v>
      </c>
      <c r="H2293" s="4" t="n">
        <v>40.74267</v>
      </c>
      <c r="I2293" s="4" t="n">
        <v>-73.4782</v>
      </c>
      <c r="J2293" s="4" t="s">
        <v>9308</v>
      </c>
      <c r="K2293" s="6" t="str">
        <f aca="false">HYPERLINK("https://www.google.com/search?q=Bethpage+Public+Library+Bethpage+NY+library+website","Search")</f>
        <v>Search</v>
      </c>
      <c r="L2293" s="7"/>
      <c r="M2293" s="7"/>
    </row>
    <row r="2294" customFormat="false" ht="15" hidden="false" customHeight="true" outlineLevel="0" collapsed="false">
      <c r="A2294" s="4" t="s">
        <v>9244</v>
      </c>
      <c r="B2294" s="4" t="s">
        <v>9309</v>
      </c>
      <c r="C2294" s="4" t="s">
        <v>9310</v>
      </c>
      <c r="D2294" s="4" t="s">
        <v>9294</v>
      </c>
      <c r="E2294" s="5" t="n">
        <v>12972</v>
      </c>
      <c r="F2294" s="4" t="n">
        <v>1</v>
      </c>
      <c r="G2294" s="4" t="s">
        <v>9311</v>
      </c>
      <c r="H2294" s="4" t="n">
        <v>41.53382</v>
      </c>
      <c r="I2294" s="4" t="n">
        <v>-73.90224</v>
      </c>
      <c r="J2294" s="4" t="s">
        <v>9312</v>
      </c>
      <c r="K2294" s="6" t="str">
        <f aca="false">HYPERLINK("https://www.google.com/search?q=Blodgett+Memorial+Library+District+Of+Fishkill+Fishkill+NY+library+website","Search")</f>
        <v>Search</v>
      </c>
      <c r="L2294" s="7"/>
      <c r="M2294" s="7"/>
    </row>
    <row r="2295" customFormat="false" ht="15" hidden="false" customHeight="true" outlineLevel="0" collapsed="false">
      <c r="A2295" s="4" t="s">
        <v>9244</v>
      </c>
      <c r="B2295" s="4" t="s">
        <v>9313</v>
      </c>
      <c r="C2295" s="4" t="s">
        <v>5552</v>
      </c>
      <c r="D2295" s="4" t="s">
        <v>9253</v>
      </c>
      <c r="E2295" s="5" t="n">
        <v>11069</v>
      </c>
      <c r="F2295" s="4" t="n">
        <v>1</v>
      </c>
      <c r="G2295" s="4" t="s">
        <v>9314</v>
      </c>
      <c r="H2295" s="4" t="n">
        <v>42.62616</v>
      </c>
      <c r="I2295" s="4" t="n">
        <v>-78.73278</v>
      </c>
      <c r="J2295" s="4" t="s">
        <v>9315</v>
      </c>
      <c r="K2295" s="6" t="str">
        <f aca="false">HYPERLINK("https://www.google.com/search?q=Boston+Free+Library+Boston+NY+library+website","Search")</f>
        <v>Search</v>
      </c>
      <c r="L2295" s="7"/>
      <c r="M2295" s="7"/>
    </row>
    <row r="2296" customFormat="false" ht="15" hidden="false" customHeight="true" outlineLevel="0" collapsed="false">
      <c r="A2296" s="4" t="s">
        <v>9244</v>
      </c>
      <c r="B2296" s="4" t="s">
        <v>9316</v>
      </c>
      <c r="C2296" s="4" t="s">
        <v>9317</v>
      </c>
      <c r="D2296" s="4" t="s">
        <v>5553</v>
      </c>
      <c r="E2296" s="5" t="n">
        <v>90116</v>
      </c>
      <c r="F2296" s="4" t="n">
        <v>1</v>
      </c>
      <c r="G2296" s="4" t="s">
        <v>9318</v>
      </c>
      <c r="H2296" s="4" t="n">
        <v>40.77782</v>
      </c>
      <c r="I2296" s="4" t="n">
        <v>-73.24821</v>
      </c>
      <c r="J2296" s="4" t="s">
        <v>9319</v>
      </c>
      <c r="K2296" s="6" t="str">
        <f aca="false">HYPERLINK("https://www.google.com/search?q=Brentwood+Public+Library+Brentwood+NY+library+website","Search")</f>
        <v>Search</v>
      </c>
      <c r="L2296" s="7"/>
      <c r="M2296" s="7"/>
    </row>
    <row r="2297" customFormat="false" ht="15" hidden="false" customHeight="true" outlineLevel="0" collapsed="false">
      <c r="A2297" s="4" t="s">
        <v>9244</v>
      </c>
      <c r="B2297" s="4" t="s">
        <v>9320</v>
      </c>
      <c r="C2297" s="4" t="s">
        <v>5561</v>
      </c>
      <c r="D2297" s="4" t="s">
        <v>4589</v>
      </c>
      <c r="E2297" s="5" t="n">
        <v>18058</v>
      </c>
      <c r="F2297" s="4" t="n">
        <v>1</v>
      </c>
      <c r="G2297" s="4" t="s">
        <v>9321</v>
      </c>
      <c r="H2297" s="4" t="n">
        <v>41.39424</v>
      </c>
      <c r="I2297" s="4" t="n">
        <v>-73.61701</v>
      </c>
      <c r="J2297" s="4" t="s">
        <v>9322</v>
      </c>
      <c r="K2297" s="6" t="str">
        <f aca="false">HYPERLINK("https://www.google.com/search?q=Brewster+Public+Library+Brewster+NY+library+website","Search")</f>
        <v>Search</v>
      </c>
      <c r="L2297" s="7"/>
      <c r="M2297" s="7"/>
    </row>
    <row r="2298" customFormat="false" ht="15" hidden="false" customHeight="true" outlineLevel="0" collapsed="false">
      <c r="A2298" s="4" t="s">
        <v>9244</v>
      </c>
      <c r="B2298" s="4" t="s">
        <v>9323</v>
      </c>
      <c r="C2298" s="4" t="s">
        <v>4350</v>
      </c>
      <c r="D2298" s="4" t="s">
        <v>311</v>
      </c>
      <c r="E2298" s="5" t="n">
        <v>37137</v>
      </c>
      <c r="F2298" s="4" t="n">
        <v>1</v>
      </c>
      <c r="G2298" s="4" t="s">
        <v>9324</v>
      </c>
      <c r="H2298" s="4" t="n">
        <v>43.12684</v>
      </c>
      <c r="I2298" s="4" t="n">
        <v>-77.5749</v>
      </c>
      <c r="J2298" s="4" t="s">
        <v>9325</v>
      </c>
      <c r="K2298" s="6" t="str">
        <f aca="false">HYPERLINK("https://www.google.com/search?q=Brighton+Memorial+Library+Rochester+NY+library+website","Search")</f>
        <v>Search</v>
      </c>
      <c r="L2298" s="7"/>
      <c r="M2298" s="7"/>
    </row>
    <row r="2299" customFormat="false" ht="15" hidden="false" customHeight="true" outlineLevel="0" collapsed="false">
      <c r="A2299" s="4" t="s">
        <v>9244</v>
      </c>
      <c r="B2299" s="4" t="s">
        <v>9326</v>
      </c>
      <c r="C2299" s="4" t="s">
        <v>7686</v>
      </c>
      <c r="D2299" s="4" t="s">
        <v>5553</v>
      </c>
      <c r="E2299" s="5" t="n">
        <v>29046</v>
      </c>
      <c r="F2299" s="4" t="n">
        <v>1</v>
      </c>
      <c r="G2299" s="4" t="s">
        <v>9327</v>
      </c>
      <c r="H2299" s="4" t="n">
        <v>40.77397</v>
      </c>
      <c r="I2299" s="4" t="n">
        <v>-72.91202</v>
      </c>
      <c r="J2299" s="4" t="s">
        <v>9328</v>
      </c>
      <c r="K2299" s="6" t="str">
        <f aca="false">HYPERLINK("https://www.google.com/search?q=Brookhaven+Free+Library+Brookhaven+NY+library+website","Search")</f>
        <v>Search</v>
      </c>
      <c r="L2299" s="7"/>
      <c r="M2299" s="7"/>
    </row>
    <row r="2300" customFormat="false" ht="15" hidden="false" customHeight="true" outlineLevel="0" collapsed="false">
      <c r="A2300" s="4" t="s">
        <v>9244</v>
      </c>
      <c r="B2300" s="4" t="s">
        <v>9329</v>
      </c>
      <c r="C2300" s="4" t="s">
        <v>9330</v>
      </c>
      <c r="D2300" s="4" t="s">
        <v>1110</v>
      </c>
      <c r="E2300" s="5" t="n">
        <v>2736074</v>
      </c>
      <c r="F2300" s="4" t="n">
        <v>60</v>
      </c>
      <c r="G2300" s="4" t="s">
        <v>9331</v>
      </c>
      <c r="H2300" s="4" t="n">
        <v>40.67246</v>
      </c>
      <c r="I2300" s="4" t="n">
        <v>-73.96829</v>
      </c>
      <c r="J2300" s="4" t="s">
        <v>9332</v>
      </c>
      <c r="K2300" s="6" t="str">
        <f aca="false">HYPERLINK("https://www.google.com/search?q=Brooklyn+Public+Library+Brooklyn+NY+library+website","Search")</f>
        <v>Search</v>
      </c>
      <c r="L2300" s="7"/>
      <c r="M2300" s="8" t="str">
        <f aca="false">HYPERLINK("https://brooklyn.overdrive.com","https://brooklyn.overdrive.com")</f>
        <v>https://brooklyn.overdrive.com</v>
      </c>
    </row>
    <row r="2301" customFormat="false" ht="15" hidden="false" customHeight="true" outlineLevel="0" collapsed="false">
      <c r="A2301" s="4" t="s">
        <v>9244</v>
      </c>
      <c r="B2301" s="4" t="s">
        <v>9333</v>
      </c>
      <c r="C2301" s="4" t="s">
        <v>9334</v>
      </c>
      <c r="D2301" s="4" t="s">
        <v>9335</v>
      </c>
      <c r="E2301" s="5" t="n">
        <v>198683</v>
      </c>
      <c r="F2301" s="4" t="n">
        <v>1</v>
      </c>
      <c r="G2301" s="4" t="s">
        <v>9336</v>
      </c>
      <c r="H2301" s="4" t="n">
        <v>42.10025</v>
      </c>
      <c r="I2301" s="4" t="n">
        <v>-75.90686</v>
      </c>
      <c r="J2301" s="4" t="s">
        <v>9337</v>
      </c>
      <c r="K2301" s="6" t="str">
        <f aca="false">HYPERLINK("https://www.google.com/search?q=Broome+County+Public+Library+Binghamton+NY+library+website","Search")</f>
        <v>Search</v>
      </c>
      <c r="L2301" s="7"/>
      <c r="M2301" s="7"/>
    </row>
    <row r="2302" customFormat="false" ht="15" hidden="false" customHeight="true" outlineLevel="0" collapsed="false">
      <c r="A2302" s="4" t="s">
        <v>9244</v>
      </c>
      <c r="B2302" s="4" t="s">
        <v>9338</v>
      </c>
      <c r="C2302" s="4" t="s">
        <v>414</v>
      </c>
      <c r="D2302" s="4" t="s">
        <v>4403</v>
      </c>
      <c r="E2302" s="5" t="n">
        <v>12581</v>
      </c>
      <c r="F2302" s="4" t="n">
        <v>1</v>
      </c>
      <c r="G2302" s="4" t="s">
        <v>9339</v>
      </c>
      <c r="H2302" s="4" t="n">
        <v>42.74556</v>
      </c>
      <c r="I2302" s="4" t="n">
        <v>-73.57656</v>
      </c>
      <c r="J2302" s="4" t="s">
        <v>9340</v>
      </c>
      <c r="K2302" s="6" t="str">
        <f aca="false">HYPERLINK("https://www.google.com/search?q=Brunswick+Community+Library+Troy+NY+library+website","Search")</f>
        <v>Search</v>
      </c>
      <c r="L2302" s="7"/>
      <c r="M2302" s="7"/>
    </row>
    <row r="2303" customFormat="false" ht="15" hidden="false" customHeight="true" outlineLevel="0" collapsed="false">
      <c r="A2303" s="4" t="s">
        <v>9244</v>
      </c>
      <c r="B2303" s="4" t="s">
        <v>9341</v>
      </c>
      <c r="C2303" s="4" t="s">
        <v>9342</v>
      </c>
      <c r="D2303" s="4" t="s">
        <v>2451</v>
      </c>
      <c r="E2303" s="5" t="n">
        <v>18190</v>
      </c>
      <c r="F2303" s="4" t="n">
        <v>1</v>
      </c>
      <c r="G2303" s="4" t="s">
        <v>9343</v>
      </c>
      <c r="H2303" s="4" t="n">
        <v>40.79825</v>
      </c>
      <c r="I2303" s="4" t="n">
        <v>-73.64667</v>
      </c>
      <c r="J2303" s="4" t="s">
        <v>9344</v>
      </c>
      <c r="K2303" s="6" t="str">
        <f aca="false">HYPERLINK("https://www.google.com/search?q=Bryant+Library+Roslyn+NY+library+website","Search")</f>
        <v>Search</v>
      </c>
      <c r="L2303" s="7"/>
      <c r="M2303" s="7"/>
    </row>
    <row r="2304" customFormat="false" ht="15" hidden="false" customHeight="true" outlineLevel="0" collapsed="false">
      <c r="A2304" s="4" t="s">
        <v>9244</v>
      </c>
      <c r="B2304" s="4" t="s">
        <v>9345</v>
      </c>
      <c r="C2304" s="4" t="s">
        <v>7385</v>
      </c>
      <c r="D2304" s="4" t="s">
        <v>9253</v>
      </c>
      <c r="E2304" s="5" t="n">
        <v>954236</v>
      </c>
      <c r="F2304" s="4" t="n">
        <v>9</v>
      </c>
      <c r="G2304" s="4" t="s">
        <v>9346</v>
      </c>
      <c r="H2304" s="4" t="n">
        <v>42.88577</v>
      </c>
      <c r="I2304" s="4" t="n">
        <v>-78.87425</v>
      </c>
      <c r="J2304" s="4" t="s">
        <v>9347</v>
      </c>
      <c r="K2304" s="6" t="str">
        <f aca="false">HYPERLINK("https://www.google.com/search?q=Buffalo+And+Erie+County+Public+Library+Buffalo+NY+library+website","Search")</f>
        <v>Search</v>
      </c>
      <c r="L2304" s="7"/>
      <c r="M2304" s="8" t="str">
        <f aca="false">HYPERLINK("https://buffalo.overdrive.com","https://buffalo.overdrive.com")</f>
        <v>https://buffalo.overdrive.com</v>
      </c>
    </row>
    <row r="2305" customFormat="false" ht="15" hidden="false" customHeight="true" outlineLevel="0" collapsed="false">
      <c r="A2305" s="4" t="s">
        <v>9244</v>
      </c>
      <c r="B2305" s="4" t="s">
        <v>9348</v>
      </c>
      <c r="C2305" s="4" t="s">
        <v>1853</v>
      </c>
      <c r="D2305" s="4" t="s">
        <v>9349</v>
      </c>
      <c r="E2305" s="5" t="n">
        <v>11638</v>
      </c>
      <c r="F2305" s="4" t="n">
        <v>3</v>
      </c>
      <c r="G2305" s="4" t="s">
        <v>9350</v>
      </c>
      <c r="H2305" s="4" t="n">
        <v>44.59502</v>
      </c>
      <c r="I2305" s="4" t="n">
        <v>-75.16914</v>
      </c>
      <c r="J2305" s="4" t="s">
        <v>9351</v>
      </c>
      <c r="K2305" s="6" t="str">
        <f aca="false">HYPERLINK("https://www.google.com/search?q=Canton+Free+Library+Canton+NY+library+website","Search")</f>
        <v>Search</v>
      </c>
      <c r="L2305" s="7"/>
      <c r="M2305" s="7"/>
    </row>
    <row r="2306" customFormat="false" ht="15" hidden="false" customHeight="true" outlineLevel="0" collapsed="false">
      <c r="A2306" s="4" t="s">
        <v>9244</v>
      </c>
      <c r="B2306" s="4" t="s">
        <v>9352</v>
      </c>
      <c r="C2306" s="4" t="s">
        <v>9353</v>
      </c>
      <c r="D2306" s="4" t="s">
        <v>591</v>
      </c>
      <c r="E2306" s="5" t="n">
        <v>11969</v>
      </c>
      <c r="F2306" s="4" t="n">
        <v>2</v>
      </c>
      <c r="G2306" s="4" t="s">
        <v>9354</v>
      </c>
      <c r="H2306" s="4" t="n">
        <v>42.2179</v>
      </c>
      <c r="I2306" s="4" t="n">
        <v>-73.86432</v>
      </c>
      <c r="J2306" s="4" t="s">
        <v>9355</v>
      </c>
      <c r="K2306" s="6" t="str">
        <f aca="false">HYPERLINK("https://www.google.com/search?q=Catskill+Public+Library+Catskill+NY+library+website","Search")</f>
        <v>Search</v>
      </c>
      <c r="L2306" s="7"/>
      <c r="M2306" s="7"/>
    </row>
    <row r="2307" customFormat="false" ht="15" hidden="false" customHeight="true" outlineLevel="0" collapsed="false">
      <c r="A2307" s="4" t="s">
        <v>9244</v>
      </c>
      <c r="B2307" s="4" t="s">
        <v>9356</v>
      </c>
      <c r="C2307" s="4" t="s">
        <v>9357</v>
      </c>
      <c r="D2307" s="4" t="s">
        <v>5553</v>
      </c>
      <c r="E2307" s="5" t="n">
        <v>39964</v>
      </c>
      <c r="F2307" s="4" t="n">
        <v>1</v>
      </c>
      <c r="G2307" s="4" t="s">
        <v>9358</v>
      </c>
      <c r="H2307" s="4" t="n">
        <v>40.79543</v>
      </c>
      <c r="I2307" s="4" t="n">
        <v>-73.19513</v>
      </c>
      <c r="J2307" s="4" t="s">
        <v>9359</v>
      </c>
      <c r="K2307" s="6" t="str">
        <f aca="false">HYPERLINK("https://www.google.com/search?q=Central+Islip+Public+Library+Central+Islip+NY+library+website","Search")</f>
        <v>Search</v>
      </c>
      <c r="L2307" s="7"/>
      <c r="M2307" s="7"/>
    </row>
    <row r="2308" customFormat="false" ht="15" hidden="false" customHeight="true" outlineLevel="0" collapsed="false">
      <c r="A2308" s="4" t="s">
        <v>9244</v>
      </c>
      <c r="B2308" s="4" t="s">
        <v>9360</v>
      </c>
      <c r="C2308" s="4" t="s">
        <v>9361</v>
      </c>
      <c r="D2308" s="4" t="s">
        <v>4182</v>
      </c>
      <c r="E2308" s="5" t="n">
        <v>16829</v>
      </c>
      <c r="F2308" s="4" t="n">
        <v>1</v>
      </c>
      <c r="G2308" s="4" t="s">
        <v>9362</v>
      </c>
      <c r="H2308" s="4" t="n">
        <v>41.15499</v>
      </c>
      <c r="I2308" s="4" t="n">
        <v>-73.77309</v>
      </c>
      <c r="J2308" s="4" t="s">
        <v>9363</v>
      </c>
      <c r="K2308" s="6" t="str">
        <f aca="false">HYPERLINK("https://www.google.com/search?q=Chappaqua+Central+Sch+Dist+P+L+Chappaqua+NY+library+website","Search")</f>
        <v>Search</v>
      </c>
      <c r="L2308" s="7"/>
      <c r="M2308" s="7"/>
    </row>
    <row r="2309" customFormat="false" ht="15" hidden="false" customHeight="true" outlineLevel="0" collapsed="false">
      <c r="A2309" s="4" t="s">
        <v>9244</v>
      </c>
      <c r="B2309" s="4" t="s">
        <v>9364</v>
      </c>
      <c r="C2309" s="4" t="s">
        <v>9365</v>
      </c>
      <c r="D2309" s="4" t="s">
        <v>9253</v>
      </c>
      <c r="E2309" s="5" t="n">
        <v>89877</v>
      </c>
      <c r="F2309" s="4" t="n">
        <v>2</v>
      </c>
      <c r="G2309" s="4" t="s">
        <v>9366</v>
      </c>
      <c r="H2309" s="4" t="n">
        <v>42.88064</v>
      </c>
      <c r="I2309" s="4" t="n">
        <v>-78.71917</v>
      </c>
      <c r="J2309" s="4" t="s">
        <v>9367</v>
      </c>
      <c r="K2309" s="6" t="str">
        <f aca="false">HYPERLINK("https://www.google.com/search?q=Cheektowaga+Public+Library+Cheektowaga+NY+library+website","Search")</f>
        <v>Search</v>
      </c>
      <c r="L2309" s="7"/>
      <c r="M2309" s="7"/>
    </row>
    <row r="2310" customFormat="false" ht="15" hidden="false" customHeight="true" outlineLevel="0" collapsed="false">
      <c r="A2310" s="4" t="s">
        <v>9244</v>
      </c>
      <c r="B2310" s="4" t="s">
        <v>9368</v>
      </c>
      <c r="C2310" s="4" t="s">
        <v>9369</v>
      </c>
      <c r="D2310" s="4" t="s">
        <v>9370</v>
      </c>
      <c r="E2310" s="5" t="n">
        <v>84148</v>
      </c>
      <c r="F2310" s="4" t="n">
        <v>5</v>
      </c>
      <c r="G2310" s="4" t="s">
        <v>9371</v>
      </c>
      <c r="H2310" s="4" t="n">
        <v>42.09099</v>
      </c>
      <c r="I2310" s="4" t="n">
        <v>-76.80608</v>
      </c>
      <c r="J2310" s="4" t="s">
        <v>9372</v>
      </c>
      <c r="K2310" s="6" t="str">
        <f aca="false">HYPERLINK("https://www.google.com/search?q=Chemung+County+Library+District+Elmira+NY+library+website","Search")</f>
        <v>Search</v>
      </c>
      <c r="L2310" s="7"/>
      <c r="M2310" s="7"/>
    </row>
    <row r="2311" customFormat="false" ht="15" hidden="false" customHeight="true" outlineLevel="0" collapsed="false">
      <c r="A2311" s="4" t="s">
        <v>9244</v>
      </c>
      <c r="B2311" s="4" t="s">
        <v>9373</v>
      </c>
      <c r="C2311" s="4" t="s">
        <v>9374</v>
      </c>
      <c r="D2311" s="4" t="s">
        <v>885</v>
      </c>
      <c r="E2311" s="5" t="n">
        <v>12646</v>
      </c>
      <c r="F2311" s="4" t="n">
        <v>1</v>
      </c>
      <c r="G2311" s="4" t="s">
        <v>9375</v>
      </c>
      <c r="H2311" s="4" t="n">
        <v>41.33909</v>
      </c>
      <c r="I2311" s="4" t="n">
        <v>-74.27585</v>
      </c>
      <c r="J2311" s="4" t="s">
        <v>9376</v>
      </c>
      <c r="K2311" s="6" t="str">
        <f aca="false">HYPERLINK("https://www.google.com/search?q=Chester+Public+Library+Chester+NY+library+website","Search")</f>
        <v>Search</v>
      </c>
      <c r="L2311" s="7"/>
      <c r="M2311" s="7"/>
    </row>
    <row r="2312" customFormat="false" ht="15" hidden="false" customHeight="true" outlineLevel="0" collapsed="false">
      <c r="A2312" s="4" t="s">
        <v>9244</v>
      </c>
      <c r="B2312" s="4" t="s">
        <v>9377</v>
      </c>
      <c r="C2312" s="4" t="s">
        <v>4350</v>
      </c>
      <c r="D2312" s="4" t="s">
        <v>311</v>
      </c>
      <c r="E2312" s="5" t="n">
        <v>29123</v>
      </c>
      <c r="F2312" s="4" t="n">
        <v>1</v>
      </c>
      <c r="G2312" s="4" t="s">
        <v>9378</v>
      </c>
      <c r="H2312" s="4" t="n">
        <v>43.10189</v>
      </c>
      <c r="I2312" s="4" t="n">
        <v>-77.74629</v>
      </c>
      <c r="J2312" s="4" t="s">
        <v>9379</v>
      </c>
      <c r="K2312" s="6" t="str">
        <f aca="false">HYPERLINK("https://www.google.com/search?q=Chili+Public+Library+Rochester+NY+library+website","Search")</f>
        <v>Search</v>
      </c>
      <c r="L2312" s="7"/>
      <c r="M2312" s="7"/>
    </row>
    <row r="2313" customFormat="false" ht="15" hidden="false" customHeight="true" outlineLevel="0" collapsed="false">
      <c r="A2313" s="4" t="s">
        <v>9244</v>
      </c>
      <c r="B2313" s="4" t="s">
        <v>9380</v>
      </c>
      <c r="C2313" s="4" t="s">
        <v>9381</v>
      </c>
      <c r="D2313" s="4" t="s">
        <v>9253</v>
      </c>
      <c r="E2313" s="5" t="n">
        <v>15129</v>
      </c>
      <c r="F2313" s="4" t="n">
        <v>1</v>
      </c>
      <c r="G2313" s="4" t="s">
        <v>9382</v>
      </c>
      <c r="H2313" s="4" t="n">
        <v>43.0108</v>
      </c>
      <c r="I2313" s="4" t="n">
        <v>-78.87958</v>
      </c>
      <c r="J2313" s="4" t="s">
        <v>9383</v>
      </c>
      <c r="K2313" s="6" t="str">
        <f aca="false">HYPERLINK("https://www.google.com/search?q=City+Of+Tonawanda+Public+Library+Tonawanda+NY+library+website","Search")</f>
        <v>Search</v>
      </c>
      <c r="L2313" s="7"/>
      <c r="M2313" s="7"/>
    </row>
    <row r="2314" customFormat="false" ht="15" hidden="false" customHeight="true" outlineLevel="0" collapsed="false">
      <c r="A2314" s="4" t="s">
        <v>9244</v>
      </c>
      <c r="B2314" s="4" t="s">
        <v>9384</v>
      </c>
      <c r="C2314" s="4" t="s">
        <v>9385</v>
      </c>
      <c r="D2314" s="4" t="s">
        <v>9253</v>
      </c>
      <c r="E2314" s="5" t="n">
        <v>32950</v>
      </c>
      <c r="F2314" s="4" t="n">
        <v>1</v>
      </c>
      <c r="G2314" s="4" t="s">
        <v>9386</v>
      </c>
      <c r="H2314" s="4" t="n">
        <v>42.9948</v>
      </c>
      <c r="I2314" s="4" t="n">
        <v>-78.64175</v>
      </c>
      <c r="J2314" s="4" t="s">
        <v>9387</v>
      </c>
      <c r="K2314" s="6" t="str">
        <f aca="false">HYPERLINK("https://www.google.com/search?q=Clarence+Public+Library+Clarence+NY+library+website","Search")</f>
        <v>Search</v>
      </c>
      <c r="L2314" s="7"/>
      <c r="M2314" s="7"/>
    </row>
    <row r="2315" customFormat="false" ht="15" hidden="false" customHeight="true" outlineLevel="0" collapsed="false">
      <c r="A2315" s="4" t="s">
        <v>9244</v>
      </c>
      <c r="B2315" s="4" t="s">
        <v>9388</v>
      </c>
      <c r="C2315" s="4" t="s">
        <v>9389</v>
      </c>
      <c r="D2315" s="4" t="s">
        <v>9281</v>
      </c>
      <c r="E2315" s="5" t="n">
        <v>61063</v>
      </c>
      <c r="F2315" s="4" t="n">
        <v>1</v>
      </c>
      <c r="G2315" s="4" t="s">
        <v>9390</v>
      </c>
      <c r="H2315" s="4" t="n">
        <v>42.85828</v>
      </c>
      <c r="I2315" s="4" t="n">
        <v>-73.79317</v>
      </c>
      <c r="J2315" s="4" t="s">
        <v>9391</v>
      </c>
      <c r="K2315" s="6" t="str">
        <f aca="false">HYPERLINK("https://www.google.com/search?q=Clifton+Park-Halfmoon+Public+Library+Clifton+Park+NY+library+website","Search")</f>
        <v>Search</v>
      </c>
      <c r="L2315" s="7"/>
      <c r="M2315" s="7"/>
    </row>
    <row r="2316" customFormat="false" ht="15" hidden="false" customHeight="true" outlineLevel="0" collapsed="false">
      <c r="A2316" s="4" t="s">
        <v>9244</v>
      </c>
      <c r="B2316" s="4" t="s">
        <v>9392</v>
      </c>
      <c r="C2316" s="4" t="s">
        <v>9393</v>
      </c>
      <c r="D2316" s="4" t="s">
        <v>2671</v>
      </c>
      <c r="E2316" s="5" t="n">
        <v>18147</v>
      </c>
      <c r="F2316" s="4" t="n">
        <v>1</v>
      </c>
      <c r="G2316" s="4" t="s">
        <v>9394</v>
      </c>
      <c r="H2316" s="4" t="n">
        <v>42.77206</v>
      </c>
      <c r="I2316" s="4" t="n">
        <v>-73.69947</v>
      </c>
      <c r="J2316" s="4" t="s">
        <v>9395</v>
      </c>
      <c r="K2316" s="6" t="str">
        <f aca="false">HYPERLINK("https://www.google.com/search?q=Cohoes+Public+Library+Cohoes+NY+library+website","Search")</f>
        <v>Search</v>
      </c>
      <c r="L2316" s="7"/>
      <c r="M2316" s="7"/>
    </row>
    <row r="2317" customFormat="false" ht="15" hidden="false" customHeight="true" outlineLevel="0" collapsed="false">
      <c r="A2317" s="4" t="s">
        <v>9244</v>
      </c>
      <c r="B2317" s="4" t="s">
        <v>9396</v>
      </c>
      <c r="C2317" s="4" t="s">
        <v>9397</v>
      </c>
      <c r="D2317" s="4" t="s">
        <v>5553</v>
      </c>
      <c r="E2317" s="5" t="n">
        <v>15356</v>
      </c>
      <c r="F2317" s="4" t="n">
        <v>1</v>
      </c>
      <c r="G2317" s="4" t="s">
        <v>9398</v>
      </c>
      <c r="H2317" s="4" t="n">
        <v>40.82901</v>
      </c>
      <c r="I2317" s="4" t="n">
        <v>-73.29375</v>
      </c>
      <c r="J2317" s="4" t="s">
        <v>9399</v>
      </c>
      <c r="K2317" s="6" t="str">
        <f aca="false">HYPERLINK("https://www.google.com/search?q=Commack+Public+Library+District+Commack+NY+library+website","Search")</f>
        <v>Search</v>
      </c>
      <c r="L2317" s="7"/>
      <c r="M2317" s="7"/>
    </row>
    <row r="2318" customFormat="false" ht="15" hidden="false" customHeight="true" outlineLevel="0" collapsed="false">
      <c r="A2318" s="4" t="s">
        <v>9244</v>
      </c>
      <c r="B2318" s="4" t="s">
        <v>9400</v>
      </c>
      <c r="C2318" s="4" t="s">
        <v>9401</v>
      </c>
      <c r="D2318" s="4" t="s">
        <v>9276</v>
      </c>
      <c r="E2318" s="5" t="n">
        <v>16979</v>
      </c>
      <c r="F2318" s="4" t="n">
        <v>1</v>
      </c>
      <c r="G2318" s="4" t="s">
        <v>9402</v>
      </c>
      <c r="H2318" s="4" t="n">
        <v>43.02003</v>
      </c>
      <c r="I2318" s="4" t="n">
        <v>-76.0721</v>
      </c>
      <c r="J2318" s="4" t="s">
        <v>9403</v>
      </c>
      <c r="K2318" s="6" t="str">
        <f aca="false">HYPERLINK("https://www.google.com/search?q=Community+Library+Of+Dewitt+%26+Jamesville+Jamesville+NY+library+website","Search")</f>
        <v>Search</v>
      </c>
      <c r="L2318" s="7"/>
      <c r="M2318" s="7"/>
    </row>
    <row r="2319" customFormat="false" ht="15" hidden="false" customHeight="true" outlineLevel="0" collapsed="false">
      <c r="A2319" s="4" t="s">
        <v>9244</v>
      </c>
      <c r="B2319" s="4" t="s">
        <v>9404</v>
      </c>
      <c r="C2319" s="4" t="s">
        <v>9405</v>
      </c>
      <c r="D2319" s="4" t="s">
        <v>5553</v>
      </c>
      <c r="E2319" s="5" t="n">
        <v>23574</v>
      </c>
      <c r="F2319" s="4" t="n">
        <v>1</v>
      </c>
      <c r="G2319" s="4" t="s">
        <v>9406</v>
      </c>
      <c r="H2319" s="4" t="n">
        <v>40.9238</v>
      </c>
      <c r="I2319" s="4" t="n">
        <v>-73.05325</v>
      </c>
      <c r="J2319" s="4" t="s">
        <v>9407</v>
      </c>
      <c r="K2319" s="6" t="str">
        <f aca="false">HYPERLINK("https://www.google.com/search?q=Comsewogue+Public+Library+Port+Jefferson+Stati+NY+library+website","Search")</f>
        <v>Search</v>
      </c>
      <c r="L2319" s="7"/>
      <c r="M2319" s="7"/>
    </row>
    <row r="2320" customFormat="false" ht="15" hidden="false" customHeight="true" outlineLevel="0" collapsed="false">
      <c r="A2320" s="4" t="s">
        <v>9244</v>
      </c>
      <c r="B2320" s="4" t="s">
        <v>9408</v>
      </c>
      <c r="C2320" s="4" t="s">
        <v>9409</v>
      </c>
      <c r="D2320" s="4" t="s">
        <v>5553</v>
      </c>
      <c r="E2320" s="5" t="n">
        <v>38927</v>
      </c>
      <c r="F2320" s="4" t="n">
        <v>1</v>
      </c>
      <c r="G2320" s="4" t="s">
        <v>9410</v>
      </c>
      <c r="H2320" s="4" t="n">
        <v>40.7589</v>
      </c>
      <c r="I2320" s="4" t="n">
        <v>-73.11774</v>
      </c>
      <c r="J2320" s="4" t="s">
        <v>9411</v>
      </c>
      <c r="K2320" s="6" t="str">
        <f aca="false">HYPERLINK("https://www.google.com/search?q=Connetquot+Public+Library+Bohemia+NY+library+website","Search")</f>
        <v>Search</v>
      </c>
      <c r="L2320" s="7"/>
      <c r="M2320" s="7"/>
    </row>
    <row r="2321" customFormat="false" ht="15" hidden="false" customHeight="true" outlineLevel="0" collapsed="false">
      <c r="A2321" s="4" t="s">
        <v>9244</v>
      </c>
      <c r="B2321" s="4" t="s">
        <v>9412</v>
      </c>
      <c r="C2321" s="4" t="s">
        <v>9413</v>
      </c>
      <c r="D2321" s="4" t="s">
        <v>5553</v>
      </c>
      <c r="E2321" s="5" t="n">
        <v>31591</v>
      </c>
      <c r="F2321" s="4" t="n">
        <v>1</v>
      </c>
      <c r="G2321" s="4" t="s">
        <v>9414</v>
      </c>
      <c r="H2321" s="4" t="n">
        <v>40.66872</v>
      </c>
      <c r="I2321" s="4" t="n">
        <v>-73.40247</v>
      </c>
      <c r="J2321" s="4" t="s">
        <v>9415</v>
      </c>
      <c r="K2321" s="6" t="str">
        <f aca="false">HYPERLINK("https://www.google.com/search?q=Copiague+Memorial+Public+Library+Copiague+NY+library+website","Search")</f>
        <v>Search</v>
      </c>
      <c r="L2321" s="7"/>
      <c r="M2321" s="7"/>
    </row>
    <row r="2322" customFormat="false" ht="15" hidden="false" customHeight="true" outlineLevel="0" collapsed="false">
      <c r="A2322" s="4" t="s">
        <v>9244</v>
      </c>
      <c r="B2322" s="4" t="s">
        <v>9416</v>
      </c>
      <c r="C2322" s="4" t="s">
        <v>9417</v>
      </c>
      <c r="D2322" s="4" t="s">
        <v>885</v>
      </c>
      <c r="E2322" s="5" t="n">
        <v>17395</v>
      </c>
      <c r="F2322" s="4" t="n">
        <v>1</v>
      </c>
      <c r="G2322" s="4" t="s">
        <v>9418</v>
      </c>
      <c r="H2322" s="4" t="n">
        <v>41.44182</v>
      </c>
      <c r="I2322" s="4" t="n">
        <v>-74.026</v>
      </c>
      <c r="J2322" s="4" t="s">
        <v>9419</v>
      </c>
      <c r="K2322" s="6" t="str">
        <f aca="false">HYPERLINK("https://www.google.com/search?q=Cornwall+Public+Library+Cornwall+NY+library+website","Search")</f>
        <v>Search</v>
      </c>
      <c r="L2322" s="7"/>
      <c r="M2322" s="7"/>
    </row>
    <row r="2323" customFormat="false" ht="15" hidden="false" customHeight="true" outlineLevel="0" collapsed="false">
      <c r="A2323" s="4" t="s">
        <v>9244</v>
      </c>
      <c r="B2323" s="4" t="s">
        <v>9420</v>
      </c>
      <c r="C2323" s="4" t="s">
        <v>9421</v>
      </c>
      <c r="D2323" s="4" t="s">
        <v>9421</v>
      </c>
      <c r="E2323" s="5" t="n">
        <v>28390</v>
      </c>
      <c r="F2323" s="4" t="n">
        <v>1</v>
      </c>
      <c r="G2323" s="4" t="s">
        <v>9422</v>
      </c>
      <c r="H2323" s="4" t="n">
        <v>42.5997</v>
      </c>
      <c r="I2323" s="4" t="n">
        <v>-76.17824</v>
      </c>
      <c r="J2323" s="4" t="s">
        <v>9423</v>
      </c>
      <c r="K2323" s="6" t="str">
        <f aca="false">HYPERLINK("https://www.google.com/search?q=Cortland+Free+Library+Cortland+NY+library+website","Search")</f>
        <v>Search</v>
      </c>
      <c r="L2323" s="7"/>
      <c r="M2323" s="7"/>
    </row>
    <row r="2324" customFormat="false" ht="15" hidden="false" customHeight="true" outlineLevel="0" collapsed="false">
      <c r="A2324" s="4" t="s">
        <v>9244</v>
      </c>
      <c r="B2324" s="4" t="s">
        <v>9424</v>
      </c>
      <c r="C2324" s="4" t="s">
        <v>9425</v>
      </c>
      <c r="D2324" s="4" t="s">
        <v>3012</v>
      </c>
      <c r="E2324" s="5" t="n">
        <v>60201</v>
      </c>
      <c r="F2324" s="4" t="n">
        <v>1</v>
      </c>
      <c r="G2324" s="4" t="s">
        <v>9426</v>
      </c>
      <c r="H2324" s="4" t="n">
        <v>43.31064</v>
      </c>
      <c r="I2324" s="4" t="n">
        <v>-73.6458</v>
      </c>
      <c r="J2324" s="4" t="s">
        <v>9427</v>
      </c>
      <c r="K2324" s="6" t="str">
        <f aca="false">HYPERLINK("https://www.google.com/search?q=Crandall+Public+Library+Glens+Falls+NY+library+website","Search")</f>
        <v>Search</v>
      </c>
      <c r="L2324" s="7"/>
      <c r="M2324" s="7"/>
    </row>
    <row r="2325" customFormat="false" ht="15" hidden="false" customHeight="true" outlineLevel="0" collapsed="false">
      <c r="A2325" s="4" t="s">
        <v>9244</v>
      </c>
      <c r="B2325" s="4" t="s">
        <v>9428</v>
      </c>
      <c r="C2325" s="4" t="s">
        <v>9429</v>
      </c>
      <c r="D2325" s="4" t="s">
        <v>5553</v>
      </c>
      <c r="E2325" s="5" t="n">
        <v>26474</v>
      </c>
      <c r="F2325" s="4" t="n">
        <v>1</v>
      </c>
      <c r="G2325" s="4" t="s">
        <v>9430</v>
      </c>
      <c r="H2325" s="4" t="n">
        <v>40.75996</v>
      </c>
      <c r="I2325" s="4" t="n">
        <v>-73.32287</v>
      </c>
      <c r="J2325" s="4" t="s">
        <v>9431</v>
      </c>
      <c r="K2325" s="6" t="str">
        <f aca="false">HYPERLINK("https://www.google.com/search?q=Deer+Park+Public+Library+Deer+Park+NY+library+website","Search")</f>
        <v>Search</v>
      </c>
      <c r="L2325" s="7"/>
      <c r="M2325" s="7"/>
    </row>
    <row r="2326" customFormat="false" ht="15" hidden="false" customHeight="true" outlineLevel="0" collapsed="false">
      <c r="A2326" s="4" t="s">
        <v>9244</v>
      </c>
      <c r="B2326" s="4" t="s">
        <v>9432</v>
      </c>
      <c r="C2326" s="4" t="s">
        <v>9433</v>
      </c>
      <c r="D2326" s="4" t="s">
        <v>4182</v>
      </c>
      <c r="E2326" s="5" t="n">
        <v>11541</v>
      </c>
      <c r="F2326" s="4" t="n">
        <v>1</v>
      </c>
      <c r="G2326" s="4" t="s">
        <v>9434</v>
      </c>
      <c r="H2326" s="4" t="n">
        <v>41.01351</v>
      </c>
      <c r="I2326" s="4" t="n">
        <v>-73.87665</v>
      </c>
      <c r="J2326" s="4" t="s">
        <v>9435</v>
      </c>
      <c r="K2326" s="6" t="str">
        <f aca="false">HYPERLINK("https://www.google.com/search?q=Dobbs+Ferry+Public+Library+Dobbs+Ferry+NY+library+website","Search")</f>
        <v>Search</v>
      </c>
      <c r="L2326" s="7"/>
      <c r="M2326" s="7"/>
    </row>
    <row r="2327" customFormat="false" ht="15" hidden="false" customHeight="true" outlineLevel="0" collapsed="false">
      <c r="A2327" s="4" t="s">
        <v>9244</v>
      </c>
      <c r="B2327" s="4" t="s">
        <v>9436</v>
      </c>
      <c r="C2327" s="4" t="s">
        <v>4823</v>
      </c>
      <c r="D2327" s="4" t="s">
        <v>4295</v>
      </c>
      <c r="E2327" s="5" t="n">
        <v>10507</v>
      </c>
      <c r="F2327" s="4" t="n">
        <v>1</v>
      </c>
      <c r="G2327" s="4" t="s">
        <v>9437</v>
      </c>
      <c r="H2327" s="4" t="n">
        <v>42.33335</v>
      </c>
      <c r="I2327" s="4" t="n">
        <v>-77.32413</v>
      </c>
      <c r="J2327" s="4" t="s">
        <v>9438</v>
      </c>
      <c r="K2327" s="6" t="str">
        <f aca="false">HYPERLINK("https://www.google.com/search?q=Dormann+Library+Bath+NY+library+website","Search")</f>
        <v>Search</v>
      </c>
      <c r="L2327" s="7"/>
      <c r="M2327" s="7"/>
    </row>
    <row r="2328" customFormat="false" ht="15" hidden="false" customHeight="true" outlineLevel="0" collapsed="false">
      <c r="A2328" s="4" t="s">
        <v>9244</v>
      </c>
      <c r="B2328" s="4" t="s">
        <v>9439</v>
      </c>
      <c r="C2328" s="4" t="s">
        <v>9440</v>
      </c>
      <c r="D2328" s="4" t="s">
        <v>9441</v>
      </c>
      <c r="E2328" s="5" t="n">
        <v>25194</v>
      </c>
      <c r="F2328" s="4" t="n">
        <v>1</v>
      </c>
      <c r="G2328" s="4" t="s">
        <v>9442</v>
      </c>
      <c r="H2328" s="4" t="n">
        <v>43.12076</v>
      </c>
      <c r="I2328" s="4" t="n">
        <v>-75.28972</v>
      </c>
      <c r="J2328" s="4" t="s">
        <v>9443</v>
      </c>
      <c r="K2328" s="6" t="str">
        <f aca="false">HYPERLINK("https://www.google.com/search?q=Dunham+Public+Library+Whitesboro+NY+library+website","Search")</f>
        <v>Search</v>
      </c>
      <c r="L2328" s="7"/>
      <c r="M2328" s="7"/>
    </row>
    <row r="2329" customFormat="false" ht="15" hidden="false" customHeight="true" outlineLevel="0" collapsed="false">
      <c r="A2329" s="4" t="s">
        <v>9244</v>
      </c>
      <c r="B2329" s="4" t="s">
        <v>9444</v>
      </c>
      <c r="C2329" s="4" t="s">
        <v>9445</v>
      </c>
      <c r="D2329" s="4" t="s">
        <v>9446</v>
      </c>
      <c r="E2329" s="5" t="n">
        <v>14231</v>
      </c>
      <c r="F2329" s="4" t="n">
        <v>1</v>
      </c>
      <c r="G2329" s="4" t="s">
        <v>9447</v>
      </c>
      <c r="H2329" s="4" t="n">
        <v>42.47984</v>
      </c>
      <c r="I2329" s="4" t="n">
        <v>-79.33314</v>
      </c>
      <c r="J2329" s="4" t="s">
        <v>9448</v>
      </c>
      <c r="K2329" s="6" t="str">
        <f aca="false">HYPERLINK("https://www.google.com/search?q=Dunkirk+Public+Library+Dunkirk+NY+library+website","Search")</f>
        <v>Search</v>
      </c>
      <c r="L2329" s="7"/>
      <c r="M2329" s="7"/>
    </row>
    <row r="2330" customFormat="false" ht="15" hidden="false" customHeight="true" outlineLevel="0" collapsed="false">
      <c r="A2330" s="4" t="s">
        <v>9244</v>
      </c>
      <c r="B2330" s="4" t="s">
        <v>9449</v>
      </c>
      <c r="C2330" s="4" t="s">
        <v>9293</v>
      </c>
      <c r="D2330" s="4" t="s">
        <v>9294</v>
      </c>
      <c r="E2330" s="5" t="n">
        <v>29707</v>
      </c>
      <c r="F2330" s="4" t="n">
        <v>1</v>
      </c>
      <c r="G2330" s="4" t="s">
        <v>9450</v>
      </c>
      <c r="H2330" s="4" t="n">
        <v>41.57437</v>
      </c>
      <c r="I2330" s="4" t="n">
        <v>-73.80668</v>
      </c>
      <c r="J2330" s="4" t="s">
        <v>9451</v>
      </c>
      <c r="K2330" s="6" t="str">
        <f aca="false">HYPERLINK("https://www.google.com/search?q=East+Fishkill+Public+Library+District+Hopewell+Junction+NY+library+website","Search")</f>
        <v>Search</v>
      </c>
      <c r="L2330" s="7"/>
      <c r="M2330" s="7"/>
    </row>
    <row r="2331" customFormat="false" ht="15" hidden="false" customHeight="true" outlineLevel="0" collapsed="false">
      <c r="A2331" s="4" t="s">
        <v>9244</v>
      </c>
      <c r="B2331" s="4" t="s">
        <v>9452</v>
      </c>
      <c r="C2331" s="4" t="s">
        <v>9453</v>
      </c>
      <c r="D2331" s="4" t="s">
        <v>4403</v>
      </c>
      <c r="E2331" s="5" t="n">
        <v>16748</v>
      </c>
      <c r="F2331" s="4" t="n">
        <v>1</v>
      </c>
      <c r="G2331" s="4" t="s">
        <v>9454</v>
      </c>
      <c r="H2331" s="4" t="n">
        <v>42.61917</v>
      </c>
      <c r="I2331" s="4" t="n">
        <v>-73.6956</v>
      </c>
      <c r="J2331" s="4" t="s">
        <v>9455</v>
      </c>
      <c r="K2331" s="6" t="str">
        <f aca="false">HYPERLINK("https://www.google.com/search?q=East+Greenbush+Community+Library+East+Greenbush+NY+library+website","Search")</f>
        <v>Search</v>
      </c>
      <c r="L2331" s="7"/>
      <c r="M2331" s="7"/>
    </row>
    <row r="2332" customFormat="false" ht="15" hidden="false" customHeight="true" outlineLevel="0" collapsed="false">
      <c r="A2332" s="4" t="s">
        <v>9244</v>
      </c>
      <c r="B2332" s="4" t="s">
        <v>9456</v>
      </c>
      <c r="C2332" s="4" t="s">
        <v>1901</v>
      </c>
      <c r="D2332" s="4" t="s">
        <v>5553</v>
      </c>
      <c r="E2332" s="5" t="n">
        <v>20511</v>
      </c>
      <c r="F2332" s="4" t="n">
        <v>1</v>
      </c>
      <c r="G2332" s="4" t="s">
        <v>9457</v>
      </c>
      <c r="H2332" s="4" t="n">
        <v>40.95811</v>
      </c>
      <c r="I2332" s="4" t="n">
        <v>-72.19117</v>
      </c>
      <c r="J2332" s="4" t="s">
        <v>9458</v>
      </c>
      <c r="K2332" s="6" t="str">
        <f aca="false">HYPERLINK("https://www.google.com/search?q=East+Hampton+Library+East+Hampton+NY+library+website","Search")</f>
        <v>Search</v>
      </c>
      <c r="L2332" s="7"/>
      <c r="M2332" s="7"/>
    </row>
    <row r="2333" customFormat="false" ht="15" hidden="false" customHeight="true" outlineLevel="0" collapsed="false">
      <c r="A2333" s="4" t="s">
        <v>9244</v>
      </c>
      <c r="B2333" s="4" t="s">
        <v>9459</v>
      </c>
      <c r="C2333" s="4" t="s">
        <v>9460</v>
      </c>
      <c r="D2333" s="4" t="s">
        <v>5553</v>
      </c>
      <c r="E2333" s="5" t="n">
        <v>25285</v>
      </c>
      <c r="F2333" s="4" t="n">
        <v>1</v>
      </c>
      <c r="G2333" s="4" t="s">
        <v>9461</v>
      </c>
      <c r="H2333" s="4" t="n">
        <v>40.73572</v>
      </c>
      <c r="I2333" s="4" t="n">
        <v>-73.17327</v>
      </c>
      <c r="J2333" s="4" t="s">
        <v>9462</v>
      </c>
      <c r="K2333" s="6" t="str">
        <f aca="false">HYPERLINK("https://www.google.com/search?q=East+Islip+Public+Library+East+Islip+NY+library+website","Search")</f>
        <v>Search</v>
      </c>
      <c r="L2333" s="7"/>
      <c r="M2333" s="7"/>
    </row>
    <row r="2334" customFormat="false" ht="15" hidden="false" customHeight="true" outlineLevel="0" collapsed="false">
      <c r="A2334" s="4" t="s">
        <v>9244</v>
      </c>
      <c r="B2334" s="4" t="s">
        <v>9463</v>
      </c>
      <c r="C2334" s="4" t="s">
        <v>9464</v>
      </c>
      <c r="D2334" s="4" t="s">
        <v>2451</v>
      </c>
      <c r="E2334" s="5" t="n">
        <v>52315</v>
      </c>
      <c r="F2334" s="4" t="n">
        <v>1</v>
      </c>
      <c r="G2334" s="4" t="s">
        <v>9465</v>
      </c>
      <c r="H2334" s="4" t="n">
        <v>40.71995</v>
      </c>
      <c r="I2334" s="4" t="n">
        <v>-73.56334</v>
      </c>
      <c r="J2334" s="4" t="s">
        <v>9466</v>
      </c>
      <c r="K2334" s="6" t="str">
        <f aca="false">HYPERLINK("https://www.google.com/search?q=East+Meadow+Public+Library+East+Meadow+NY+library+website","Search")</f>
        <v>Search</v>
      </c>
      <c r="L2334" s="7"/>
      <c r="M2334" s="7"/>
    </row>
    <row r="2335" customFormat="false" ht="15" hidden="false" customHeight="true" outlineLevel="0" collapsed="false">
      <c r="A2335" s="4" t="s">
        <v>9244</v>
      </c>
      <c r="B2335" s="4" t="s">
        <v>9467</v>
      </c>
      <c r="C2335" s="4" t="s">
        <v>9468</v>
      </c>
      <c r="D2335" s="4" t="s">
        <v>2451</v>
      </c>
      <c r="E2335" s="5" t="n">
        <v>10159</v>
      </c>
      <c r="F2335" s="4" t="n">
        <v>1</v>
      </c>
      <c r="G2335" s="4" t="s">
        <v>9469</v>
      </c>
      <c r="H2335" s="4" t="n">
        <v>40.64202</v>
      </c>
      <c r="I2335" s="4" t="n">
        <v>-73.66574</v>
      </c>
      <c r="J2335" s="4" t="s">
        <v>9470</v>
      </c>
      <c r="K2335" s="6" t="str">
        <f aca="false">HYPERLINK("https://www.google.com/search?q=East+Rockaway+Public+Library+East+Rockaway+NY+library+website","Search")</f>
        <v>Search</v>
      </c>
      <c r="L2335" s="7"/>
      <c r="M2335" s="7"/>
    </row>
    <row r="2336" customFormat="false" ht="15" hidden="false" customHeight="true" outlineLevel="0" collapsed="false">
      <c r="A2336" s="4" t="s">
        <v>9244</v>
      </c>
      <c r="B2336" s="4" t="s">
        <v>9471</v>
      </c>
      <c r="C2336" s="4" t="s">
        <v>9472</v>
      </c>
      <c r="D2336" s="4" t="s">
        <v>4182</v>
      </c>
      <c r="E2336" s="5" t="n">
        <v>20901</v>
      </c>
      <c r="F2336" s="4" t="n">
        <v>1</v>
      </c>
      <c r="G2336" s="4" t="s">
        <v>9473</v>
      </c>
      <c r="H2336" s="4" t="n">
        <v>40.95704</v>
      </c>
      <c r="I2336" s="4" t="n">
        <v>-73.81148</v>
      </c>
      <c r="J2336" s="4" t="s">
        <v>9474</v>
      </c>
      <c r="K2336" s="6" t="str">
        <f aca="false">HYPERLINK("https://www.google.com/search?q=Eastchester+Public+Library+Eastchester+NY+library+website","Search")</f>
        <v>Search</v>
      </c>
      <c r="L2336" s="7"/>
      <c r="M2336" s="7"/>
    </row>
    <row r="2337" customFormat="false" ht="15" hidden="false" customHeight="true" outlineLevel="0" collapsed="false">
      <c r="A2337" s="4" t="s">
        <v>9244</v>
      </c>
      <c r="B2337" s="4" t="s">
        <v>9475</v>
      </c>
      <c r="C2337" s="4" t="s">
        <v>9476</v>
      </c>
      <c r="D2337" s="4" t="s">
        <v>9477</v>
      </c>
      <c r="E2337" s="5" t="n">
        <v>12454</v>
      </c>
      <c r="F2337" s="4" t="n">
        <v>1</v>
      </c>
      <c r="G2337" s="4" t="s">
        <v>9478</v>
      </c>
      <c r="H2337" s="4" t="n">
        <v>41.71813</v>
      </c>
      <c r="I2337" s="4" t="n">
        <v>-74.39729</v>
      </c>
      <c r="J2337" s="4" t="s">
        <v>9479</v>
      </c>
      <c r="K2337" s="6" t="str">
        <f aca="false">HYPERLINK("https://www.google.com/search?q=Ellenville+Public+Library+And+Museum+Ellenville+NY+library+website","Search")</f>
        <v>Search</v>
      </c>
      <c r="L2337" s="7"/>
      <c r="M2337" s="7"/>
    </row>
    <row r="2338" customFormat="false" ht="15" hidden="false" customHeight="true" outlineLevel="0" collapsed="false">
      <c r="A2338" s="4" t="s">
        <v>9244</v>
      </c>
      <c r="B2338" s="4" t="s">
        <v>9480</v>
      </c>
      <c r="C2338" s="4" t="s">
        <v>9481</v>
      </c>
      <c r="D2338" s="4" t="s">
        <v>9253</v>
      </c>
      <c r="E2338" s="5" t="n">
        <v>11721</v>
      </c>
      <c r="F2338" s="4" t="n">
        <v>1</v>
      </c>
      <c r="G2338" s="4" t="s">
        <v>9482</v>
      </c>
      <c r="H2338" s="4" t="n">
        <v>42.82214</v>
      </c>
      <c r="I2338" s="4" t="n">
        <v>-78.63713</v>
      </c>
      <c r="J2338" s="4" t="s">
        <v>9483</v>
      </c>
      <c r="K2338" s="6" t="str">
        <f aca="false">HYPERLINK("https://www.google.com/search?q=Elma+Public+Library+Elma+NY+library+website","Search")</f>
        <v>Search</v>
      </c>
      <c r="L2338" s="7"/>
      <c r="M2338" s="7"/>
    </row>
    <row r="2339" customFormat="false" ht="15" hidden="false" customHeight="true" outlineLevel="0" collapsed="false">
      <c r="A2339" s="4" t="s">
        <v>9244</v>
      </c>
      <c r="B2339" s="4" t="s">
        <v>9484</v>
      </c>
      <c r="C2339" s="4" t="s">
        <v>9485</v>
      </c>
      <c r="D2339" s="4" t="s">
        <v>2451</v>
      </c>
      <c r="E2339" s="5" t="n">
        <v>52853</v>
      </c>
      <c r="F2339" s="4" t="n">
        <v>1</v>
      </c>
      <c r="G2339" s="4" t="s">
        <v>9486</v>
      </c>
      <c r="H2339" s="4" t="n">
        <v>40.70803</v>
      </c>
      <c r="I2339" s="4" t="n">
        <v>-73.69996</v>
      </c>
      <c r="J2339" s="4" t="s">
        <v>9487</v>
      </c>
      <c r="K2339" s="6" t="str">
        <f aca="false">HYPERLINK("https://www.google.com/search?q=Elmont+Public+Library+Elmont+NY+library+website","Search")</f>
        <v>Search</v>
      </c>
      <c r="L2339" s="7"/>
      <c r="M2339" s="7"/>
    </row>
    <row r="2340" customFormat="false" ht="15" hidden="false" customHeight="true" outlineLevel="0" collapsed="false">
      <c r="A2340" s="4" t="s">
        <v>9244</v>
      </c>
      <c r="B2340" s="4" t="s">
        <v>9488</v>
      </c>
      <c r="C2340" s="4" t="s">
        <v>9489</v>
      </c>
      <c r="D2340" s="4" t="s">
        <v>9477</v>
      </c>
      <c r="E2340" s="5" t="n">
        <v>14407</v>
      </c>
      <c r="F2340" s="4" t="n">
        <v>1</v>
      </c>
      <c r="G2340" s="4" t="s">
        <v>9490</v>
      </c>
      <c r="H2340" s="4" t="n">
        <v>41.74832</v>
      </c>
      <c r="I2340" s="4" t="n">
        <v>-74.08479</v>
      </c>
      <c r="J2340" s="4" t="s">
        <v>9491</v>
      </c>
      <c r="K2340" s="6" t="str">
        <f aca="false">HYPERLINK("https://www.google.com/search?q=Elting+Memorial+Library+New+Paltz+NY+library+website","Search")</f>
        <v>Search</v>
      </c>
      <c r="L2340" s="7"/>
      <c r="M2340" s="7"/>
    </row>
    <row r="2341" customFormat="false" ht="15" hidden="false" customHeight="true" outlineLevel="0" collapsed="false">
      <c r="A2341" s="4" t="s">
        <v>9244</v>
      </c>
      <c r="B2341" s="4" t="s">
        <v>9492</v>
      </c>
      <c r="C2341" s="4" t="s">
        <v>4534</v>
      </c>
      <c r="D2341" s="4" t="s">
        <v>5553</v>
      </c>
      <c r="E2341" s="5" t="n">
        <v>13548</v>
      </c>
      <c r="F2341" s="4" t="n">
        <v>1</v>
      </c>
      <c r="G2341" s="4" t="s">
        <v>9493</v>
      </c>
      <c r="H2341" s="4" t="n">
        <v>40.83849</v>
      </c>
      <c r="I2341" s="4" t="n">
        <v>-73.33203</v>
      </c>
      <c r="J2341" s="4" t="s">
        <v>9494</v>
      </c>
      <c r="K2341" s="6" t="str">
        <f aca="false">HYPERLINK("https://www.google.com/search?q=Elwood+Public+Library+Elwood+NY+library+website","Search")</f>
        <v>Search</v>
      </c>
      <c r="L2341" s="7"/>
      <c r="M2341" s="7"/>
    </row>
    <row r="2342" customFormat="false" ht="15" hidden="false" customHeight="true" outlineLevel="0" collapsed="false">
      <c r="A2342" s="4" t="s">
        <v>9244</v>
      </c>
      <c r="B2342" s="4" t="s">
        <v>9495</v>
      </c>
      <c r="C2342" s="4" t="s">
        <v>9496</v>
      </c>
      <c r="D2342" s="4" t="s">
        <v>5553</v>
      </c>
      <c r="E2342" s="5" t="n">
        <v>49081</v>
      </c>
      <c r="F2342" s="4" t="n">
        <v>1</v>
      </c>
      <c r="G2342" s="4" t="s">
        <v>9497</v>
      </c>
      <c r="H2342" s="4" t="n">
        <v>40.94492</v>
      </c>
      <c r="I2342" s="4" t="n">
        <v>-73.11192</v>
      </c>
      <c r="J2342" s="4" t="s">
        <v>9498</v>
      </c>
      <c r="K2342" s="6" t="str">
        <f aca="false">HYPERLINK("https://www.google.com/search?q=Emma+S.+Clark+Memorial+Library+Setauket+NY+library+website","Search")</f>
        <v>Search</v>
      </c>
      <c r="L2342" s="7"/>
      <c r="M2342" s="7"/>
    </row>
    <row r="2343" customFormat="false" ht="15" hidden="false" customHeight="true" outlineLevel="0" collapsed="false">
      <c r="A2343" s="4" t="s">
        <v>9244</v>
      </c>
      <c r="B2343" s="4" t="s">
        <v>9499</v>
      </c>
      <c r="C2343" s="4" t="s">
        <v>627</v>
      </c>
      <c r="D2343" s="4" t="s">
        <v>4622</v>
      </c>
      <c r="E2343" s="5" t="n">
        <v>19614</v>
      </c>
      <c r="F2343" s="4" t="n">
        <v>1</v>
      </c>
      <c r="G2343" s="4" t="s">
        <v>9500</v>
      </c>
      <c r="H2343" s="4" t="n">
        <v>41.65541</v>
      </c>
      <c r="I2343" s="4" t="n">
        <v>-74.6894</v>
      </c>
      <c r="J2343" s="4" t="s">
        <v>9501</v>
      </c>
      <c r="K2343" s="6" t="str">
        <f aca="false">HYPERLINK("https://www.google.com/search?q=Ethelbert+B.+Crawford+Public+Library+Monticello+NY+library+website","Search")</f>
        <v>Search</v>
      </c>
      <c r="L2343" s="7"/>
      <c r="M2343" s="7"/>
    </row>
    <row r="2344" customFormat="false" ht="15" hidden="false" customHeight="true" outlineLevel="0" collapsed="false">
      <c r="A2344" s="4" t="s">
        <v>9244</v>
      </c>
      <c r="B2344" s="4" t="s">
        <v>9502</v>
      </c>
      <c r="C2344" s="4" t="s">
        <v>9503</v>
      </c>
      <c r="D2344" s="4" t="s">
        <v>311</v>
      </c>
      <c r="E2344" s="5" t="n">
        <v>41074</v>
      </c>
      <c r="F2344" s="4" t="n">
        <v>1</v>
      </c>
      <c r="G2344" s="4" t="s">
        <v>9504</v>
      </c>
      <c r="H2344" s="4" t="n">
        <v>43.10122</v>
      </c>
      <c r="I2344" s="4" t="n">
        <v>-77.44233</v>
      </c>
      <c r="J2344" s="4" t="s">
        <v>9505</v>
      </c>
      <c r="K2344" s="6" t="str">
        <f aca="false">HYPERLINK("https://www.google.com/search?q=Fairport+Public+Library+Fairport+NY+library+website","Search")</f>
        <v>Search</v>
      </c>
      <c r="L2344" s="7"/>
      <c r="M2344" s="7"/>
    </row>
    <row r="2345" customFormat="false" ht="15" hidden="false" customHeight="true" outlineLevel="0" collapsed="false">
      <c r="A2345" s="4" t="s">
        <v>9244</v>
      </c>
      <c r="B2345" s="4" t="s">
        <v>9506</v>
      </c>
      <c r="C2345" s="4" t="s">
        <v>9507</v>
      </c>
      <c r="D2345" s="4" t="s">
        <v>4622</v>
      </c>
      <c r="E2345" s="5" t="n">
        <v>12045</v>
      </c>
      <c r="F2345" s="4" t="n">
        <v>1</v>
      </c>
      <c r="G2345" s="4" t="s">
        <v>9508</v>
      </c>
      <c r="H2345" s="4" t="n">
        <v>41.70776</v>
      </c>
      <c r="I2345" s="4" t="n">
        <v>-74.62964</v>
      </c>
      <c r="J2345" s="4" t="s">
        <v>9509</v>
      </c>
      <c r="K2345" s="6" t="str">
        <f aca="false">HYPERLINK("https://www.google.com/search?q=Fallsburg+Library+South+Fallsburg+NY+library+website","Search")</f>
        <v>Search</v>
      </c>
      <c r="L2345" s="7"/>
      <c r="M2345" s="7"/>
    </row>
    <row r="2346" customFormat="false" ht="15" hidden="false" customHeight="true" outlineLevel="0" collapsed="false">
      <c r="A2346" s="4" t="s">
        <v>9244</v>
      </c>
      <c r="B2346" s="4" t="s">
        <v>9510</v>
      </c>
      <c r="C2346" s="4" t="s">
        <v>9511</v>
      </c>
      <c r="D2346" s="4" t="s">
        <v>2451</v>
      </c>
      <c r="E2346" s="5" t="n">
        <v>41196</v>
      </c>
      <c r="F2346" s="4" t="n">
        <v>1</v>
      </c>
      <c r="G2346" s="4" t="s">
        <v>9512</v>
      </c>
      <c r="H2346" s="4" t="n">
        <v>40.72856</v>
      </c>
      <c r="I2346" s="4" t="n">
        <v>-73.46041</v>
      </c>
      <c r="J2346" s="4" t="s">
        <v>9513</v>
      </c>
      <c r="K2346" s="6" t="str">
        <f aca="false">HYPERLINK("https://www.google.com/search?q=Farmingdale+Public+Library+Farmingdale+NY+library+website","Search")</f>
        <v>Search</v>
      </c>
      <c r="L2346" s="7"/>
      <c r="M2346" s="7"/>
    </row>
    <row r="2347" customFormat="false" ht="15" hidden="false" customHeight="true" outlineLevel="0" collapsed="false">
      <c r="A2347" s="4" t="s">
        <v>9244</v>
      </c>
      <c r="B2347" s="4" t="s">
        <v>9514</v>
      </c>
      <c r="C2347" s="4" t="s">
        <v>534</v>
      </c>
      <c r="D2347" s="4" t="s">
        <v>9276</v>
      </c>
      <c r="E2347" s="5" t="n">
        <v>10971</v>
      </c>
      <c r="F2347" s="4" t="n">
        <v>1</v>
      </c>
      <c r="G2347" s="4" t="s">
        <v>9515</v>
      </c>
      <c r="H2347" s="4" t="n">
        <v>43.02596</v>
      </c>
      <c r="I2347" s="4" t="n">
        <v>-76.00711</v>
      </c>
      <c r="J2347" s="4" t="s">
        <v>9516</v>
      </c>
      <c r="K2347" s="6" t="str">
        <f aca="false">HYPERLINK("https://www.google.com/search?q=Fayetteville+Free+Library+Fayetteville+NY+library+website","Search")</f>
        <v>Search</v>
      </c>
      <c r="L2347" s="7"/>
      <c r="M2347" s="7"/>
    </row>
    <row r="2348" customFormat="false" ht="15" hidden="false" customHeight="true" outlineLevel="0" collapsed="false">
      <c r="A2348" s="4" t="s">
        <v>9244</v>
      </c>
      <c r="B2348" s="4" t="s">
        <v>9517</v>
      </c>
      <c r="C2348" s="4" t="s">
        <v>9518</v>
      </c>
      <c r="D2348" s="4" t="s">
        <v>5974</v>
      </c>
      <c r="E2348" s="5" t="n">
        <v>135449</v>
      </c>
      <c r="F2348" s="4" t="n">
        <v>1</v>
      </c>
      <c r="G2348" s="4" t="s">
        <v>9519</v>
      </c>
      <c r="H2348" s="4" t="n">
        <v>41.10984</v>
      </c>
      <c r="I2348" s="4" t="n">
        <v>-74.04673</v>
      </c>
      <c r="J2348" s="4" t="s">
        <v>9520</v>
      </c>
      <c r="K2348" s="6" t="str">
        <f aca="false">HYPERLINK("https://www.google.com/search?q=Finkelstein+Memorial+Library+Spring+Valley+NY+library+website","Search")</f>
        <v>Search</v>
      </c>
      <c r="L2348" s="7"/>
      <c r="M2348" s="7"/>
    </row>
    <row r="2349" customFormat="false" ht="15" hidden="false" customHeight="true" outlineLevel="0" collapsed="false">
      <c r="A2349" s="4" t="s">
        <v>9244</v>
      </c>
      <c r="B2349" s="4" t="s">
        <v>9521</v>
      </c>
      <c r="C2349" s="4" t="s">
        <v>9522</v>
      </c>
      <c r="D2349" s="4" t="s">
        <v>2451</v>
      </c>
      <c r="E2349" s="5" t="n">
        <v>16172</v>
      </c>
      <c r="F2349" s="4" t="n">
        <v>1</v>
      </c>
      <c r="G2349" s="4" t="s">
        <v>9523</v>
      </c>
      <c r="H2349" s="4" t="n">
        <v>40.72523</v>
      </c>
      <c r="I2349" s="4" t="n">
        <v>-73.70642</v>
      </c>
      <c r="J2349" s="4" t="s">
        <v>9524</v>
      </c>
      <c r="K2349" s="6" t="str">
        <f aca="false">HYPERLINK("https://www.google.com/search?q=Floral+Park+Public+Library+Floral+Park+NY+library+website","Search")</f>
        <v>Search</v>
      </c>
      <c r="L2349" s="7"/>
      <c r="M2349" s="7"/>
    </row>
    <row r="2350" customFormat="false" ht="15" hidden="false" customHeight="true" outlineLevel="0" collapsed="false">
      <c r="A2350" s="4" t="s">
        <v>9244</v>
      </c>
      <c r="B2350" s="4" t="s">
        <v>9525</v>
      </c>
      <c r="C2350" s="4" t="s">
        <v>9526</v>
      </c>
      <c r="D2350" s="4" t="s">
        <v>2451</v>
      </c>
      <c r="E2350" s="5" t="n">
        <v>25901</v>
      </c>
      <c r="F2350" s="4" t="n">
        <v>1</v>
      </c>
      <c r="G2350" s="4" t="s">
        <v>9527</v>
      </c>
      <c r="H2350" s="4" t="n">
        <v>40.7077</v>
      </c>
      <c r="I2350" s="4" t="n">
        <v>-73.67095</v>
      </c>
      <c r="J2350" s="4" t="s">
        <v>9528</v>
      </c>
      <c r="K2350" s="6" t="str">
        <f aca="false">HYPERLINK("https://www.google.com/search?q=Franklin+Square+Public+Library+Franklin+Square+NY+library+website","Search")</f>
        <v>Search</v>
      </c>
      <c r="L2350" s="7"/>
      <c r="M2350" s="7"/>
    </row>
    <row r="2351" customFormat="false" ht="15" hidden="false" customHeight="true" outlineLevel="0" collapsed="false">
      <c r="A2351" s="4" t="s">
        <v>9244</v>
      </c>
      <c r="B2351" s="4" t="s">
        <v>9529</v>
      </c>
      <c r="C2351" s="4" t="s">
        <v>3604</v>
      </c>
      <c r="D2351" s="4" t="s">
        <v>2451</v>
      </c>
      <c r="E2351" s="5" t="n">
        <v>41463</v>
      </c>
      <c r="F2351" s="4" t="n">
        <v>1</v>
      </c>
      <c r="G2351" s="4" t="s">
        <v>9530</v>
      </c>
      <c r="H2351" s="4" t="n">
        <v>40.65341</v>
      </c>
      <c r="I2351" s="4" t="n">
        <v>-73.58702</v>
      </c>
      <c r="J2351" s="4" t="s">
        <v>9531</v>
      </c>
      <c r="K2351" s="6" t="str">
        <f aca="false">HYPERLINK("https://www.google.com/search?q=Freeport+Memorial+Library+Freeport+NY+library+website","Search")</f>
        <v>Search</v>
      </c>
      <c r="L2351" s="7"/>
      <c r="M2351" s="7"/>
    </row>
    <row r="2352" customFormat="false" ht="15" hidden="false" customHeight="true" outlineLevel="0" collapsed="false">
      <c r="A2352" s="4" t="s">
        <v>9244</v>
      </c>
      <c r="B2352" s="4" t="s">
        <v>9532</v>
      </c>
      <c r="C2352" s="4" t="s">
        <v>2691</v>
      </c>
      <c r="D2352" s="4" t="s">
        <v>3935</v>
      </c>
      <c r="E2352" s="5" t="n">
        <v>19689</v>
      </c>
      <c r="F2352" s="4" t="n">
        <v>1</v>
      </c>
      <c r="G2352" s="4" t="s">
        <v>9533</v>
      </c>
      <c r="H2352" s="4" t="n">
        <v>43.31963</v>
      </c>
      <c r="I2352" s="4" t="n">
        <v>-76.41587</v>
      </c>
      <c r="J2352" s="4" t="s">
        <v>9534</v>
      </c>
      <c r="K2352" s="6" t="str">
        <f aca="false">HYPERLINK("https://www.google.com/search?q=Fulton+Public+Library+Fulton+NY+library+website","Search")</f>
        <v>Search</v>
      </c>
      <c r="L2352" s="7"/>
      <c r="M2352" s="7"/>
    </row>
    <row r="2353" customFormat="false" ht="15" hidden="false" customHeight="true" outlineLevel="0" collapsed="false">
      <c r="A2353" s="4" t="s">
        <v>9244</v>
      </c>
      <c r="B2353" s="4" t="s">
        <v>6661</v>
      </c>
      <c r="C2353" s="4" t="s">
        <v>3214</v>
      </c>
      <c r="D2353" s="4" t="s">
        <v>2451</v>
      </c>
      <c r="E2353" s="5" t="n">
        <v>23272</v>
      </c>
      <c r="F2353" s="4" t="n">
        <v>1</v>
      </c>
      <c r="G2353" s="4" t="s">
        <v>9535</v>
      </c>
      <c r="H2353" s="4" t="n">
        <v>40.72374</v>
      </c>
      <c r="I2353" s="4" t="n">
        <v>-73.63894</v>
      </c>
      <c r="J2353" s="4" t="s">
        <v>9536</v>
      </c>
      <c r="K2353" s="6" t="str">
        <f aca="false">HYPERLINK("https://www.google.com/search?q=Garden+City+Public+Library+Garden+City+NY+library+website","Search")</f>
        <v>Search</v>
      </c>
      <c r="L2353" s="7"/>
      <c r="M2353" s="7"/>
    </row>
    <row r="2354" customFormat="false" ht="15" hidden="false" customHeight="true" outlineLevel="0" collapsed="false">
      <c r="A2354" s="4" t="s">
        <v>9244</v>
      </c>
      <c r="B2354" s="4" t="s">
        <v>9537</v>
      </c>
      <c r="C2354" s="4" t="s">
        <v>4350</v>
      </c>
      <c r="D2354" s="4" t="s">
        <v>311</v>
      </c>
      <c r="E2354" s="5" t="n">
        <v>29167</v>
      </c>
      <c r="F2354" s="4" t="n">
        <v>1</v>
      </c>
      <c r="G2354" s="4" t="s">
        <v>9538</v>
      </c>
      <c r="H2354" s="4" t="n">
        <v>43.15363</v>
      </c>
      <c r="I2354" s="4" t="n">
        <v>-77.73107</v>
      </c>
      <c r="J2354" s="4" t="s">
        <v>9539</v>
      </c>
      <c r="K2354" s="6" t="str">
        <f aca="false">HYPERLINK("https://www.google.com/search?q=Gates+Public+Library+Rochester+NY+library+website","Search")</f>
        <v>Search</v>
      </c>
      <c r="L2354" s="7"/>
      <c r="M2354" s="7"/>
    </row>
    <row r="2355" customFormat="false" ht="15" hidden="false" customHeight="true" outlineLevel="0" collapsed="false">
      <c r="A2355" s="4" t="s">
        <v>9244</v>
      </c>
      <c r="B2355" s="4" t="s">
        <v>9540</v>
      </c>
      <c r="C2355" s="4" t="s">
        <v>3626</v>
      </c>
      <c r="D2355" s="4" t="s">
        <v>1254</v>
      </c>
      <c r="E2355" s="5" t="n">
        <v>17208</v>
      </c>
      <c r="F2355" s="4" t="n">
        <v>1</v>
      </c>
      <c r="G2355" s="4" t="s">
        <v>9541</v>
      </c>
      <c r="H2355" s="4" t="n">
        <v>42.86839</v>
      </c>
      <c r="I2355" s="4" t="n">
        <v>-76.98621</v>
      </c>
      <c r="J2355" s="4" t="s">
        <v>9542</v>
      </c>
      <c r="K2355" s="6" t="str">
        <f aca="false">HYPERLINK("https://www.google.com/search?q=Geneva+Public+Library+Geneva+NY+library+website","Search")</f>
        <v>Search</v>
      </c>
      <c r="L2355" s="7"/>
      <c r="M2355" s="7"/>
    </row>
    <row r="2356" customFormat="false" ht="15" hidden="false" customHeight="true" outlineLevel="0" collapsed="false">
      <c r="A2356" s="4" t="s">
        <v>9244</v>
      </c>
      <c r="B2356" s="4" t="s">
        <v>9543</v>
      </c>
      <c r="C2356" s="4" t="s">
        <v>9544</v>
      </c>
      <c r="D2356" s="4" t="s">
        <v>9335</v>
      </c>
      <c r="E2356" s="5" t="n">
        <v>13667</v>
      </c>
      <c r="F2356" s="4" t="n">
        <v>1</v>
      </c>
      <c r="G2356" s="4" t="s">
        <v>9545</v>
      </c>
      <c r="H2356" s="4" t="n">
        <v>42.09877</v>
      </c>
      <c r="I2356" s="4" t="n">
        <v>-76.05085</v>
      </c>
      <c r="J2356" s="4" t="s">
        <v>9546</v>
      </c>
      <c r="K2356" s="6" t="str">
        <f aca="false">HYPERLINK("https://www.google.com/search?q=George+F.+Johnson+Memorial+Library+Endicott+NY+library+website","Search")</f>
        <v>Search</v>
      </c>
      <c r="L2356" s="7"/>
      <c r="M2356" s="7"/>
    </row>
    <row r="2357" customFormat="false" ht="15" hidden="false" customHeight="true" outlineLevel="0" collapsed="false">
      <c r="A2357" s="4" t="s">
        <v>9244</v>
      </c>
      <c r="B2357" s="4" t="s">
        <v>9547</v>
      </c>
      <c r="C2357" s="4" t="s">
        <v>9548</v>
      </c>
      <c r="D2357" s="4" t="s">
        <v>2451</v>
      </c>
      <c r="E2357" s="5" t="n">
        <v>28365</v>
      </c>
      <c r="F2357" s="4" t="n">
        <v>1</v>
      </c>
      <c r="G2357" s="4" t="s">
        <v>9549</v>
      </c>
      <c r="H2357" s="4" t="n">
        <v>40.86305</v>
      </c>
      <c r="I2357" s="4" t="n">
        <v>-73.63315</v>
      </c>
      <c r="J2357" s="4" t="s">
        <v>9550</v>
      </c>
      <c r="K2357" s="6" t="str">
        <f aca="false">HYPERLINK("https://www.google.com/search?q=Glen+Cove+Public+Library+Glen+Cove+NY+library+website","Search")</f>
        <v>Search</v>
      </c>
      <c r="L2357" s="7"/>
      <c r="M2357" s="7"/>
    </row>
    <row r="2358" customFormat="false" ht="15" hidden="false" customHeight="true" outlineLevel="0" collapsed="false">
      <c r="A2358" s="4" t="s">
        <v>9244</v>
      </c>
      <c r="B2358" s="4" t="s">
        <v>9551</v>
      </c>
      <c r="C2358" s="4" t="s">
        <v>9552</v>
      </c>
      <c r="D2358" s="4" t="s">
        <v>2691</v>
      </c>
      <c r="E2358" s="5" t="n">
        <v>18436</v>
      </c>
      <c r="F2358" s="4" t="n">
        <v>1</v>
      </c>
      <c r="G2358" s="4" t="s">
        <v>9553</v>
      </c>
      <c r="H2358" s="4" t="n">
        <v>43.05057</v>
      </c>
      <c r="I2358" s="4" t="n">
        <v>-74.34294</v>
      </c>
      <c r="J2358" s="4" t="s">
        <v>9554</v>
      </c>
      <c r="K2358" s="6" t="str">
        <f aca="false">HYPERLINK("https://www.google.com/search?q=Gloversville+Public+Library+Gloversville+NY+library+website","Search")</f>
        <v>Search</v>
      </c>
      <c r="L2358" s="7"/>
      <c r="M2358" s="7"/>
    </row>
    <row r="2359" customFormat="false" ht="15" hidden="false" customHeight="true" outlineLevel="0" collapsed="false">
      <c r="A2359" s="4" t="s">
        <v>9244</v>
      </c>
      <c r="B2359" s="4" t="s">
        <v>9555</v>
      </c>
      <c r="C2359" s="4" t="s">
        <v>9556</v>
      </c>
      <c r="D2359" s="4" t="s">
        <v>2451</v>
      </c>
      <c r="E2359" s="5" t="n">
        <v>11574</v>
      </c>
      <c r="F2359" s="4" t="n">
        <v>1</v>
      </c>
      <c r="G2359" s="4" t="s">
        <v>9557</v>
      </c>
      <c r="H2359" s="4" t="n">
        <v>40.83221</v>
      </c>
      <c r="I2359" s="4" t="n">
        <v>-73.62553</v>
      </c>
      <c r="J2359" s="4" t="s">
        <v>9558</v>
      </c>
      <c r="K2359" s="6" t="str">
        <f aca="false">HYPERLINK("https://www.google.com/search?q=Gold+Coast+Public+Library+District+Glen+Head+NY+library+website","Search")</f>
        <v>Search</v>
      </c>
      <c r="L2359" s="7"/>
      <c r="M2359" s="8" t="str">
        <f aca="false">HYPERLINK("https://goldcoast.overdrive.com","https://goldcoast.overdrive.com")</f>
        <v>https://goldcoast.overdrive.com</v>
      </c>
    </row>
    <row r="2360" customFormat="false" ht="15" hidden="false" customHeight="true" outlineLevel="0" collapsed="false">
      <c r="A2360" s="4" t="s">
        <v>9244</v>
      </c>
      <c r="B2360" s="4" t="s">
        <v>9559</v>
      </c>
      <c r="C2360" s="4" t="s">
        <v>4358</v>
      </c>
      <c r="D2360" s="4" t="s">
        <v>885</v>
      </c>
      <c r="E2360" s="5" t="n">
        <v>19260</v>
      </c>
      <c r="F2360" s="4" t="n">
        <v>1</v>
      </c>
      <c r="G2360" s="4" t="s">
        <v>9560</v>
      </c>
      <c r="H2360" s="4" t="n">
        <v>41.40912</v>
      </c>
      <c r="I2360" s="4" t="n">
        <v>-74.31269</v>
      </c>
      <c r="J2360" s="4" t="s">
        <v>9561</v>
      </c>
      <c r="K2360" s="6" t="str">
        <f aca="false">HYPERLINK("https://www.google.com/search?q=Goshen+Public+Library+And+Historical+Society+Goshen+NY+library+website","Search")</f>
        <v>Search</v>
      </c>
      <c r="L2360" s="7"/>
      <c r="M2360" s="7"/>
    </row>
    <row r="2361" customFormat="false" ht="15" hidden="false" customHeight="true" outlineLevel="0" collapsed="false">
      <c r="A2361" s="4" t="s">
        <v>9244</v>
      </c>
      <c r="B2361" s="4" t="s">
        <v>9562</v>
      </c>
      <c r="C2361" s="4" t="s">
        <v>8267</v>
      </c>
      <c r="D2361" s="4" t="s">
        <v>9253</v>
      </c>
      <c r="E2361" s="5" t="n">
        <v>21389</v>
      </c>
      <c r="F2361" s="4" t="n">
        <v>1</v>
      </c>
      <c r="G2361" s="4" t="s">
        <v>9563</v>
      </c>
      <c r="H2361" s="4" t="n">
        <v>43.03713</v>
      </c>
      <c r="I2361" s="4" t="n">
        <v>-78.95526</v>
      </c>
      <c r="J2361" s="4" t="s">
        <v>9564</v>
      </c>
      <c r="K2361" s="6" t="str">
        <f aca="false">HYPERLINK("https://www.google.com/search?q=Grand+Island+Memorial+Library+Grand+Island+NY+library+website","Search")</f>
        <v>Search</v>
      </c>
      <c r="L2361" s="7"/>
      <c r="M2361" s="7"/>
    </row>
    <row r="2362" customFormat="false" ht="15" hidden="false" customHeight="true" outlineLevel="0" collapsed="false">
      <c r="A2362" s="4" t="s">
        <v>9244</v>
      </c>
      <c r="B2362" s="4" t="s">
        <v>9565</v>
      </c>
      <c r="C2362" s="4" t="s">
        <v>9566</v>
      </c>
      <c r="D2362" s="4" t="s">
        <v>2451</v>
      </c>
      <c r="E2362" s="5" t="n">
        <v>48178</v>
      </c>
      <c r="F2362" s="4" t="n">
        <v>4</v>
      </c>
      <c r="G2362" s="4" t="s">
        <v>9567</v>
      </c>
      <c r="H2362" s="4" t="n">
        <v>40.7991</v>
      </c>
      <c r="I2362" s="4" t="n">
        <v>-73.74771</v>
      </c>
      <c r="J2362" s="4" t="s">
        <v>9568</v>
      </c>
      <c r="K2362" s="6" t="str">
        <f aca="false">HYPERLINK("https://www.google.com/search?q=Great+Neck+Library+Great+Neck+NY+library+website","Search")</f>
        <v>Search</v>
      </c>
      <c r="L2362" s="7"/>
      <c r="M2362" s="7"/>
    </row>
    <row r="2363" customFormat="false" ht="15" hidden="false" customHeight="true" outlineLevel="0" collapsed="false">
      <c r="A2363" s="4" t="s">
        <v>9244</v>
      </c>
      <c r="B2363" s="4" t="s">
        <v>9569</v>
      </c>
      <c r="C2363" s="4" t="s">
        <v>9570</v>
      </c>
      <c r="D2363" s="4" t="s">
        <v>9294</v>
      </c>
      <c r="E2363" s="5" t="n">
        <v>76121</v>
      </c>
      <c r="F2363" s="4" t="n">
        <v>3</v>
      </c>
      <c r="G2363" s="4" t="s">
        <v>9571</v>
      </c>
      <c r="H2363" s="4" t="n">
        <v>41.70058</v>
      </c>
      <c r="I2363" s="4" t="n">
        <v>-73.93023</v>
      </c>
      <c r="J2363" s="4" t="s">
        <v>9572</v>
      </c>
      <c r="K2363" s="6" t="str">
        <f aca="false">HYPERLINK("https://www.google.com/search?q=Greater+Poughkeepsie+Library+District+Poughkeepsie+NY+library+website","Search")</f>
        <v>Search</v>
      </c>
      <c r="L2363" s="7"/>
      <c r="M2363" s="7"/>
    </row>
    <row r="2364" customFormat="false" ht="15" hidden="false" customHeight="true" outlineLevel="0" collapsed="false">
      <c r="A2364" s="4" t="s">
        <v>9244</v>
      </c>
      <c r="B2364" s="4" t="s">
        <v>9573</v>
      </c>
      <c r="C2364" s="4" t="s">
        <v>9574</v>
      </c>
      <c r="D2364" s="4" t="s">
        <v>311</v>
      </c>
      <c r="E2364" s="5" t="n">
        <v>96926</v>
      </c>
      <c r="F2364" s="4" t="n">
        <v>2</v>
      </c>
      <c r="G2364" s="4" t="s">
        <v>9575</v>
      </c>
      <c r="H2364" s="4" t="n">
        <v>43.25723</v>
      </c>
      <c r="I2364" s="4" t="n">
        <v>-77.69931</v>
      </c>
      <c r="J2364" s="4" t="s">
        <v>9576</v>
      </c>
      <c r="K2364" s="6" t="str">
        <f aca="false">HYPERLINK("https://www.google.com/search?q=Greece+Public+Library+Greece+NY+library+website","Search")</f>
        <v>Search</v>
      </c>
      <c r="L2364" s="7"/>
      <c r="M2364" s="7"/>
    </row>
    <row r="2365" customFormat="false" ht="15" hidden="false" customHeight="true" outlineLevel="0" collapsed="false">
      <c r="A2365" s="4" t="s">
        <v>9244</v>
      </c>
      <c r="B2365" s="4" t="s">
        <v>9577</v>
      </c>
      <c r="C2365" s="4" t="s">
        <v>9578</v>
      </c>
      <c r="D2365" s="4" t="s">
        <v>4182</v>
      </c>
      <c r="E2365" s="5" t="n">
        <v>46436</v>
      </c>
      <c r="F2365" s="4" t="n">
        <v>1</v>
      </c>
      <c r="G2365" s="4" t="s">
        <v>9579</v>
      </c>
      <c r="H2365" s="4" t="n">
        <v>41.04726</v>
      </c>
      <c r="I2365" s="4" t="n">
        <v>-73.80712</v>
      </c>
      <c r="J2365" s="4" t="s">
        <v>9580</v>
      </c>
      <c r="K2365" s="6" t="str">
        <f aca="false">HYPERLINK("https://www.google.com/search?q=Greenburgh+Public+Library+Elmsford+NY+library+website","Search")</f>
        <v>Search</v>
      </c>
      <c r="L2365" s="7"/>
      <c r="M2365" s="7"/>
    </row>
    <row r="2366" customFormat="false" ht="15" hidden="false" customHeight="true" outlineLevel="0" collapsed="false">
      <c r="A2366" s="4" t="s">
        <v>9244</v>
      </c>
      <c r="B2366" s="4" t="s">
        <v>9581</v>
      </c>
      <c r="C2366" s="4" t="s">
        <v>9582</v>
      </c>
      <c r="D2366" s="4" t="s">
        <v>9294</v>
      </c>
      <c r="E2366" s="5" t="n">
        <v>26672</v>
      </c>
      <c r="F2366" s="4" t="n">
        <v>1</v>
      </c>
      <c r="G2366" s="4" t="s">
        <v>9583</v>
      </c>
      <c r="H2366" s="4" t="n">
        <v>41.59835</v>
      </c>
      <c r="I2366" s="4" t="n">
        <v>-73.91842</v>
      </c>
      <c r="J2366" s="4" t="s">
        <v>9584</v>
      </c>
      <c r="K2366" s="6" t="str">
        <f aca="false">HYPERLINK("https://www.google.com/search?q=Grinnell+Public+Library+District+Wappingers+Falls+NY+library+website","Search")</f>
        <v>Search</v>
      </c>
      <c r="L2366" s="7"/>
      <c r="M2366" s="7"/>
    </row>
    <row r="2367" customFormat="false" ht="15" hidden="false" customHeight="true" outlineLevel="0" collapsed="false">
      <c r="A2367" s="4" t="s">
        <v>9244</v>
      </c>
      <c r="B2367" s="4" t="s">
        <v>9585</v>
      </c>
      <c r="C2367" s="4" t="s">
        <v>2047</v>
      </c>
      <c r="D2367" s="4" t="s">
        <v>9586</v>
      </c>
      <c r="E2367" s="5" t="n">
        <v>12588</v>
      </c>
      <c r="F2367" s="4" t="n">
        <v>1</v>
      </c>
      <c r="G2367" s="4" t="s">
        <v>9587</v>
      </c>
      <c r="H2367" s="4" t="n">
        <v>42.53138</v>
      </c>
      <c r="I2367" s="4" t="n">
        <v>-75.52548</v>
      </c>
      <c r="J2367" s="4" t="s">
        <v>9588</v>
      </c>
      <c r="K2367" s="6" t="str">
        <f aca="false">HYPERLINK("https://www.google.com/search?q=Guernsey+Memorial+Library+Of+Norwich+Norwich+NY+library+website","Search")</f>
        <v>Search</v>
      </c>
      <c r="L2367" s="7"/>
      <c r="M2367" s="7"/>
    </row>
    <row r="2368" customFormat="false" ht="15" hidden="false" customHeight="true" outlineLevel="0" collapsed="false">
      <c r="A2368" s="4" t="s">
        <v>9244</v>
      </c>
      <c r="B2368" s="4" t="s">
        <v>9589</v>
      </c>
      <c r="C2368" s="4" t="s">
        <v>9590</v>
      </c>
      <c r="D2368" s="4" t="s">
        <v>2671</v>
      </c>
      <c r="E2368" s="5" t="n">
        <v>37989</v>
      </c>
      <c r="F2368" s="4" t="n">
        <v>1</v>
      </c>
      <c r="G2368" s="4" t="s">
        <v>9591</v>
      </c>
      <c r="H2368" s="4" t="n">
        <v>42.70042</v>
      </c>
      <c r="I2368" s="4" t="n">
        <v>-73.90487</v>
      </c>
      <c r="J2368" s="4" t="s">
        <v>9592</v>
      </c>
      <c r="K2368" s="6" t="str">
        <f aca="false">HYPERLINK("https://www.google.com/search?q=Guilderland+Public+Library+Guilderland+NY+library+website","Search")</f>
        <v>Search</v>
      </c>
      <c r="L2368" s="7"/>
      <c r="M2368" s="7"/>
    </row>
    <row r="2369" customFormat="false" ht="15" hidden="false" customHeight="true" outlineLevel="0" collapsed="false">
      <c r="A2369" s="4" t="s">
        <v>9244</v>
      </c>
      <c r="B2369" s="4" t="s">
        <v>9593</v>
      </c>
      <c r="C2369" s="4" t="s">
        <v>9594</v>
      </c>
      <c r="D2369" s="4" t="s">
        <v>5553</v>
      </c>
      <c r="E2369" s="5" t="n">
        <v>48409</v>
      </c>
      <c r="F2369" s="4" t="n">
        <v>2</v>
      </c>
      <c r="G2369" s="4" t="s">
        <v>9595</v>
      </c>
      <c r="H2369" s="4" t="n">
        <v>40.7883</v>
      </c>
      <c r="I2369" s="4" t="n">
        <v>-73.3695</v>
      </c>
      <c r="J2369" s="4" t="s">
        <v>9596</v>
      </c>
      <c r="K2369" s="6" t="str">
        <f aca="false">HYPERLINK("https://www.google.com/search?q=Half+Hollow+Hills+Community+Public+Library+Dix+Hills+NY+library+website","Search")</f>
        <v>Search</v>
      </c>
      <c r="L2369" s="7"/>
      <c r="M2369" s="7"/>
    </row>
    <row r="2370" customFormat="false" ht="15" hidden="false" customHeight="true" outlineLevel="0" collapsed="false">
      <c r="A2370" s="4" t="s">
        <v>9244</v>
      </c>
      <c r="B2370" s="4" t="s">
        <v>9597</v>
      </c>
      <c r="C2370" s="4" t="s">
        <v>461</v>
      </c>
      <c r="D2370" s="4" t="s">
        <v>9253</v>
      </c>
      <c r="E2370" s="5" t="n">
        <v>60085</v>
      </c>
      <c r="F2370" s="4" t="n">
        <v>2</v>
      </c>
      <c r="G2370" s="4" t="s">
        <v>9598</v>
      </c>
      <c r="H2370" s="4" t="n">
        <v>42.7189</v>
      </c>
      <c r="I2370" s="4" t="n">
        <v>-78.82965</v>
      </c>
      <c r="J2370" s="4" t="s">
        <v>9599</v>
      </c>
      <c r="K2370" s="6" t="str">
        <f aca="false">HYPERLINK("https://www.google.com/search?q=Hamburg+Public+Library+Hamburg+NY+library+website","Search")</f>
        <v>Search</v>
      </c>
      <c r="L2370" s="7"/>
      <c r="M2370" s="7"/>
    </row>
    <row r="2371" customFormat="false" ht="15" hidden="false" customHeight="true" outlineLevel="0" collapsed="false">
      <c r="A2371" s="4" t="s">
        <v>9244</v>
      </c>
      <c r="B2371" s="4" t="s">
        <v>9600</v>
      </c>
      <c r="C2371" s="4" t="s">
        <v>9601</v>
      </c>
      <c r="D2371" s="4" t="s">
        <v>5553</v>
      </c>
      <c r="E2371" s="5" t="n">
        <v>14587</v>
      </c>
      <c r="F2371" s="4" t="n">
        <v>1</v>
      </c>
      <c r="G2371" s="4" t="s">
        <v>9602</v>
      </c>
      <c r="H2371" s="4" t="n">
        <v>40.87299</v>
      </c>
      <c r="I2371" s="4" t="n">
        <v>-72.5205</v>
      </c>
      <c r="J2371" s="4" t="s">
        <v>9603</v>
      </c>
      <c r="K2371" s="6" t="str">
        <f aca="false">HYPERLINK("https://www.google.com/search?q=Hampton+Bays+Public+Library+Hampton+Bays+NY+library+website","Search")</f>
        <v>Search</v>
      </c>
      <c r="L2371" s="7"/>
      <c r="M2371" s="7"/>
    </row>
    <row r="2372" customFormat="false" ht="15" hidden="false" customHeight="true" outlineLevel="0" collapsed="false">
      <c r="A2372" s="4" t="s">
        <v>9244</v>
      </c>
      <c r="B2372" s="4" t="s">
        <v>9604</v>
      </c>
      <c r="C2372" s="4" t="s">
        <v>9605</v>
      </c>
      <c r="D2372" s="4" t="s">
        <v>5553</v>
      </c>
      <c r="E2372" s="5" t="n">
        <v>18664</v>
      </c>
      <c r="F2372" s="4" t="n">
        <v>1</v>
      </c>
      <c r="G2372" s="4" t="s">
        <v>9606</v>
      </c>
      <c r="H2372" s="4" t="n">
        <v>40.87118</v>
      </c>
      <c r="I2372" s="4" t="n">
        <v>-73.36688</v>
      </c>
      <c r="J2372" s="4" t="s">
        <v>9607</v>
      </c>
      <c r="K2372" s="6" t="str">
        <f aca="false">HYPERLINK("https://www.google.com/search?q=Harborfields+Public+Library+Greenlawn+NY+library+website","Search")</f>
        <v>Search</v>
      </c>
      <c r="L2372" s="7"/>
      <c r="M2372" s="7"/>
    </row>
    <row r="2373" customFormat="false" ht="15" hidden="false" customHeight="true" outlineLevel="0" collapsed="false">
      <c r="A2373" s="4" t="s">
        <v>9244</v>
      </c>
      <c r="B2373" s="4" t="s">
        <v>8619</v>
      </c>
      <c r="C2373" s="4" t="s">
        <v>485</v>
      </c>
      <c r="D2373" s="4" t="s">
        <v>4182</v>
      </c>
      <c r="E2373" s="5" t="n">
        <v>28218</v>
      </c>
      <c r="F2373" s="4" t="n">
        <v>2</v>
      </c>
      <c r="G2373" s="4" t="s">
        <v>9608</v>
      </c>
      <c r="H2373" s="4" t="n">
        <v>40.97087</v>
      </c>
      <c r="I2373" s="4" t="n">
        <v>-73.71216</v>
      </c>
      <c r="J2373" s="4" t="s">
        <v>9609</v>
      </c>
      <c r="K2373" s="6" t="str">
        <f aca="false">HYPERLINK("https://www.google.com/search?q=Harrison+Public+Library+Harrison+NY+library+website","Search")</f>
        <v>Search</v>
      </c>
      <c r="L2373" s="7"/>
      <c r="M2373" s="7"/>
    </row>
    <row r="2374" customFormat="false" ht="15" hidden="false" customHeight="true" outlineLevel="0" collapsed="false">
      <c r="A2374" s="4" t="s">
        <v>9244</v>
      </c>
      <c r="B2374" s="4" t="s">
        <v>9610</v>
      </c>
      <c r="C2374" s="4" t="s">
        <v>9611</v>
      </c>
      <c r="D2374" s="4" t="s">
        <v>5553</v>
      </c>
      <c r="E2374" s="5" t="n">
        <v>10643</v>
      </c>
      <c r="F2374" s="4" t="n">
        <v>1</v>
      </c>
      <c r="G2374" s="4" t="s">
        <v>9612</v>
      </c>
      <c r="H2374" s="4" t="n">
        <v>40.81477</v>
      </c>
      <c r="I2374" s="4" t="n">
        <v>-73.19191</v>
      </c>
      <c r="J2374" s="4" t="s">
        <v>9613</v>
      </c>
      <c r="K2374" s="6" t="str">
        <f aca="false">HYPERLINK("https://www.google.com/search?q=Hauppauge+Public+Library+Hauppauge+NY+library+website","Search")</f>
        <v>Search</v>
      </c>
      <c r="L2374" s="7"/>
      <c r="M2374" s="7"/>
    </row>
    <row r="2375" customFormat="false" ht="15" hidden="false" customHeight="true" outlineLevel="0" collapsed="false">
      <c r="A2375" s="4" t="s">
        <v>9244</v>
      </c>
      <c r="B2375" s="4" t="s">
        <v>9614</v>
      </c>
      <c r="C2375" s="4" t="s">
        <v>9615</v>
      </c>
      <c r="D2375" s="4" t="s">
        <v>5974</v>
      </c>
      <c r="E2375" s="5" t="n">
        <v>34360</v>
      </c>
      <c r="F2375" s="4" t="n">
        <v>2</v>
      </c>
      <c r="G2375" s="4" t="s">
        <v>9616</v>
      </c>
      <c r="H2375" s="4" t="n">
        <v>41.20098</v>
      </c>
      <c r="I2375" s="4" t="n">
        <v>-74.00525</v>
      </c>
      <c r="J2375" s="4" t="s">
        <v>9617</v>
      </c>
      <c r="K2375" s="6" t="str">
        <f aca="false">HYPERLINK("https://www.google.com/search?q=Haverstraw+Kings+Daughters+Public+Library+Garnerville+NY+library+website","Search")</f>
        <v>Search</v>
      </c>
      <c r="L2375" s="7"/>
      <c r="M2375" s="7"/>
    </row>
    <row r="2376" customFormat="false" ht="15" hidden="false" customHeight="true" outlineLevel="0" collapsed="false">
      <c r="A2376" s="4" t="s">
        <v>9244</v>
      </c>
      <c r="B2376" s="4" t="s">
        <v>9618</v>
      </c>
      <c r="C2376" s="4" t="s">
        <v>554</v>
      </c>
      <c r="D2376" s="4" t="s">
        <v>2451</v>
      </c>
      <c r="E2376" s="5" t="n">
        <v>59169</v>
      </c>
      <c r="F2376" s="4" t="n">
        <v>1</v>
      </c>
      <c r="G2376" s="4" t="s">
        <v>9619</v>
      </c>
      <c r="H2376" s="4" t="n">
        <v>40.71025</v>
      </c>
      <c r="I2376" s="4" t="n">
        <v>-73.62214</v>
      </c>
      <c r="J2376" s="4" t="s">
        <v>9620</v>
      </c>
      <c r="K2376" s="6" t="str">
        <f aca="false">HYPERLINK("https://www.google.com/search?q=Hempstead+Public+Library+Hempstead+NY+library+website","Search")</f>
        <v>Search</v>
      </c>
      <c r="L2376" s="7"/>
      <c r="M2376" s="7"/>
    </row>
    <row r="2377" customFormat="false" ht="15" hidden="false" customHeight="true" outlineLevel="0" collapsed="false">
      <c r="A2377" s="4" t="s">
        <v>9244</v>
      </c>
      <c r="B2377" s="4" t="s">
        <v>9621</v>
      </c>
      <c r="C2377" s="4" t="s">
        <v>1716</v>
      </c>
      <c r="D2377" s="4" t="s">
        <v>4182</v>
      </c>
      <c r="E2377" s="5" t="n">
        <v>15917</v>
      </c>
      <c r="F2377" s="4" t="n">
        <v>1</v>
      </c>
      <c r="G2377" s="4" t="s">
        <v>9622</v>
      </c>
      <c r="H2377" s="4" t="n">
        <v>41.2504</v>
      </c>
      <c r="I2377" s="4" t="n">
        <v>-73.94644</v>
      </c>
      <c r="J2377" s="4" t="s">
        <v>9623</v>
      </c>
      <c r="K2377" s="6" t="str">
        <f aca="false">HYPERLINK("https://www.google.com/search?q=Hendrick+Hudson+Free+Library+Montrose+NY+library+website","Search")</f>
        <v>Search</v>
      </c>
      <c r="L2377" s="7"/>
      <c r="M2377" s="7"/>
    </row>
    <row r="2378" customFormat="false" ht="15" hidden="false" customHeight="true" outlineLevel="0" collapsed="false">
      <c r="A2378" s="4" t="s">
        <v>9244</v>
      </c>
      <c r="B2378" s="4" t="s">
        <v>9624</v>
      </c>
      <c r="C2378" s="4" t="s">
        <v>4350</v>
      </c>
      <c r="D2378" s="4" t="s">
        <v>311</v>
      </c>
      <c r="E2378" s="5" t="n">
        <v>47096</v>
      </c>
      <c r="F2378" s="4" t="n">
        <v>1</v>
      </c>
      <c r="G2378" s="4" t="s">
        <v>9625</v>
      </c>
      <c r="H2378" s="4" t="n">
        <v>43.06853</v>
      </c>
      <c r="I2378" s="4" t="n">
        <v>-77.61663</v>
      </c>
      <c r="J2378" s="4" t="s">
        <v>9626</v>
      </c>
      <c r="K2378" s="6" t="str">
        <f aca="false">HYPERLINK("https://www.google.com/search?q=Henrietta+Public+Library+Rochester+NY+library+website","Search")</f>
        <v>Search</v>
      </c>
      <c r="L2378" s="7"/>
      <c r="M2378" s="7"/>
    </row>
    <row r="2379" customFormat="false" ht="15" hidden="false" customHeight="true" outlineLevel="0" collapsed="false">
      <c r="A2379" s="4" t="s">
        <v>9244</v>
      </c>
      <c r="B2379" s="4" t="s">
        <v>9627</v>
      </c>
      <c r="C2379" s="4" t="s">
        <v>9628</v>
      </c>
      <c r="D2379" s="4" t="s">
        <v>2451</v>
      </c>
      <c r="E2379" s="5" t="n">
        <v>40634</v>
      </c>
      <c r="F2379" s="4" t="n">
        <v>1</v>
      </c>
      <c r="G2379" s="4" t="s">
        <v>9629</v>
      </c>
      <c r="H2379" s="4" t="n">
        <v>40.66372</v>
      </c>
      <c r="I2379" s="4" t="n">
        <v>-73.70716</v>
      </c>
      <c r="J2379" s="4" t="s">
        <v>9630</v>
      </c>
      <c r="K2379" s="6" t="str">
        <f aca="false">HYPERLINK("https://www.google.com/search?q=Henry+Waldinger+Memorial+Library+Valley+Stream+NY+library+website","Search")</f>
        <v>Search</v>
      </c>
      <c r="L2379" s="7"/>
      <c r="M2379" s="7"/>
    </row>
    <row r="2380" customFormat="false" ht="15" hidden="false" customHeight="true" outlineLevel="0" collapsed="false">
      <c r="A2380" s="4" t="s">
        <v>9244</v>
      </c>
      <c r="B2380" s="4" t="s">
        <v>9631</v>
      </c>
      <c r="C2380" s="4" t="s">
        <v>9632</v>
      </c>
      <c r="D2380" s="4" t="s">
        <v>2451</v>
      </c>
      <c r="E2380" s="5" t="n">
        <v>22161</v>
      </c>
      <c r="F2380" s="4" t="n">
        <v>1</v>
      </c>
      <c r="G2380" s="4" t="s">
        <v>9633</v>
      </c>
      <c r="H2380" s="4" t="n">
        <v>40.6339</v>
      </c>
      <c r="I2380" s="4" t="n">
        <v>-73.70445</v>
      </c>
      <c r="J2380" s="4" t="s">
        <v>9634</v>
      </c>
      <c r="K2380" s="6" t="str">
        <f aca="false">HYPERLINK("https://www.google.com/search?q=Hewlett-Woodmere+Public+Library+Hewlett+NY+library+website","Search")</f>
        <v>Search</v>
      </c>
      <c r="L2380" s="7"/>
      <c r="M2380" s="7"/>
    </row>
    <row r="2381" customFormat="false" ht="15" hidden="false" customHeight="true" outlineLevel="0" collapsed="false">
      <c r="A2381" s="4" t="s">
        <v>9244</v>
      </c>
      <c r="B2381" s="4" t="s">
        <v>9635</v>
      </c>
      <c r="C2381" s="4" t="s">
        <v>9636</v>
      </c>
      <c r="D2381" s="4" t="s">
        <v>2451</v>
      </c>
      <c r="E2381" s="5" t="n">
        <v>41837</v>
      </c>
      <c r="F2381" s="4" t="n">
        <v>1</v>
      </c>
      <c r="G2381" s="4" t="s">
        <v>9637</v>
      </c>
      <c r="H2381" s="4" t="n">
        <v>40.76185</v>
      </c>
      <c r="I2381" s="4" t="n">
        <v>-73.52298</v>
      </c>
      <c r="J2381" s="4" t="s">
        <v>9638</v>
      </c>
      <c r="K2381" s="6" t="str">
        <f aca="false">HYPERLINK("https://www.google.com/search?q=Hicksville+Free+Public+Library+Hicksville+NY+library+website","Search")</f>
        <v>Search</v>
      </c>
      <c r="L2381" s="7"/>
      <c r="M2381" s="7"/>
    </row>
    <row r="2382" customFormat="false" ht="15" hidden="false" customHeight="true" outlineLevel="0" collapsed="false">
      <c r="A2382" s="4" t="s">
        <v>9244</v>
      </c>
      <c r="B2382" s="4" t="s">
        <v>9639</v>
      </c>
      <c r="C2382" s="4" t="s">
        <v>6735</v>
      </c>
      <c r="D2382" s="4" t="s">
        <v>9477</v>
      </c>
      <c r="E2382" s="5" t="n">
        <v>12920</v>
      </c>
      <c r="F2382" s="4" t="n">
        <v>2</v>
      </c>
      <c r="G2382" s="4" t="s">
        <v>9640</v>
      </c>
      <c r="H2382" s="4" t="n">
        <v>41.72226</v>
      </c>
      <c r="I2382" s="4" t="n">
        <v>-73.96724</v>
      </c>
      <c r="J2382" s="4" t="s">
        <v>9641</v>
      </c>
      <c r="K2382" s="6" t="str">
        <f aca="false">HYPERLINK("https://www.google.com/search?q=Highland+Public+Library+Highland+NY+library+website","Search")</f>
        <v>Search</v>
      </c>
      <c r="L2382" s="7"/>
      <c r="M2382" s="7"/>
    </row>
    <row r="2383" customFormat="false" ht="15" hidden="false" customHeight="true" outlineLevel="0" collapsed="false">
      <c r="A2383" s="4" t="s">
        <v>9244</v>
      </c>
      <c r="B2383" s="4" t="s">
        <v>9642</v>
      </c>
      <c r="C2383" s="4" t="s">
        <v>9643</v>
      </c>
      <c r="D2383" s="4" t="s">
        <v>2451</v>
      </c>
      <c r="E2383" s="5" t="n">
        <v>23880</v>
      </c>
      <c r="F2383" s="4" t="n">
        <v>1</v>
      </c>
      <c r="G2383" s="4" t="s">
        <v>9644</v>
      </c>
      <c r="H2383" s="4" t="n">
        <v>40.73443</v>
      </c>
      <c r="I2383" s="4" t="n">
        <v>-73.68823</v>
      </c>
      <c r="J2383" s="4" t="s">
        <v>9645</v>
      </c>
      <c r="K2383" s="6" t="str">
        <f aca="false">HYPERLINK("https://www.google.com/search?q=Hillside+Public+Library+Of+New+Hyde+Park+New+Hyde+Park+NY+library+website","Search")</f>
        <v>Search</v>
      </c>
      <c r="L2383" s="7"/>
      <c r="M2383" s="7"/>
    </row>
    <row r="2384" customFormat="false" ht="15" hidden="false" customHeight="true" outlineLevel="0" collapsed="false">
      <c r="A2384" s="4" t="s">
        <v>9244</v>
      </c>
      <c r="B2384" s="4" t="s">
        <v>9646</v>
      </c>
      <c r="C2384" s="4" t="s">
        <v>4530</v>
      </c>
      <c r="D2384" s="4" t="s">
        <v>5351</v>
      </c>
      <c r="E2384" s="5" t="n">
        <v>14561</v>
      </c>
      <c r="F2384" s="4" t="n">
        <v>1</v>
      </c>
      <c r="G2384" s="4" t="s">
        <v>9647</v>
      </c>
      <c r="H2384" s="4" t="n">
        <v>43.24356</v>
      </c>
      <c r="I2384" s="4" t="n">
        <v>-78.19443</v>
      </c>
      <c r="J2384" s="4" t="s">
        <v>9648</v>
      </c>
      <c r="K2384" s="6" t="str">
        <f aca="false">HYPERLINK("https://www.google.com/search?q=Hoag+Library+Of+The+Swan+Library+Association+Albion+NY+library+website","Search")</f>
        <v>Search</v>
      </c>
      <c r="L2384" s="7"/>
      <c r="M2384" s="7"/>
    </row>
    <row r="2385" customFormat="false" ht="15" hidden="false" customHeight="true" outlineLevel="0" collapsed="false">
      <c r="A2385" s="4" t="s">
        <v>9244</v>
      </c>
      <c r="B2385" s="4" t="s">
        <v>9649</v>
      </c>
      <c r="C2385" s="4" t="s">
        <v>9650</v>
      </c>
      <c r="D2385" s="4" t="s">
        <v>9294</v>
      </c>
      <c r="E2385" s="5" t="n">
        <v>27494</v>
      </c>
      <c r="F2385" s="4" t="n">
        <v>1</v>
      </c>
      <c r="G2385" s="4" t="s">
        <v>9651</v>
      </c>
      <c r="H2385" s="4" t="n">
        <v>41.50537</v>
      </c>
      <c r="I2385" s="4" t="n">
        <v>-73.97085</v>
      </c>
      <c r="J2385" s="4" t="s">
        <v>9652</v>
      </c>
      <c r="K2385" s="6" t="str">
        <f aca="false">HYPERLINK("https://www.google.com/search?q=Howland+Public+Library+Beacon+NY+library+website","Search")</f>
        <v>Search</v>
      </c>
      <c r="L2385" s="7"/>
      <c r="M2385" s="7"/>
    </row>
    <row r="2386" customFormat="false" ht="15" hidden="false" customHeight="true" outlineLevel="0" collapsed="false">
      <c r="A2386" s="4" t="s">
        <v>9244</v>
      </c>
      <c r="B2386" s="4" t="s">
        <v>9653</v>
      </c>
      <c r="C2386" s="4" t="s">
        <v>2513</v>
      </c>
      <c r="D2386" s="4" t="s">
        <v>506</v>
      </c>
      <c r="E2386" s="5" t="n">
        <v>10367</v>
      </c>
      <c r="F2386" s="4" t="n">
        <v>1</v>
      </c>
      <c r="G2386" s="4" t="s">
        <v>9654</v>
      </c>
      <c r="H2386" s="4" t="n">
        <v>42.25126</v>
      </c>
      <c r="I2386" s="4" t="n">
        <v>-73.78497</v>
      </c>
      <c r="J2386" s="4" t="s">
        <v>9655</v>
      </c>
      <c r="K2386" s="6" t="str">
        <f aca="false">HYPERLINK("https://www.google.com/search?q=Hudson+Area+Association+Library+Hudson+NY+library+website","Search")</f>
        <v>Search</v>
      </c>
      <c r="L2386" s="7"/>
      <c r="M2386" s="7"/>
    </row>
    <row r="2387" customFormat="false" ht="15" hidden="false" customHeight="true" outlineLevel="0" collapsed="false">
      <c r="A2387" s="4" t="s">
        <v>9244</v>
      </c>
      <c r="B2387" s="4" t="s">
        <v>9656</v>
      </c>
      <c r="C2387" s="4" t="s">
        <v>9657</v>
      </c>
      <c r="D2387" s="4" t="s">
        <v>441</v>
      </c>
      <c r="E2387" s="5" t="n">
        <v>15658</v>
      </c>
      <c r="F2387" s="4" t="n">
        <v>1</v>
      </c>
      <c r="G2387" s="4" t="s">
        <v>9658</v>
      </c>
      <c r="H2387" s="4" t="n">
        <v>43.30326</v>
      </c>
      <c r="I2387" s="4" t="n">
        <v>-73.5845</v>
      </c>
      <c r="J2387" s="4" t="s">
        <v>9659</v>
      </c>
      <c r="K2387" s="6" t="str">
        <f aca="false">HYPERLINK("https://www.google.com/search?q=Hudson+Falls+Free+Library+Association+Hudson+Falls+NY+library+website","Search")</f>
        <v>Search</v>
      </c>
      <c r="L2387" s="7"/>
      <c r="M2387" s="7"/>
    </row>
    <row r="2388" customFormat="false" ht="15" hidden="false" customHeight="true" outlineLevel="0" collapsed="false">
      <c r="A2388" s="4" t="s">
        <v>9244</v>
      </c>
      <c r="B2388" s="4" t="s">
        <v>9660</v>
      </c>
      <c r="C2388" s="4" t="s">
        <v>340</v>
      </c>
      <c r="D2388" s="4" t="s">
        <v>6898</v>
      </c>
      <c r="E2388" s="5" t="n">
        <v>13079</v>
      </c>
      <c r="F2388" s="4" t="n">
        <v>1</v>
      </c>
      <c r="G2388" s="4" t="s">
        <v>9661</v>
      </c>
      <c r="H2388" s="4" t="n">
        <v>42.45415</v>
      </c>
      <c r="I2388" s="4" t="n">
        <v>-75.0644</v>
      </c>
      <c r="J2388" s="4" t="s">
        <v>9662</v>
      </c>
      <c r="K2388" s="6" t="str">
        <f aca="false">HYPERLINK("https://www.google.com/search?q=Huntington+Memorial+Library+Oneonta+NY+library+website","Search")</f>
        <v>Search</v>
      </c>
      <c r="L2388" s="7"/>
      <c r="M2388" s="7"/>
    </row>
    <row r="2389" customFormat="false" ht="15" hidden="false" customHeight="true" outlineLevel="0" collapsed="false">
      <c r="A2389" s="4" t="s">
        <v>9244</v>
      </c>
      <c r="B2389" s="4" t="s">
        <v>9663</v>
      </c>
      <c r="C2389" s="4" t="s">
        <v>4388</v>
      </c>
      <c r="D2389" s="4" t="s">
        <v>5553</v>
      </c>
      <c r="E2389" s="5" t="n">
        <v>35846</v>
      </c>
      <c r="F2389" s="4" t="n">
        <v>2</v>
      </c>
      <c r="G2389" s="4" t="s">
        <v>9664</v>
      </c>
      <c r="H2389" s="4" t="n">
        <v>40.8705</v>
      </c>
      <c r="I2389" s="4" t="n">
        <v>-73.43022</v>
      </c>
      <c r="J2389" s="4" t="s">
        <v>9665</v>
      </c>
      <c r="K2389" s="6" t="str">
        <f aca="false">HYPERLINK("https://www.google.com/search?q=Huntington+Public+Library+Huntington+NY+library+website","Search")</f>
        <v>Search</v>
      </c>
      <c r="L2389" s="7"/>
      <c r="M2389" s="7"/>
    </row>
    <row r="2390" customFormat="false" ht="15" hidden="false" customHeight="true" outlineLevel="0" collapsed="false">
      <c r="A2390" s="4" t="s">
        <v>9244</v>
      </c>
      <c r="B2390" s="4" t="s">
        <v>9666</v>
      </c>
      <c r="C2390" s="4" t="s">
        <v>9667</v>
      </c>
      <c r="D2390" s="4" t="s">
        <v>9294</v>
      </c>
      <c r="E2390" s="5" t="n">
        <v>17492</v>
      </c>
      <c r="F2390" s="4" t="n">
        <v>1</v>
      </c>
      <c r="G2390" s="4" t="s">
        <v>9668</v>
      </c>
      <c r="H2390" s="4" t="n">
        <v>41.79008</v>
      </c>
      <c r="I2390" s="4" t="n">
        <v>-73.93587</v>
      </c>
      <c r="J2390" s="4" t="s">
        <v>9669</v>
      </c>
      <c r="K2390" s="6" t="str">
        <f aca="false">HYPERLINK("https://www.google.com/search?q=Hyde+Park+Library+District+Hyde+Park+NY+library+website","Search")</f>
        <v>Search</v>
      </c>
      <c r="L2390" s="7"/>
      <c r="M2390" s="7"/>
    </row>
    <row r="2391" customFormat="false" ht="15" hidden="false" customHeight="true" outlineLevel="0" collapsed="false">
      <c r="A2391" s="4" t="s">
        <v>9244</v>
      </c>
      <c r="B2391" s="4" t="s">
        <v>9670</v>
      </c>
      <c r="C2391" s="4" t="s">
        <v>4350</v>
      </c>
      <c r="D2391" s="4" t="s">
        <v>311</v>
      </c>
      <c r="E2391" s="5" t="n">
        <v>51043</v>
      </c>
      <c r="F2391" s="4" t="n">
        <v>1</v>
      </c>
      <c r="G2391" s="4" t="s">
        <v>9671</v>
      </c>
      <c r="H2391" s="4" t="n">
        <v>43.21164</v>
      </c>
      <c r="I2391" s="4" t="n">
        <v>-77.58092</v>
      </c>
      <c r="J2391" s="4" t="s">
        <v>9672</v>
      </c>
      <c r="K2391" s="6" t="str">
        <f aca="false">HYPERLINK("https://www.google.com/search?q=Irondequoit+Public+Library+Rochester+NY+library+website","Search")</f>
        <v>Search</v>
      </c>
      <c r="L2391" s="7"/>
      <c r="M2391" s="7"/>
    </row>
    <row r="2392" customFormat="false" ht="15" hidden="false" customHeight="true" outlineLevel="0" collapsed="false">
      <c r="A2392" s="4" t="s">
        <v>9244</v>
      </c>
      <c r="B2392" s="4" t="s">
        <v>9673</v>
      </c>
      <c r="C2392" s="4" t="s">
        <v>9674</v>
      </c>
      <c r="D2392" s="4" t="s">
        <v>2451</v>
      </c>
      <c r="E2392" s="5" t="n">
        <v>15444</v>
      </c>
      <c r="F2392" s="4" t="n">
        <v>1</v>
      </c>
      <c r="G2392" s="4" t="s">
        <v>9675</v>
      </c>
      <c r="H2392" s="4" t="n">
        <v>40.73626</v>
      </c>
      <c r="I2392" s="4" t="n">
        <v>-73.49892</v>
      </c>
      <c r="J2392" s="4" t="s">
        <v>9676</v>
      </c>
      <c r="K2392" s="6" t="str">
        <f aca="false">HYPERLINK("https://www.google.com/search?q=Island+Trees+Public+Library+Levittown+NY+library+website","Search")</f>
        <v>Search</v>
      </c>
      <c r="L2392" s="7"/>
      <c r="M2392" s="7"/>
    </row>
    <row r="2393" customFormat="false" ht="15" hidden="false" customHeight="true" outlineLevel="0" collapsed="false">
      <c r="A2393" s="4" t="s">
        <v>9244</v>
      </c>
      <c r="B2393" s="4" t="s">
        <v>9677</v>
      </c>
      <c r="C2393" s="4" t="s">
        <v>9678</v>
      </c>
      <c r="D2393" s="4" t="s">
        <v>5553</v>
      </c>
      <c r="E2393" s="5" t="n">
        <v>19520</v>
      </c>
      <c r="F2393" s="4" t="n">
        <v>1</v>
      </c>
      <c r="G2393" s="4" t="s">
        <v>9679</v>
      </c>
      <c r="H2393" s="4" t="n">
        <v>40.72674</v>
      </c>
      <c r="I2393" s="4" t="n">
        <v>-73.21372</v>
      </c>
      <c r="J2393" s="4" t="s">
        <v>9680</v>
      </c>
      <c r="K2393" s="6" t="str">
        <f aca="false">HYPERLINK("https://www.google.com/search?q=Islip+Public+Library+Islip+NY+library+website","Search")</f>
        <v>Search</v>
      </c>
      <c r="L2393" s="7"/>
      <c r="M2393" s="7"/>
    </row>
    <row r="2394" customFormat="false" ht="15" hidden="false" customHeight="true" outlineLevel="0" collapsed="false">
      <c r="A2394" s="4" t="s">
        <v>9244</v>
      </c>
      <c r="B2394" s="4" t="s">
        <v>9681</v>
      </c>
      <c r="C2394" s="4" t="s">
        <v>5165</v>
      </c>
      <c r="D2394" s="4" t="s">
        <v>9446</v>
      </c>
      <c r="E2394" s="5" t="n">
        <v>28712</v>
      </c>
      <c r="F2394" s="4" t="n">
        <v>1</v>
      </c>
      <c r="G2394" s="4" t="s">
        <v>9682</v>
      </c>
      <c r="H2394" s="4" t="n">
        <v>42.09831</v>
      </c>
      <c r="I2394" s="4" t="n">
        <v>-79.24361</v>
      </c>
      <c r="J2394" s="4" t="s">
        <v>9683</v>
      </c>
      <c r="K2394" s="6" t="str">
        <f aca="false">HYPERLINK("https://www.google.com/search?q=James+Prendergast+Library+Association+Jamestown+NY+library+website","Search")</f>
        <v>Search</v>
      </c>
      <c r="L2394" s="7"/>
      <c r="M2394" s="7"/>
    </row>
    <row r="2395" customFormat="false" ht="15" hidden="false" customHeight="true" outlineLevel="0" collapsed="false">
      <c r="A2395" s="4" t="s">
        <v>9244</v>
      </c>
      <c r="B2395" s="4" t="s">
        <v>9684</v>
      </c>
      <c r="C2395" s="4" t="s">
        <v>9685</v>
      </c>
      <c r="D2395" s="4" t="s">
        <v>2451</v>
      </c>
      <c r="E2395" s="5" t="n">
        <v>17456</v>
      </c>
      <c r="F2395" s="4" t="n">
        <v>1</v>
      </c>
      <c r="G2395" s="4" t="s">
        <v>9686</v>
      </c>
      <c r="H2395" s="4" t="n">
        <v>40.79363</v>
      </c>
      <c r="I2395" s="4" t="n">
        <v>-73.53511</v>
      </c>
      <c r="J2395" s="4" t="s">
        <v>9687</v>
      </c>
      <c r="K2395" s="6" t="str">
        <f aca="false">HYPERLINK("https://www.google.com/search?q=Jericho+Public+Library+Jericho+NY+library+website","Search")</f>
        <v>Search</v>
      </c>
      <c r="L2395" s="7"/>
      <c r="M2395" s="8" t="str">
        <f aca="false">HYPERLINK("https://jericholibrary.overdrive.com","https://jericholibrary.overdrive.com")</f>
        <v>https://jericholibrary.overdrive.com</v>
      </c>
    </row>
    <row r="2396" customFormat="false" ht="15" hidden="false" customHeight="true" outlineLevel="0" collapsed="false">
      <c r="A2396" s="4" t="s">
        <v>9244</v>
      </c>
      <c r="B2396" s="4" t="s">
        <v>9688</v>
      </c>
      <c r="C2396" s="4" t="s">
        <v>9689</v>
      </c>
      <c r="D2396" s="4" t="s">
        <v>4182</v>
      </c>
      <c r="E2396" s="5" t="n">
        <v>36569</v>
      </c>
      <c r="F2396" s="4" t="n">
        <v>1</v>
      </c>
      <c r="G2396" s="4" t="s">
        <v>9690</v>
      </c>
      <c r="H2396" s="4" t="n">
        <v>41.33013</v>
      </c>
      <c r="I2396" s="4" t="n">
        <v>-73.8293</v>
      </c>
      <c r="J2396" s="4" t="s">
        <v>9691</v>
      </c>
      <c r="K2396" s="6" t="str">
        <f aca="false">HYPERLINK("https://www.google.com/search?q=John+C.+Hart+Memorial+Library+Shrub+Oak+NY+library+website","Search")</f>
        <v>Search</v>
      </c>
      <c r="L2396" s="7"/>
      <c r="M2396" s="7"/>
    </row>
    <row r="2397" customFormat="false" ht="15" hidden="false" customHeight="true" outlineLevel="0" collapsed="false">
      <c r="A2397" s="4" t="s">
        <v>9244</v>
      </c>
      <c r="B2397" s="4" t="s">
        <v>9692</v>
      </c>
      <c r="C2397" s="4" t="s">
        <v>9693</v>
      </c>
      <c r="D2397" s="4" t="s">
        <v>2691</v>
      </c>
      <c r="E2397" s="5" t="n">
        <v>11135</v>
      </c>
      <c r="F2397" s="4" t="n">
        <v>1</v>
      </c>
      <c r="G2397" s="4" t="s">
        <v>9694</v>
      </c>
      <c r="H2397" s="4" t="n">
        <v>43.00453</v>
      </c>
      <c r="I2397" s="4" t="n">
        <v>-74.37224</v>
      </c>
      <c r="J2397" s="4" t="s">
        <v>9695</v>
      </c>
      <c r="K2397" s="6" t="str">
        <f aca="false">HYPERLINK("https://www.google.com/search?q=Johnstown+Public+Library+Johnstown+NY+library+website","Search")</f>
        <v>Search</v>
      </c>
      <c r="L2397" s="7"/>
      <c r="M2397" s="7"/>
    </row>
    <row r="2398" customFormat="false" ht="15" hidden="false" customHeight="true" outlineLevel="0" collapsed="false">
      <c r="A2398" s="4" t="s">
        <v>9244</v>
      </c>
      <c r="B2398" s="4" t="s">
        <v>9696</v>
      </c>
      <c r="C2398" s="4" t="s">
        <v>9697</v>
      </c>
      <c r="D2398" s="4" t="s">
        <v>4589</v>
      </c>
      <c r="E2398" s="5" t="n">
        <v>12900</v>
      </c>
      <c r="F2398" s="4" t="n">
        <v>1</v>
      </c>
      <c r="G2398" s="4" t="s">
        <v>9698</v>
      </c>
      <c r="H2398" s="4" t="n">
        <v>41.47926</v>
      </c>
      <c r="I2398" s="4" t="n">
        <v>-73.66995</v>
      </c>
      <c r="J2398" s="4" t="s">
        <v>9699</v>
      </c>
      <c r="K2398" s="6" t="str">
        <f aca="false">HYPERLINK("https://www.google.com/search?q=Kent+Public+Library+Kent+Lakes+NY+library+website","Search")</f>
        <v>Search</v>
      </c>
      <c r="L2398" s="7"/>
      <c r="M2398" s="7"/>
    </row>
    <row r="2399" customFormat="false" ht="15" hidden="false" customHeight="true" outlineLevel="0" collapsed="false">
      <c r="A2399" s="4" t="s">
        <v>9244</v>
      </c>
      <c r="B2399" s="4" t="s">
        <v>9700</v>
      </c>
      <c r="C2399" s="4" t="s">
        <v>5771</v>
      </c>
      <c r="D2399" s="4" t="s">
        <v>9477</v>
      </c>
      <c r="E2399" s="5" t="n">
        <v>24069</v>
      </c>
      <c r="F2399" s="4" t="n">
        <v>1</v>
      </c>
      <c r="G2399" s="4" t="s">
        <v>9701</v>
      </c>
      <c r="H2399" s="4" t="n">
        <v>41.92972</v>
      </c>
      <c r="I2399" s="4" t="n">
        <v>-74.01071</v>
      </c>
      <c r="J2399" s="4" t="s">
        <v>9702</v>
      </c>
      <c r="K2399" s="6" t="str">
        <f aca="false">HYPERLINK("https://www.google.com/search?q=Kingston+Library+Kingston+NY+library+website","Search")</f>
        <v>Search</v>
      </c>
      <c r="L2399" s="7"/>
      <c r="M2399" s="7"/>
    </row>
    <row r="2400" customFormat="false" ht="15" hidden="false" customHeight="true" outlineLevel="0" collapsed="false">
      <c r="A2400" s="4" t="s">
        <v>9244</v>
      </c>
      <c r="B2400" s="4" t="s">
        <v>9703</v>
      </c>
      <c r="C2400" s="4" t="s">
        <v>1964</v>
      </c>
      <c r="D2400" s="4" t="s">
        <v>9441</v>
      </c>
      <c r="E2400" s="5" t="n">
        <v>10075</v>
      </c>
      <c r="F2400" s="4" t="n">
        <v>1</v>
      </c>
      <c r="G2400" s="4" t="s">
        <v>9704</v>
      </c>
      <c r="H2400" s="4" t="n">
        <v>43.04784</v>
      </c>
      <c r="I2400" s="4" t="n">
        <v>-75.38427</v>
      </c>
      <c r="J2400" s="4" t="s">
        <v>9705</v>
      </c>
      <c r="K2400" s="6" t="str">
        <f aca="false">HYPERLINK("https://www.google.com/search?q=Kirkland+Town+Library+Clinton+NY+library+website","Search")</f>
        <v>Search</v>
      </c>
      <c r="L2400" s="7"/>
      <c r="M2400" s="7"/>
    </row>
    <row r="2401" customFormat="false" ht="15" hidden="false" customHeight="true" outlineLevel="0" collapsed="false">
      <c r="A2401" s="4" t="s">
        <v>9244</v>
      </c>
      <c r="B2401" s="4" t="s">
        <v>9706</v>
      </c>
      <c r="C2401" s="4" t="s">
        <v>9707</v>
      </c>
      <c r="D2401" s="4" t="s">
        <v>9253</v>
      </c>
      <c r="E2401" s="5" t="n">
        <v>19949</v>
      </c>
      <c r="F2401" s="4" t="n">
        <v>1</v>
      </c>
      <c r="G2401" s="4" t="s">
        <v>9708</v>
      </c>
      <c r="H2401" s="4" t="n">
        <v>42.82589</v>
      </c>
      <c r="I2401" s="4" t="n">
        <v>-78.83054</v>
      </c>
      <c r="J2401" s="4" t="s">
        <v>9709</v>
      </c>
      <c r="K2401" s="6" t="str">
        <f aca="false">HYPERLINK("https://www.google.com/search?q=Lackawanna+Public+Library+Lackawanna+NY+library+website","Search")</f>
        <v>Search</v>
      </c>
      <c r="L2401" s="7"/>
      <c r="M2401" s="7"/>
    </row>
    <row r="2402" customFormat="false" ht="15" hidden="false" customHeight="true" outlineLevel="0" collapsed="false">
      <c r="A2402" s="4" t="s">
        <v>9244</v>
      </c>
      <c r="B2402" s="4" t="s">
        <v>9710</v>
      </c>
      <c r="C2402" s="4" t="s">
        <v>9711</v>
      </c>
      <c r="D2402" s="4" t="s">
        <v>9294</v>
      </c>
      <c r="E2402" s="5" t="n">
        <v>15975</v>
      </c>
      <c r="F2402" s="4" t="n">
        <v>1</v>
      </c>
      <c r="G2402" s="4" t="s">
        <v>9712</v>
      </c>
      <c r="H2402" s="4" t="n">
        <v>41.67129</v>
      </c>
      <c r="I2402" s="4" t="n">
        <v>-73.80109</v>
      </c>
      <c r="J2402" s="4" t="s">
        <v>9713</v>
      </c>
      <c r="K2402" s="6" t="str">
        <f aca="false">HYPERLINK("https://www.google.com/search?q=Lagrange+Association+Library+Lagrangeville+NY+library+website","Search")</f>
        <v>Search</v>
      </c>
      <c r="L2402" s="7"/>
      <c r="M2402" s="7"/>
    </row>
    <row r="2403" customFormat="false" ht="15" hidden="false" customHeight="true" outlineLevel="0" collapsed="false">
      <c r="A2403" s="4" t="s">
        <v>9244</v>
      </c>
      <c r="B2403" s="4" t="s">
        <v>9714</v>
      </c>
      <c r="C2403" s="4" t="s">
        <v>4923</v>
      </c>
      <c r="D2403" s="4" t="s">
        <v>9253</v>
      </c>
      <c r="E2403" s="5" t="n">
        <v>45106</v>
      </c>
      <c r="F2403" s="4" t="n">
        <v>1</v>
      </c>
      <c r="G2403" s="4" t="s">
        <v>9715</v>
      </c>
      <c r="H2403" s="4" t="n">
        <v>42.90005</v>
      </c>
      <c r="I2403" s="4" t="n">
        <v>-78.6678</v>
      </c>
      <c r="J2403" s="4" t="s">
        <v>9716</v>
      </c>
      <c r="K2403" s="6" t="str">
        <f aca="false">HYPERLINK("https://www.google.com/search?q=Lancaster+Public+Library+Lancaster+NY+library+website","Search")</f>
        <v>Search</v>
      </c>
      <c r="L2403" s="7"/>
      <c r="M2403" s="7"/>
    </row>
    <row r="2404" customFormat="false" ht="15" hidden="false" customHeight="true" outlineLevel="0" collapsed="false">
      <c r="A2404" s="4" t="s">
        <v>9244</v>
      </c>
      <c r="B2404" s="4" t="s">
        <v>9717</v>
      </c>
      <c r="C2404" s="4" t="s">
        <v>9718</v>
      </c>
      <c r="D2404" s="4" t="s">
        <v>4182</v>
      </c>
      <c r="E2404" s="5" t="n">
        <v>19480</v>
      </c>
      <c r="F2404" s="4" t="n">
        <v>1</v>
      </c>
      <c r="G2404" s="4" t="s">
        <v>9719</v>
      </c>
      <c r="H2404" s="4" t="n">
        <v>40.92758</v>
      </c>
      <c r="I2404" s="4" t="n">
        <v>-73.75087</v>
      </c>
      <c r="J2404" s="4" t="s">
        <v>9720</v>
      </c>
      <c r="K2404" s="6" t="str">
        <f aca="false">HYPERLINK("https://www.google.com/search?q=Larchmont+Public+Library+Larchmont+NY+library+website","Search")</f>
        <v>Search</v>
      </c>
      <c r="L2404" s="7"/>
      <c r="M2404" s="7"/>
    </row>
    <row r="2405" customFormat="false" ht="15" hidden="false" customHeight="true" outlineLevel="0" collapsed="false">
      <c r="A2405" s="4" t="s">
        <v>9244</v>
      </c>
      <c r="B2405" s="4" t="s">
        <v>9721</v>
      </c>
      <c r="C2405" s="4" t="s">
        <v>9722</v>
      </c>
      <c r="D2405" s="4" t="s">
        <v>5351</v>
      </c>
      <c r="E2405" s="5" t="n">
        <v>10735</v>
      </c>
      <c r="F2405" s="4" t="n">
        <v>1</v>
      </c>
      <c r="G2405" s="4" t="s">
        <v>9723</v>
      </c>
      <c r="H2405" s="4" t="n">
        <v>43.2177</v>
      </c>
      <c r="I2405" s="4" t="n">
        <v>-78.38949</v>
      </c>
      <c r="J2405" s="4" t="s">
        <v>9724</v>
      </c>
      <c r="K2405" s="6" t="str">
        <f aca="false">HYPERLINK("https://www.google.com/search?q=Lee-Whedon+Memorial+Library+Medina+NY+library+website","Search")</f>
        <v>Search</v>
      </c>
      <c r="L2405" s="7"/>
      <c r="M2405" s="7"/>
    </row>
    <row r="2406" customFormat="false" ht="15" hidden="false" customHeight="true" outlineLevel="0" collapsed="false">
      <c r="A2406" s="4" t="s">
        <v>9244</v>
      </c>
      <c r="B2406" s="4" t="s">
        <v>9725</v>
      </c>
      <c r="C2406" s="4" t="s">
        <v>9674</v>
      </c>
      <c r="D2406" s="4" t="s">
        <v>2451</v>
      </c>
      <c r="E2406" s="5" t="n">
        <v>46344</v>
      </c>
      <c r="F2406" s="4" t="n">
        <v>1</v>
      </c>
      <c r="G2406" s="4" t="s">
        <v>9726</v>
      </c>
      <c r="H2406" s="4" t="n">
        <v>40.72326</v>
      </c>
      <c r="I2406" s="4" t="n">
        <v>-73.5297</v>
      </c>
      <c r="J2406" s="4" t="s">
        <v>9727</v>
      </c>
      <c r="K2406" s="6" t="str">
        <f aca="false">HYPERLINK("https://www.google.com/search?q=Levittown+Public+Library+Levittown+NY+library+website","Search")</f>
        <v>Search</v>
      </c>
      <c r="L2406" s="7"/>
      <c r="M2406" s="7"/>
    </row>
    <row r="2407" customFormat="false" ht="15" hidden="false" customHeight="true" outlineLevel="0" collapsed="false">
      <c r="A2407" s="4" t="s">
        <v>9244</v>
      </c>
      <c r="B2407" s="4" t="s">
        <v>9728</v>
      </c>
      <c r="C2407" s="4" t="s">
        <v>9729</v>
      </c>
      <c r="D2407" s="4" t="s">
        <v>4182</v>
      </c>
      <c r="E2407" s="5" t="n">
        <v>12265</v>
      </c>
      <c r="F2407" s="4" t="n">
        <v>1</v>
      </c>
      <c r="G2407" s="4" t="s">
        <v>9730</v>
      </c>
      <c r="H2407" s="4" t="n">
        <v>41.27617</v>
      </c>
      <c r="I2407" s="4" t="n">
        <v>-73.5561</v>
      </c>
      <c r="J2407" s="4" t="s">
        <v>9731</v>
      </c>
      <c r="K2407" s="6" t="str">
        <f aca="false">HYPERLINK("https://www.google.com/search?q=Lewisboro+Library+South+Salem+NY+library+website","Search")</f>
        <v>Search</v>
      </c>
      <c r="L2407" s="7"/>
      <c r="M2407" s="7"/>
    </row>
    <row r="2408" customFormat="false" ht="15" hidden="false" customHeight="true" outlineLevel="0" collapsed="false">
      <c r="A2408" s="4" t="s">
        <v>9244</v>
      </c>
      <c r="B2408" s="4" t="s">
        <v>6315</v>
      </c>
      <c r="C2408" s="4" t="s">
        <v>3240</v>
      </c>
      <c r="D2408" s="4" t="s">
        <v>9732</v>
      </c>
      <c r="E2408" s="5" t="n">
        <v>13401</v>
      </c>
      <c r="F2408" s="4" t="n">
        <v>1</v>
      </c>
      <c r="G2408" s="4" t="s">
        <v>9733</v>
      </c>
      <c r="H2408" s="4" t="n">
        <v>43.16911</v>
      </c>
      <c r="I2408" s="4" t="n">
        <v>-79.03709</v>
      </c>
      <c r="J2408" s="4" t="s">
        <v>9734</v>
      </c>
      <c r="K2408" s="6" t="str">
        <f aca="false">HYPERLINK("https://www.google.com/search?q=Lewiston+Public+Library+Lewiston+NY+library+website","Search")</f>
        <v>Search</v>
      </c>
      <c r="L2408" s="7"/>
      <c r="M2408" s="7"/>
    </row>
    <row r="2409" customFormat="false" ht="15" hidden="false" customHeight="true" outlineLevel="0" collapsed="false">
      <c r="A2409" s="4" t="s">
        <v>9244</v>
      </c>
      <c r="B2409" s="4" t="s">
        <v>9735</v>
      </c>
      <c r="C2409" s="4" t="s">
        <v>4879</v>
      </c>
      <c r="D2409" s="4" t="s">
        <v>4622</v>
      </c>
      <c r="E2409" s="5" t="n">
        <v>10626</v>
      </c>
      <c r="F2409" s="4" t="n">
        <v>1</v>
      </c>
      <c r="G2409" s="4" t="s">
        <v>9736</v>
      </c>
      <c r="H2409" s="4" t="n">
        <v>41.80271</v>
      </c>
      <c r="I2409" s="4" t="n">
        <v>-74.74692</v>
      </c>
      <c r="J2409" s="4" t="s">
        <v>9737</v>
      </c>
      <c r="K2409" s="6" t="str">
        <f aca="false">HYPERLINK("https://www.google.com/search?q=Liberty+Public+Library+Liberty+NY+library+website","Search")</f>
        <v>Search</v>
      </c>
      <c r="L2409" s="7"/>
      <c r="M2409" s="7"/>
    </row>
    <row r="2410" customFormat="false" ht="15" hidden="false" customHeight="true" outlineLevel="0" collapsed="false">
      <c r="A2410" s="4" t="s">
        <v>9244</v>
      </c>
      <c r="B2410" s="4" t="s">
        <v>9738</v>
      </c>
      <c r="C2410" s="4" t="s">
        <v>3755</v>
      </c>
      <c r="D2410" s="4" t="s">
        <v>5553</v>
      </c>
      <c r="E2410" s="5" t="n">
        <v>41712</v>
      </c>
      <c r="F2410" s="4" t="n">
        <v>1</v>
      </c>
      <c r="G2410" s="4" t="s">
        <v>9739</v>
      </c>
      <c r="H2410" s="4" t="n">
        <v>40.68252</v>
      </c>
      <c r="I2410" s="4" t="n">
        <v>-73.36769</v>
      </c>
      <c r="J2410" s="4" t="s">
        <v>9740</v>
      </c>
      <c r="K2410" s="6" t="str">
        <f aca="false">HYPERLINK("https://www.google.com/search?q=Lindenhurst+Memorial+Library+Lindenhurst+NY+library+website","Search")</f>
        <v>Search</v>
      </c>
      <c r="L2410" s="7"/>
      <c r="M2410" s="7"/>
    </row>
    <row r="2411" customFormat="false" ht="15" hidden="false" customHeight="true" outlineLevel="0" collapsed="false">
      <c r="A2411" s="4" t="s">
        <v>9244</v>
      </c>
      <c r="B2411" s="4" t="s">
        <v>9741</v>
      </c>
      <c r="C2411" s="4" t="s">
        <v>9742</v>
      </c>
      <c r="D2411" s="4" t="s">
        <v>9276</v>
      </c>
      <c r="E2411" s="5" t="n">
        <v>52419</v>
      </c>
      <c r="F2411" s="4" t="n">
        <v>1</v>
      </c>
      <c r="G2411" s="4" t="s">
        <v>9743</v>
      </c>
      <c r="H2411" s="4" t="n">
        <v>43.10284</v>
      </c>
      <c r="I2411" s="4" t="n">
        <v>-76.20799</v>
      </c>
      <c r="J2411" s="4" t="s">
        <v>9744</v>
      </c>
      <c r="K2411" s="6" t="str">
        <f aca="false">HYPERLINK("https://www.google.com/search?q=Liverpool+Public+Library+Liverpool+NY+library+website","Search")</f>
        <v>Search</v>
      </c>
      <c r="L2411" s="7"/>
      <c r="M2411" s="7"/>
    </row>
    <row r="2412" customFormat="false" ht="15" hidden="false" customHeight="true" outlineLevel="0" collapsed="false">
      <c r="A2412" s="4" t="s">
        <v>9244</v>
      </c>
      <c r="B2412" s="4" t="s">
        <v>9745</v>
      </c>
      <c r="C2412" s="4" t="s">
        <v>9746</v>
      </c>
      <c r="D2412" s="4" t="s">
        <v>9732</v>
      </c>
      <c r="E2412" s="5" t="n">
        <v>35829</v>
      </c>
      <c r="F2412" s="4" t="n">
        <v>1</v>
      </c>
      <c r="G2412" s="4" t="s">
        <v>9747</v>
      </c>
      <c r="H2412" s="4" t="n">
        <v>43.17168</v>
      </c>
      <c r="I2412" s="4" t="n">
        <v>-78.68775</v>
      </c>
      <c r="J2412" s="4" t="s">
        <v>9748</v>
      </c>
      <c r="K2412" s="6" t="str">
        <f aca="false">HYPERLINK("https://www.google.com/search?q=Lockport+Public+Library+Lockport+NY+library+website","Search")</f>
        <v>Search</v>
      </c>
      <c r="L2412" s="7"/>
      <c r="M2412" s="7"/>
    </row>
    <row r="2413" customFormat="false" ht="15" hidden="false" customHeight="true" outlineLevel="0" collapsed="false">
      <c r="A2413" s="4" t="s">
        <v>9244</v>
      </c>
      <c r="B2413" s="4" t="s">
        <v>1148</v>
      </c>
      <c r="C2413" s="4" t="s">
        <v>1149</v>
      </c>
      <c r="D2413" s="4" t="s">
        <v>2451</v>
      </c>
      <c r="E2413" s="5" t="n">
        <v>40647</v>
      </c>
      <c r="F2413" s="4" t="n">
        <v>3</v>
      </c>
      <c r="G2413" s="4" t="s">
        <v>9749</v>
      </c>
      <c r="H2413" s="4" t="n">
        <v>40.58888</v>
      </c>
      <c r="I2413" s="4" t="n">
        <v>-73.66747</v>
      </c>
      <c r="J2413" s="4" t="s">
        <v>9750</v>
      </c>
      <c r="K2413" s="6" t="str">
        <f aca="false">HYPERLINK("https://www.google.com/search?q=Long+Beach+Public+Library+Long+Beach+NY+library+website","Search")</f>
        <v>Search</v>
      </c>
      <c r="L2413" s="7"/>
      <c r="M2413" s="7"/>
    </row>
    <row r="2414" customFormat="false" ht="15" hidden="false" customHeight="true" outlineLevel="0" collapsed="false">
      <c r="A2414" s="4" t="s">
        <v>9244</v>
      </c>
      <c r="B2414" s="4" t="s">
        <v>9751</v>
      </c>
      <c r="C2414" s="4" t="s">
        <v>9752</v>
      </c>
      <c r="D2414" s="4" t="s">
        <v>5553</v>
      </c>
      <c r="E2414" s="5" t="n">
        <v>67883</v>
      </c>
      <c r="F2414" s="4" t="n">
        <v>1</v>
      </c>
      <c r="G2414" s="4" t="s">
        <v>9753</v>
      </c>
      <c r="H2414" s="4" t="n">
        <v>40.88217</v>
      </c>
      <c r="I2414" s="4" t="n">
        <v>-72.94399</v>
      </c>
      <c r="J2414" s="4" t="s">
        <v>9754</v>
      </c>
      <c r="K2414" s="6" t="str">
        <f aca="false">HYPERLINK("https://www.google.com/search?q=Longwood+Public+Library+Middle+Island+NY+library+website","Search")</f>
        <v>Search</v>
      </c>
      <c r="L2414" s="7"/>
      <c r="M2414" s="7"/>
    </row>
    <row r="2415" customFormat="false" ht="15" hidden="false" customHeight="true" outlineLevel="0" collapsed="false">
      <c r="A2415" s="4" t="s">
        <v>9244</v>
      </c>
      <c r="B2415" s="4" t="s">
        <v>9755</v>
      </c>
      <c r="C2415" s="4" t="s">
        <v>9756</v>
      </c>
      <c r="D2415" s="4" t="s">
        <v>2451</v>
      </c>
      <c r="E2415" s="5" t="n">
        <v>20438</v>
      </c>
      <c r="F2415" s="4" t="n">
        <v>1</v>
      </c>
      <c r="G2415" s="4" t="s">
        <v>9757</v>
      </c>
      <c r="H2415" s="4" t="n">
        <v>40.65418</v>
      </c>
      <c r="I2415" s="4" t="n">
        <v>-73.6744</v>
      </c>
      <c r="J2415" s="4" t="s">
        <v>9758</v>
      </c>
      <c r="K2415" s="6" t="str">
        <f aca="false">HYPERLINK("https://www.google.com/search?q=Lynbrook+Public+Library+Lynbrook+NY+library+website","Search")</f>
        <v>Search</v>
      </c>
      <c r="L2415" s="7"/>
      <c r="M2415" s="7"/>
    </row>
    <row r="2416" customFormat="false" ht="15" hidden="false" customHeight="true" outlineLevel="0" collapsed="false">
      <c r="A2416" s="4" t="s">
        <v>9244</v>
      </c>
      <c r="B2416" s="4" t="s">
        <v>9759</v>
      </c>
      <c r="C2416" s="4" t="s">
        <v>9760</v>
      </c>
      <c r="D2416" s="4" t="s">
        <v>4589</v>
      </c>
      <c r="E2416" s="5" t="n">
        <v>25805</v>
      </c>
      <c r="F2416" s="4" t="n">
        <v>1</v>
      </c>
      <c r="G2416" s="4" t="s">
        <v>9761</v>
      </c>
      <c r="H2416" s="4" t="n">
        <v>41.37367</v>
      </c>
      <c r="I2416" s="4" t="n">
        <v>-73.73037</v>
      </c>
      <c r="J2416" s="4" t="s">
        <v>9762</v>
      </c>
      <c r="K2416" s="6" t="str">
        <f aca="false">HYPERLINK("https://www.google.com/search?q=Mahopac+Public+Library+Mahopac+NY+library+website","Search")</f>
        <v>Search</v>
      </c>
      <c r="L2416" s="7"/>
      <c r="M2416" s="7"/>
    </row>
    <row r="2417" customFormat="false" ht="15" hidden="false" customHeight="true" outlineLevel="0" collapsed="false">
      <c r="A2417" s="4" t="s">
        <v>9244</v>
      </c>
      <c r="B2417" s="4" t="s">
        <v>9763</v>
      </c>
      <c r="C2417" s="4" t="s">
        <v>9764</v>
      </c>
      <c r="D2417" s="4" t="s">
        <v>4622</v>
      </c>
      <c r="E2417" s="5" t="n">
        <v>10718</v>
      </c>
      <c r="F2417" s="4" t="n">
        <v>1</v>
      </c>
      <c r="G2417" s="4" t="s">
        <v>9765</v>
      </c>
      <c r="H2417" s="4" t="n">
        <v>41.57642</v>
      </c>
      <c r="I2417" s="4" t="n">
        <v>-74.48531</v>
      </c>
      <c r="J2417" s="4" t="s">
        <v>9766</v>
      </c>
      <c r="K2417" s="6" t="str">
        <f aca="false">HYPERLINK("https://www.google.com/search?q=Mamakating+Library+Wurtsboro+NY+library+website","Search")</f>
        <v>Search</v>
      </c>
      <c r="L2417" s="7"/>
      <c r="M2417" s="7"/>
    </row>
    <row r="2418" customFormat="false" ht="15" hidden="false" customHeight="true" outlineLevel="0" collapsed="false">
      <c r="A2418" s="4" t="s">
        <v>9244</v>
      </c>
      <c r="B2418" s="4" t="s">
        <v>9767</v>
      </c>
      <c r="C2418" s="4" t="s">
        <v>9768</v>
      </c>
      <c r="D2418" s="4" t="s">
        <v>4182</v>
      </c>
      <c r="E2418" s="5" t="n">
        <v>20151</v>
      </c>
      <c r="F2418" s="4" t="n">
        <v>1</v>
      </c>
      <c r="G2418" s="4" t="s">
        <v>9769</v>
      </c>
      <c r="H2418" s="4" t="n">
        <v>40.94944</v>
      </c>
      <c r="I2418" s="4" t="n">
        <v>-73.73412</v>
      </c>
      <c r="J2418" s="4" t="s">
        <v>9770</v>
      </c>
      <c r="K2418" s="6" t="str">
        <f aca="false">HYPERLINK("https://www.google.com/search?q=Mamaroneck+Public+Library+District+Mamaroneck+NY+library+website","Search")</f>
        <v>Search</v>
      </c>
      <c r="L2418" s="7"/>
      <c r="M2418" s="7"/>
    </row>
    <row r="2419" customFormat="false" ht="15" hidden="false" customHeight="true" outlineLevel="0" collapsed="false">
      <c r="A2419" s="4" t="s">
        <v>9244</v>
      </c>
      <c r="B2419" s="4" t="s">
        <v>9771</v>
      </c>
      <c r="C2419" s="4" t="s">
        <v>9772</v>
      </c>
      <c r="D2419" s="4" t="s">
        <v>2451</v>
      </c>
      <c r="E2419" s="5" t="n">
        <v>16453</v>
      </c>
      <c r="F2419" s="4" t="n">
        <v>1</v>
      </c>
      <c r="G2419" s="4" t="s">
        <v>9773</v>
      </c>
      <c r="H2419" s="4" t="n">
        <v>40.7935</v>
      </c>
      <c r="I2419" s="4" t="n">
        <v>-73.69473</v>
      </c>
      <c r="J2419" s="4" t="s">
        <v>9774</v>
      </c>
      <c r="K2419" s="6" t="str">
        <f aca="false">HYPERLINK("https://www.google.com/search?q=Manhasset+Public+Library+Manhasset+NY+library+website","Search")</f>
        <v>Search</v>
      </c>
      <c r="L2419" s="7"/>
      <c r="M2419" s="7"/>
    </row>
    <row r="2420" customFormat="false" ht="15" hidden="false" customHeight="true" outlineLevel="0" collapsed="false">
      <c r="A2420" s="4" t="s">
        <v>9244</v>
      </c>
      <c r="B2420" s="4" t="s">
        <v>9775</v>
      </c>
      <c r="C2420" s="4" t="s">
        <v>9776</v>
      </c>
      <c r="D2420" s="4" t="s">
        <v>9276</v>
      </c>
      <c r="E2420" s="5" t="n">
        <v>11913</v>
      </c>
      <c r="F2420" s="4" t="n">
        <v>1</v>
      </c>
      <c r="G2420" s="4" t="s">
        <v>9777</v>
      </c>
      <c r="H2420" s="4" t="n">
        <v>43.00406</v>
      </c>
      <c r="I2420" s="4" t="n">
        <v>-75.98483</v>
      </c>
      <c r="J2420" s="4" t="s">
        <v>9778</v>
      </c>
      <c r="K2420" s="6" t="str">
        <f aca="false">HYPERLINK("https://www.google.com/search?q=Manlius+Library+Manlius+NY+library+website","Search")</f>
        <v>Search</v>
      </c>
      <c r="L2420" s="7"/>
      <c r="M2420" s="7"/>
    </row>
    <row r="2421" customFormat="false" ht="15" hidden="false" customHeight="true" outlineLevel="0" collapsed="false">
      <c r="A2421" s="4" t="s">
        <v>9244</v>
      </c>
      <c r="B2421" s="4" t="s">
        <v>9779</v>
      </c>
      <c r="C2421" s="4" t="s">
        <v>9780</v>
      </c>
      <c r="D2421" s="4" t="s">
        <v>9477</v>
      </c>
      <c r="E2421" s="5" t="n">
        <v>13256</v>
      </c>
      <c r="F2421" s="4" t="n">
        <v>1</v>
      </c>
      <c r="G2421" s="4" t="s">
        <v>9781</v>
      </c>
      <c r="H2421" s="4" t="n">
        <v>41.60258</v>
      </c>
      <c r="I2421" s="4" t="n">
        <v>-73.97309</v>
      </c>
      <c r="J2421" s="4" t="s">
        <v>9782</v>
      </c>
      <c r="K2421" s="6" t="str">
        <f aca="false">HYPERLINK("https://www.google.com/search?q=Marlboro+Free+Library+Marlboro+NY+library+website","Search")</f>
        <v>Search</v>
      </c>
      <c r="L2421" s="7"/>
      <c r="M2421" s="7"/>
    </row>
    <row r="2422" customFormat="false" ht="15" hidden="false" customHeight="true" outlineLevel="0" collapsed="false">
      <c r="A2422" s="4" t="s">
        <v>9244</v>
      </c>
      <c r="B2422" s="4" t="s">
        <v>9783</v>
      </c>
      <c r="C2422" s="4" t="s">
        <v>9784</v>
      </c>
      <c r="D2422" s="4" t="s">
        <v>2451</v>
      </c>
      <c r="E2422" s="5" t="n">
        <v>46724</v>
      </c>
      <c r="F2422" s="4" t="n">
        <v>2</v>
      </c>
      <c r="G2422" s="4" t="s">
        <v>9785</v>
      </c>
      <c r="H2422" s="4" t="n">
        <v>40.66387</v>
      </c>
      <c r="I2422" s="4" t="n">
        <v>-73.45624</v>
      </c>
      <c r="J2422" s="4" t="s">
        <v>9786</v>
      </c>
      <c r="K2422" s="6" t="str">
        <f aca="false">HYPERLINK("https://www.google.com/search?q=Massapequa+Public+Library+Massapequa+Park+NY+library+website","Search")</f>
        <v>Search</v>
      </c>
      <c r="L2422" s="7"/>
      <c r="M2422" s="7"/>
    </row>
    <row r="2423" customFormat="false" ht="15" hidden="false" customHeight="true" outlineLevel="0" collapsed="false">
      <c r="A2423" s="4" t="s">
        <v>9244</v>
      </c>
      <c r="B2423" s="4" t="s">
        <v>9787</v>
      </c>
      <c r="C2423" s="4" t="s">
        <v>9788</v>
      </c>
      <c r="D2423" s="4" t="s">
        <v>9349</v>
      </c>
      <c r="E2423" s="5" t="n">
        <v>12433</v>
      </c>
      <c r="F2423" s="4" t="n">
        <v>2</v>
      </c>
      <c r="G2423" s="4" t="s">
        <v>9789</v>
      </c>
      <c r="H2423" s="4" t="n">
        <v>44.93112</v>
      </c>
      <c r="I2423" s="4" t="n">
        <v>-74.89101</v>
      </c>
      <c r="J2423" s="4" t="s">
        <v>9790</v>
      </c>
      <c r="K2423" s="6" t="str">
        <f aca="false">HYPERLINK("https://www.google.com/search?q=Massena+Public+Library+Massena+NY+library+website","Search")</f>
        <v>Search</v>
      </c>
      <c r="L2423" s="7"/>
      <c r="M2423" s="7"/>
    </row>
    <row r="2424" customFormat="false" ht="15" hidden="false" customHeight="true" outlineLevel="0" collapsed="false">
      <c r="A2424" s="4" t="s">
        <v>9244</v>
      </c>
      <c r="B2424" s="4" t="s">
        <v>9791</v>
      </c>
      <c r="C2424" s="4" t="s">
        <v>9792</v>
      </c>
      <c r="D2424" s="4" t="s">
        <v>5553</v>
      </c>
      <c r="E2424" s="5" t="n">
        <v>50285</v>
      </c>
      <c r="F2424" s="4" t="n">
        <v>1</v>
      </c>
      <c r="G2424" s="4" t="s">
        <v>9793</v>
      </c>
      <c r="H2424" s="4" t="n">
        <v>40.78052</v>
      </c>
      <c r="I2424" s="4" t="n">
        <v>-72.86502</v>
      </c>
      <c r="J2424" s="4" t="s">
        <v>9794</v>
      </c>
      <c r="K2424" s="6" t="str">
        <f aca="false">HYPERLINK("https://www.google.com/search?q=Mastics-Moriches-Shirley+Community+Lib+Shirley+NY+library+website","Search")</f>
        <v>Search</v>
      </c>
      <c r="L2424" s="7"/>
      <c r="M2424" s="7"/>
    </row>
    <row r="2425" customFormat="false" ht="15" hidden="false" customHeight="true" outlineLevel="0" collapsed="false">
      <c r="A2425" s="4" t="s">
        <v>9244</v>
      </c>
      <c r="B2425" s="4" t="s">
        <v>9795</v>
      </c>
      <c r="C2425" s="4" t="s">
        <v>9796</v>
      </c>
      <c r="D2425" s="4" t="s">
        <v>9276</v>
      </c>
      <c r="E2425" s="5" t="n">
        <v>20767</v>
      </c>
      <c r="F2425" s="4" t="n">
        <v>1</v>
      </c>
      <c r="G2425" s="4" t="s">
        <v>9797</v>
      </c>
      <c r="H2425" s="4" t="n">
        <v>43.03927</v>
      </c>
      <c r="I2425" s="4" t="n">
        <v>-76.3063</v>
      </c>
      <c r="J2425" s="4" t="s">
        <v>9798</v>
      </c>
      <c r="K2425" s="6" t="str">
        <f aca="false">HYPERLINK("https://www.google.com/search?q=Maxwell+Memorial+Library+Camillus+NY+library+website","Search")</f>
        <v>Search</v>
      </c>
      <c r="L2425" s="7"/>
      <c r="M2425" s="7"/>
    </row>
    <row r="2426" customFormat="false" ht="15" hidden="false" customHeight="true" outlineLevel="0" collapsed="false">
      <c r="A2426" s="4" t="s">
        <v>9244</v>
      </c>
      <c r="B2426" s="4" t="s">
        <v>9799</v>
      </c>
      <c r="C2426" s="4" t="s">
        <v>9800</v>
      </c>
      <c r="D2426" s="4" t="s">
        <v>9281</v>
      </c>
      <c r="E2426" s="5" t="n">
        <v>10321</v>
      </c>
      <c r="F2426" s="4" t="n">
        <v>1</v>
      </c>
      <c r="G2426" s="4" t="s">
        <v>9801</v>
      </c>
      <c r="H2426" s="4" t="n">
        <v>42.90882</v>
      </c>
      <c r="I2426" s="4" t="n">
        <v>-73.68318</v>
      </c>
      <c r="J2426" s="4" t="s">
        <v>9802</v>
      </c>
      <c r="K2426" s="6" t="str">
        <f aca="false">HYPERLINK("https://www.google.com/search?q=Mechanicville+District+Public+Library+Mechanicville+NY+library+website","Search")</f>
        <v>Search</v>
      </c>
      <c r="L2426" s="7"/>
      <c r="M2426" s="7"/>
    </row>
    <row r="2427" customFormat="false" ht="15" hidden="false" customHeight="true" outlineLevel="0" collapsed="false">
      <c r="A2427" s="4" t="s">
        <v>9244</v>
      </c>
      <c r="B2427" s="4" t="s">
        <v>9803</v>
      </c>
      <c r="C2427" s="4" t="s">
        <v>9804</v>
      </c>
      <c r="D2427" s="4" t="s">
        <v>2451</v>
      </c>
      <c r="E2427" s="5" t="n">
        <v>18085</v>
      </c>
      <c r="F2427" s="4" t="n">
        <v>1</v>
      </c>
      <c r="G2427" s="4" t="s">
        <v>9805</v>
      </c>
      <c r="H2427" s="4" t="n">
        <v>40.66179</v>
      </c>
      <c r="I2427" s="4" t="n">
        <v>-73.55107</v>
      </c>
      <c r="J2427" s="4" t="s">
        <v>9806</v>
      </c>
      <c r="K2427" s="6" t="str">
        <f aca="false">HYPERLINK("https://www.google.com/search?q=Merrick+Library+Merrick+NY+library+website","Search")</f>
        <v>Search</v>
      </c>
      <c r="L2427" s="7"/>
      <c r="M2427" s="7"/>
    </row>
    <row r="2428" customFormat="false" ht="15" hidden="false" customHeight="true" outlineLevel="0" collapsed="false">
      <c r="A2428" s="4" t="s">
        <v>9244</v>
      </c>
      <c r="B2428" s="4" t="s">
        <v>9807</v>
      </c>
      <c r="C2428" s="4" t="s">
        <v>9808</v>
      </c>
      <c r="D2428" s="4" t="s">
        <v>5553</v>
      </c>
      <c r="E2428" s="5" t="n">
        <v>61579</v>
      </c>
      <c r="F2428" s="4" t="n">
        <v>2</v>
      </c>
      <c r="G2428" s="4" t="s">
        <v>9809</v>
      </c>
      <c r="H2428" s="4" t="n">
        <v>40.86476</v>
      </c>
      <c r="I2428" s="4" t="n">
        <v>-73.07996</v>
      </c>
      <c r="J2428" s="4" t="s">
        <v>9810</v>
      </c>
      <c r="K2428" s="6" t="str">
        <f aca="false">HYPERLINK("https://www.google.com/search?q=Middle+Country+Public+Library+Centereach+NY+library+website","Search")</f>
        <v>Search</v>
      </c>
      <c r="L2428" s="7"/>
      <c r="M2428" s="7"/>
    </row>
    <row r="2429" customFormat="false" ht="15" hidden="false" customHeight="true" outlineLevel="0" collapsed="false">
      <c r="A2429" s="4" t="s">
        <v>9244</v>
      </c>
      <c r="B2429" s="4" t="s">
        <v>9811</v>
      </c>
      <c r="C2429" s="4" t="s">
        <v>9812</v>
      </c>
      <c r="D2429" s="4" t="s">
        <v>2451</v>
      </c>
      <c r="E2429" s="5" t="n">
        <v>20800</v>
      </c>
      <c r="F2429" s="4" t="n">
        <v>1</v>
      </c>
      <c r="G2429" s="4" t="s">
        <v>9813</v>
      </c>
      <c r="H2429" s="4" t="n">
        <v>40.74403</v>
      </c>
      <c r="I2429" s="4" t="n">
        <v>-73.64659</v>
      </c>
      <c r="J2429" s="4" t="s">
        <v>9814</v>
      </c>
      <c r="K2429" s="6" t="str">
        <f aca="false">HYPERLINK("https://www.google.com/search?q=Mineola+Memorial+Library+Mineola+NY+library+website","Search")</f>
        <v>Search</v>
      </c>
      <c r="L2429" s="7"/>
      <c r="M2429" s="7"/>
    </row>
    <row r="2430" customFormat="false" ht="15" hidden="false" customHeight="true" outlineLevel="0" collapsed="false">
      <c r="A2430" s="4" t="s">
        <v>9244</v>
      </c>
      <c r="B2430" s="4" t="s">
        <v>9815</v>
      </c>
      <c r="C2430" s="4" t="s">
        <v>9816</v>
      </c>
      <c r="D2430" s="4" t="s">
        <v>885</v>
      </c>
      <c r="E2430" s="5" t="n">
        <v>25789</v>
      </c>
      <c r="F2430" s="4" t="n">
        <v>1</v>
      </c>
      <c r="G2430" s="4" t="s">
        <v>9817</v>
      </c>
      <c r="H2430" s="4" t="n">
        <v>41.42766</v>
      </c>
      <c r="I2430" s="4" t="n">
        <v>-74.1673</v>
      </c>
      <c r="J2430" s="4" t="s">
        <v>9818</v>
      </c>
      <c r="K2430" s="6" t="str">
        <f aca="false">HYPERLINK("https://www.google.com/search?q=Moffat+Library+Of+Washingtonville+Washingtonville+NY+library+website","Search")</f>
        <v>Search</v>
      </c>
      <c r="L2430" s="7"/>
      <c r="M2430" s="7"/>
    </row>
    <row r="2431" customFormat="false" ht="15" hidden="false" customHeight="true" outlineLevel="0" collapsed="false">
      <c r="A2431" s="4" t="s">
        <v>9244</v>
      </c>
      <c r="B2431" s="4" t="s">
        <v>9819</v>
      </c>
      <c r="C2431" s="4" t="s">
        <v>311</v>
      </c>
      <c r="D2431" s="4" t="s">
        <v>885</v>
      </c>
      <c r="E2431" s="5" t="n">
        <v>21387</v>
      </c>
      <c r="F2431" s="4" t="n">
        <v>1</v>
      </c>
      <c r="G2431" s="4" t="s">
        <v>9820</v>
      </c>
      <c r="H2431" s="4" t="n">
        <v>41.32761</v>
      </c>
      <c r="I2431" s="4" t="n">
        <v>-74.18836</v>
      </c>
      <c r="J2431" s="4" t="s">
        <v>9821</v>
      </c>
      <c r="K2431" s="6" t="str">
        <f aca="false">HYPERLINK("https://www.google.com/search?q=Monroe+Free+Library+Monroe+NY+library+website","Search")</f>
        <v>Search</v>
      </c>
      <c r="L2431" s="7"/>
      <c r="M2431" s="7"/>
    </row>
    <row r="2432" customFormat="false" ht="15" hidden="false" customHeight="true" outlineLevel="0" collapsed="false">
      <c r="A2432" s="4" t="s">
        <v>9244</v>
      </c>
      <c r="B2432" s="4" t="s">
        <v>9822</v>
      </c>
      <c r="C2432" s="4" t="s">
        <v>9823</v>
      </c>
      <c r="D2432" s="4" t="s">
        <v>4182</v>
      </c>
      <c r="E2432" s="5" t="n">
        <v>10959</v>
      </c>
      <c r="F2432" s="4" t="n">
        <v>1</v>
      </c>
      <c r="G2432" s="4" t="s">
        <v>9824</v>
      </c>
      <c r="H2432" s="4" t="n">
        <v>41.20694</v>
      </c>
      <c r="I2432" s="4" t="n">
        <v>-73.72669</v>
      </c>
      <c r="J2432" s="4" t="s">
        <v>9825</v>
      </c>
      <c r="K2432" s="6" t="str">
        <f aca="false">HYPERLINK("https://www.google.com/search?q=Mount+Kisco+Public+Library+Mount+Kisco+NY+library+website","Search")</f>
        <v>Search</v>
      </c>
      <c r="L2432" s="7"/>
      <c r="M2432" s="7"/>
    </row>
    <row r="2433" customFormat="false" ht="15" hidden="false" customHeight="true" outlineLevel="0" collapsed="false">
      <c r="A2433" s="4" t="s">
        <v>9244</v>
      </c>
      <c r="B2433" s="4" t="s">
        <v>3063</v>
      </c>
      <c r="C2433" s="4" t="s">
        <v>9826</v>
      </c>
      <c r="D2433" s="4" t="s">
        <v>4182</v>
      </c>
      <c r="E2433" s="5" t="n">
        <v>42423</v>
      </c>
      <c r="F2433" s="4" t="n">
        <v>2</v>
      </c>
      <c r="G2433" s="4" t="s">
        <v>9827</v>
      </c>
      <c r="H2433" s="4" t="n">
        <v>41.13533</v>
      </c>
      <c r="I2433" s="4" t="n">
        <v>-73.78595</v>
      </c>
      <c r="J2433" s="4" t="s">
        <v>9828</v>
      </c>
      <c r="K2433" s="6" t="str">
        <f aca="false">HYPERLINK("https://www.google.com/search?q=Mount+Pleasant+Public+Library+Pleasantville+NY+library+website","Search")</f>
        <v>Search</v>
      </c>
      <c r="L2433" s="7"/>
      <c r="M2433" s="7"/>
    </row>
    <row r="2434" customFormat="false" ht="15" hidden="false" customHeight="true" outlineLevel="0" collapsed="false">
      <c r="A2434" s="4" t="s">
        <v>9244</v>
      </c>
      <c r="B2434" s="4" t="s">
        <v>9829</v>
      </c>
      <c r="C2434" s="4" t="s">
        <v>9830</v>
      </c>
      <c r="D2434" s="4" t="s">
        <v>5974</v>
      </c>
      <c r="E2434" s="5" t="n">
        <v>14199</v>
      </c>
      <c r="F2434" s="4" t="n">
        <v>1</v>
      </c>
      <c r="G2434" s="4" t="s">
        <v>9831</v>
      </c>
      <c r="H2434" s="4" t="n">
        <v>41.08996</v>
      </c>
      <c r="I2434" s="4" t="n">
        <v>-73.99972</v>
      </c>
      <c r="J2434" s="4" t="s">
        <v>9832</v>
      </c>
      <c r="K2434" s="6" t="str">
        <f aca="false">HYPERLINK("https://www.google.com/search?q=Nanuet+Public+Library+Nanuet+NY+library+website","Search")</f>
        <v>Search</v>
      </c>
      <c r="L2434" s="7"/>
      <c r="M2434" s="7"/>
    </row>
    <row r="2435" customFormat="false" ht="15" hidden="false" customHeight="true" outlineLevel="0" collapsed="false">
      <c r="A2435" s="4" t="s">
        <v>9244</v>
      </c>
      <c r="B2435" s="4" t="s">
        <v>9833</v>
      </c>
      <c r="C2435" s="4" t="s">
        <v>9834</v>
      </c>
      <c r="D2435" s="4" t="s">
        <v>5974</v>
      </c>
      <c r="E2435" s="5" t="n">
        <v>46916</v>
      </c>
      <c r="F2435" s="4" t="n">
        <v>1</v>
      </c>
      <c r="G2435" s="4" t="s">
        <v>9835</v>
      </c>
      <c r="H2435" s="4" t="n">
        <v>41.15832</v>
      </c>
      <c r="I2435" s="4" t="n">
        <v>-73.98804</v>
      </c>
      <c r="J2435" s="4" t="s">
        <v>9836</v>
      </c>
      <c r="K2435" s="6" t="str">
        <f aca="false">HYPERLINK("https://www.google.com/search?q=New+City+Free+Library+New+City+NY+library+website","Search")</f>
        <v>Search</v>
      </c>
      <c r="L2435" s="7"/>
      <c r="M2435" s="7"/>
    </row>
    <row r="2436" customFormat="false" ht="15" hidden="false" customHeight="true" outlineLevel="0" collapsed="false">
      <c r="A2436" s="4" t="s">
        <v>9244</v>
      </c>
      <c r="B2436" s="4" t="s">
        <v>9837</v>
      </c>
      <c r="C2436" s="4" t="s">
        <v>9838</v>
      </c>
      <c r="D2436" s="4" t="s">
        <v>9441</v>
      </c>
      <c r="E2436" s="5" t="n">
        <v>21874</v>
      </c>
      <c r="F2436" s="4" t="n">
        <v>1</v>
      </c>
      <c r="G2436" s="4" t="s">
        <v>9839</v>
      </c>
      <c r="H2436" s="4" t="n">
        <v>43.06155</v>
      </c>
      <c r="I2436" s="4" t="n">
        <v>-75.28277</v>
      </c>
      <c r="J2436" s="4" t="s">
        <v>9840</v>
      </c>
      <c r="K2436" s="6" t="str">
        <f aca="false">HYPERLINK("https://www.google.com/search?q=New+Hartford+Public+Library+New+Hartford+NY+library+website","Search")</f>
        <v>Search</v>
      </c>
      <c r="L2436" s="7"/>
      <c r="M2436" s="7"/>
    </row>
    <row r="2437" customFormat="false" ht="15" hidden="false" customHeight="true" outlineLevel="0" collapsed="false">
      <c r="A2437" s="4" t="s">
        <v>9244</v>
      </c>
      <c r="B2437" s="4" t="s">
        <v>9841</v>
      </c>
      <c r="C2437" s="4" t="s">
        <v>9842</v>
      </c>
      <c r="D2437" s="4" t="s">
        <v>4182</v>
      </c>
      <c r="E2437" s="5" t="n">
        <v>79726</v>
      </c>
      <c r="F2437" s="4" t="n">
        <v>2</v>
      </c>
      <c r="G2437" s="4" t="s">
        <v>9843</v>
      </c>
      <c r="H2437" s="4" t="n">
        <v>40.90975</v>
      </c>
      <c r="I2437" s="4" t="n">
        <v>-73.78249</v>
      </c>
      <c r="J2437" s="4" t="s">
        <v>9844</v>
      </c>
      <c r="K2437" s="6" t="str">
        <f aca="false">HYPERLINK("https://www.google.com/search?q=New+Rochelle+Public+Library+New+Rochelle+NY+library+website","Search")</f>
        <v>Search</v>
      </c>
      <c r="L2437" s="7"/>
      <c r="M2437" s="7"/>
    </row>
    <row r="2438" customFormat="false" ht="15" hidden="false" customHeight="true" outlineLevel="0" collapsed="false">
      <c r="A2438" s="4" t="s">
        <v>9244</v>
      </c>
      <c r="B2438" s="4" t="s">
        <v>9845</v>
      </c>
      <c r="C2438" s="4" t="s">
        <v>9846</v>
      </c>
      <c r="D2438" s="4" t="s">
        <v>9846</v>
      </c>
      <c r="E2438" s="5" t="n">
        <v>3662652</v>
      </c>
      <c r="F2438" s="4" t="n">
        <v>94</v>
      </c>
      <c r="G2438" s="4" t="s">
        <v>9847</v>
      </c>
      <c r="H2438" s="4" t="n">
        <v>40.75152</v>
      </c>
      <c r="I2438" s="4" t="n">
        <v>-73.98187</v>
      </c>
      <c r="J2438" s="4" t="s">
        <v>9848</v>
      </c>
      <c r="K2438" s="6" t="str">
        <f aca="false">HYPERLINK("https://www.google.com/search?q=New+York+Public+Library%2C+The+Branch+Libraries+New+York+NY+library+website","Search")</f>
        <v>Search</v>
      </c>
      <c r="L2438" s="7"/>
      <c r="M2438" s="8" t="str">
        <f aca="false">HYPERLINK("https://nypl.overdrive.com","https://nypl.overdrive.com")</f>
        <v>https://nypl.overdrive.com</v>
      </c>
    </row>
    <row r="2439" customFormat="false" ht="15" hidden="false" customHeight="true" outlineLevel="0" collapsed="false">
      <c r="A2439" s="4" t="s">
        <v>9244</v>
      </c>
      <c r="B2439" s="4" t="s">
        <v>8801</v>
      </c>
      <c r="C2439" s="4" t="s">
        <v>8802</v>
      </c>
      <c r="D2439" s="4" t="s">
        <v>2849</v>
      </c>
      <c r="E2439" s="5" t="n">
        <v>14533</v>
      </c>
      <c r="F2439" s="4" t="n">
        <v>1</v>
      </c>
      <c r="G2439" s="4" t="s">
        <v>9849</v>
      </c>
      <c r="H2439" s="4" t="n">
        <v>43.04461</v>
      </c>
      <c r="I2439" s="4" t="n">
        <v>-77.09744</v>
      </c>
      <c r="J2439" s="4" t="s">
        <v>9850</v>
      </c>
      <c r="K2439" s="6" t="str">
        <f aca="false">HYPERLINK("https://www.google.com/search?q=Newark+Public+Library+Newark+NY+library+website","Search")</f>
        <v>Search</v>
      </c>
      <c r="L2439" s="7"/>
      <c r="M2439" s="7"/>
    </row>
    <row r="2440" customFormat="false" ht="15" hidden="false" customHeight="true" outlineLevel="0" collapsed="false">
      <c r="A2440" s="4" t="s">
        <v>9244</v>
      </c>
      <c r="B2440" s="4" t="s">
        <v>9851</v>
      </c>
      <c r="C2440" s="4" t="s">
        <v>4526</v>
      </c>
      <c r="D2440" s="4" t="s">
        <v>885</v>
      </c>
      <c r="E2440" s="5" t="n">
        <v>68215</v>
      </c>
      <c r="F2440" s="4" t="n">
        <v>2</v>
      </c>
      <c r="G2440" s="4" t="s">
        <v>9852</v>
      </c>
      <c r="H2440" s="4" t="n">
        <v>41.50364</v>
      </c>
      <c r="I2440" s="4" t="n">
        <v>-74.00843</v>
      </c>
      <c r="J2440" s="4" t="s">
        <v>9853</v>
      </c>
      <c r="K2440" s="6" t="str">
        <f aca="false">HYPERLINK("https://www.google.com/search?q=Newburgh+Free+Library+Newburgh+NY+library+website","Search")</f>
        <v>Search</v>
      </c>
      <c r="L2440" s="7"/>
      <c r="M2440" s="7"/>
    </row>
    <row r="2441" customFormat="false" ht="15" hidden="false" customHeight="true" outlineLevel="0" collapsed="false">
      <c r="A2441" s="4" t="s">
        <v>9244</v>
      </c>
      <c r="B2441" s="4" t="s">
        <v>9854</v>
      </c>
      <c r="C2441" s="4" t="s">
        <v>9855</v>
      </c>
      <c r="D2441" s="4" t="s">
        <v>9732</v>
      </c>
      <c r="E2441" s="5" t="n">
        <v>10253</v>
      </c>
      <c r="F2441" s="4" t="n">
        <v>1</v>
      </c>
      <c r="G2441" s="4" t="s">
        <v>9856</v>
      </c>
      <c r="H2441" s="4" t="n">
        <v>43.28144</v>
      </c>
      <c r="I2441" s="4" t="n">
        <v>-78.7056</v>
      </c>
      <c r="J2441" s="4" t="s">
        <v>9857</v>
      </c>
      <c r="K2441" s="6" t="str">
        <f aca="false">HYPERLINK("https://www.google.com/search?q=Newfane+Public+Library+Newfane+NY+library+website","Search")</f>
        <v>Search</v>
      </c>
      <c r="L2441" s="7"/>
      <c r="M2441" s="7"/>
    </row>
    <row r="2442" customFormat="false" ht="15" hidden="false" customHeight="true" outlineLevel="0" collapsed="false">
      <c r="A2442" s="4" t="s">
        <v>9244</v>
      </c>
      <c r="B2442" s="4" t="s">
        <v>9858</v>
      </c>
      <c r="C2442" s="4" t="s">
        <v>9859</v>
      </c>
      <c r="D2442" s="4" t="s">
        <v>9732</v>
      </c>
      <c r="E2442" s="5" t="n">
        <v>48671</v>
      </c>
      <c r="F2442" s="4" t="n">
        <v>2</v>
      </c>
      <c r="G2442" s="4" t="s">
        <v>9860</v>
      </c>
      <c r="H2442" s="4" t="n">
        <v>43.10239</v>
      </c>
      <c r="I2442" s="4" t="n">
        <v>-79.05134</v>
      </c>
      <c r="J2442" s="4" t="s">
        <v>9861</v>
      </c>
      <c r="K2442" s="6" t="str">
        <f aca="false">HYPERLINK("https://www.google.com/search?q=Niagara+Falls+Public+Library+Niagara+Falls+NY+library+website","Search")</f>
        <v>Search</v>
      </c>
      <c r="L2442" s="7"/>
      <c r="M2442" s="7"/>
    </row>
    <row r="2443" customFormat="false" ht="15" hidden="false" customHeight="true" outlineLevel="0" collapsed="false">
      <c r="A2443" s="4" t="s">
        <v>9244</v>
      </c>
      <c r="B2443" s="4" t="s">
        <v>9862</v>
      </c>
      <c r="C2443" s="4" t="s">
        <v>9863</v>
      </c>
      <c r="D2443" s="4" t="s">
        <v>5553</v>
      </c>
      <c r="E2443" s="5" t="n">
        <v>30833</v>
      </c>
      <c r="F2443" s="4" t="n">
        <v>1</v>
      </c>
      <c r="G2443" s="4" t="s">
        <v>9864</v>
      </c>
      <c r="H2443" s="4" t="n">
        <v>40.72462</v>
      </c>
      <c r="I2443" s="4" t="n">
        <v>-73.32235</v>
      </c>
      <c r="J2443" s="4" t="s">
        <v>9865</v>
      </c>
      <c r="K2443" s="6" t="str">
        <f aca="false">HYPERLINK("https://www.google.com/search?q=North+Babylon+Public+Library+North+Babylon+NY+library+website","Search")</f>
        <v>Search</v>
      </c>
      <c r="L2443" s="7"/>
      <c r="M2443" s="7"/>
    </row>
    <row r="2444" customFormat="false" ht="15" hidden="false" customHeight="true" outlineLevel="0" collapsed="false">
      <c r="A2444" s="4" t="s">
        <v>9244</v>
      </c>
      <c r="B2444" s="4" t="s">
        <v>9866</v>
      </c>
      <c r="C2444" s="4" t="s">
        <v>9867</v>
      </c>
      <c r="D2444" s="4" t="s">
        <v>2451</v>
      </c>
      <c r="E2444" s="5" t="n">
        <v>26724</v>
      </c>
      <c r="F2444" s="4" t="n">
        <v>1</v>
      </c>
      <c r="G2444" s="4" t="s">
        <v>9868</v>
      </c>
      <c r="H2444" s="4" t="n">
        <v>40.68308</v>
      </c>
      <c r="I2444" s="4" t="n">
        <v>-73.5397</v>
      </c>
      <c r="J2444" s="4" t="s">
        <v>9869</v>
      </c>
      <c r="K2444" s="6" t="str">
        <f aca="false">HYPERLINK("https://www.google.com/search?q=North+Bellmore+Public+Library+North+Bellmore+NY+library+website","Search")</f>
        <v>Search</v>
      </c>
      <c r="L2444" s="7"/>
      <c r="M2444" s="7"/>
    </row>
    <row r="2445" customFormat="false" ht="15" hidden="false" customHeight="true" outlineLevel="0" collapsed="false">
      <c r="A2445" s="4" t="s">
        <v>9244</v>
      </c>
      <c r="B2445" s="4" t="s">
        <v>9870</v>
      </c>
      <c r="C2445" s="4" t="s">
        <v>9871</v>
      </c>
      <c r="D2445" s="4" t="s">
        <v>4182</v>
      </c>
      <c r="E2445" s="5" t="n">
        <v>12408</v>
      </c>
      <c r="F2445" s="4" t="n">
        <v>2</v>
      </c>
      <c r="G2445" s="4" t="s">
        <v>9872</v>
      </c>
      <c r="H2445" s="4" t="n">
        <v>41.12626</v>
      </c>
      <c r="I2445" s="4" t="n">
        <v>-73.71514</v>
      </c>
      <c r="J2445" s="4" t="s">
        <v>9873</v>
      </c>
      <c r="K2445" s="6" t="str">
        <f aca="false">HYPERLINK("https://www.google.com/search?q=North+Castle+Public+Library+Armonk+NY+library+website","Search")</f>
        <v>Search</v>
      </c>
      <c r="L2445" s="7"/>
      <c r="M2445" s="7"/>
    </row>
    <row r="2446" customFormat="false" ht="15" hidden="false" customHeight="true" outlineLevel="0" collapsed="false">
      <c r="A2446" s="4" t="s">
        <v>9244</v>
      </c>
      <c r="B2446" s="4" t="s">
        <v>9874</v>
      </c>
      <c r="C2446" s="4" t="s">
        <v>9875</v>
      </c>
      <c r="D2446" s="4" t="s">
        <v>4403</v>
      </c>
      <c r="E2446" s="5" t="n">
        <v>13292</v>
      </c>
      <c r="F2446" s="4" t="n">
        <v>1</v>
      </c>
      <c r="G2446" s="4" t="s">
        <v>9876</v>
      </c>
      <c r="H2446" s="4" t="n">
        <v>42.69584</v>
      </c>
      <c r="I2446" s="4" t="n">
        <v>-73.63858</v>
      </c>
      <c r="J2446" s="4" t="s">
        <v>9877</v>
      </c>
      <c r="K2446" s="6" t="str">
        <f aca="false">HYPERLINK("https://www.google.com/search?q=North+Greenbush+Public+Library+Wynantskill+NY+library+website","Search")</f>
        <v>Search</v>
      </c>
      <c r="L2446" s="7"/>
      <c r="M2446" s="7"/>
    </row>
    <row r="2447" customFormat="false" ht="15" hidden="false" customHeight="true" outlineLevel="0" collapsed="false">
      <c r="A2447" s="4" t="s">
        <v>9244</v>
      </c>
      <c r="B2447" s="4" t="s">
        <v>9878</v>
      </c>
      <c r="C2447" s="4" t="s">
        <v>9879</v>
      </c>
      <c r="D2447" s="4" t="s">
        <v>2451</v>
      </c>
      <c r="E2447" s="5" t="n">
        <v>13707</v>
      </c>
      <c r="F2447" s="4" t="n">
        <v>1</v>
      </c>
      <c r="G2447" s="4" t="s">
        <v>9880</v>
      </c>
      <c r="H2447" s="4" t="n">
        <v>40.67647</v>
      </c>
      <c r="I2447" s="4" t="n">
        <v>-73.56824</v>
      </c>
      <c r="J2447" s="4" t="s">
        <v>9881</v>
      </c>
      <c r="K2447" s="6" t="str">
        <f aca="false">HYPERLINK("https://www.google.com/search?q=North+Merrick+Public+Library+North+Merrick+NY+library+website","Search")</f>
        <v>Search</v>
      </c>
      <c r="L2447" s="7"/>
      <c r="M2447" s="7"/>
    </row>
    <row r="2448" customFormat="false" ht="15" hidden="false" customHeight="true" outlineLevel="0" collapsed="false">
      <c r="A2448" s="4" t="s">
        <v>9244</v>
      </c>
      <c r="B2448" s="4" t="s">
        <v>9882</v>
      </c>
      <c r="C2448" s="4" t="s">
        <v>9883</v>
      </c>
      <c r="D2448" s="4" t="s">
        <v>5553</v>
      </c>
      <c r="E2448" s="5" t="n">
        <v>30042</v>
      </c>
      <c r="F2448" s="4" t="n">
        <v>1</v>
      </c>
      <c r="G2448" s="4" t="s">
        <v>9884</v>
      </c>
      <c r="H2448" s="4" t="n">
        <v>40.94152</v>
      </c>
      <c r="I2448" s="4" t="n">
        <v>-72.86723</v>
      </c>
      <c r="J2448" s="4" t="s">
        <v>9885</v>
      </c>
      <c r="K2448" s="6" t="str">
        <f aca="false">HYPERLINK("https://www.google.com/search?q=North+Shore+Public+Library+District+Shoreham+NY+library+website","Search")</f>
        <v>Search</v>
      </c>
      <c r="L2448" s="7"/>
      <c r="M2448" s="7"/>
    </row>
    <row r="2449" customFormat="false" ht="15" hidden="false" customHeight="true" outlineLevel="0" collapsed="false">
      <c r="A2449" s="4" t="s">
        <v>9244</v>
      </c>
      <c r="B2449" s="4" t="s">
        <v>9886</v>
      </c>
      <c r="C2449" s="4" t="s">
        <v>9887</v>
      </c>
      <c r="D2449" s="4" t="s">
        <v>9732</v>
      </c>
      <c r="E2449" s="5" t="n">
        <v>30496</v>
      </c>
      <c r="F2449" s="4" t="n">
        <v>1</v>
      </c>
      <c r="G2449" s="4" t="s">
        <v>9888</v>
      </c>
      <c r="H2449" s="4" t="n">
        <v>43.05172</v>
      </c>
      <c r="I2449" s="4" t="n">
        <v>-78.8681</v>
      </c>
      <c r="J2449" s="4" t="s">
        <v>9889</v>
      </c>
      <c r="K2449" s="6" t="str">
        <f aca="false">HYPERLINK("https://www.google.com/search?q=North+Tonawanda+Public+Library+North+Tonawanda+NY+library+website","Search")</f>
        <v>Search</v>
      </c>
      <c r="L2449" s="7"/>
      <c r="M2449" s="7"/>
    </row>
    <row r="2450" customFormat="false" ht="15" hidden="false" customHeight="true" outlineLevel="0" collapsed="false">
      <c r="A2450" s="4" t="s">
        <v>9244</v>
      </c>
      <c r="B2450" s="4" t="s">
        <v>9890</v>
      </c>
      <c r="C2450" s="4" t="s">
        <v>3454</v>
      </c>
      <c r="D2450" s="4" t="s">
        <v>9276</v>
      </c>
      <c r="E2450" s="5" t="n">
        <v>57438</v>
      </c>
      <c r="F2450" s="4" t="n">
        <v>3</v>
      </c>
      <c r="G2450" s="4" t="s">
        <v>9891</v>
      </c>
      <c r="H2450" s="4" t="n">
        <v>43.1906</v>
      </c>
      <c r="I2450" s="4" t="n">
        <v>-76.12716</v>
      </c>
      <c r="J2450" s="4" t="s">
        <v>9892</v>
      </c>
      <c r="K2450" s="6" t="str">
        <f aca="false">HYPERLINK("https://www.google.com/search?q=Northern+Onondaga+Public+Library+Cicero+NY+library+website","Search")</f>
        <v>Search</v>
      </c>
      <c r="L2450" s="7"/>
      <c r="M2450" s="7"/>
    </row>
    <row r="2451" customFormat="false" ht="15" hidden="false" customHeight="true" outlineLevel="0" collapsed="false">
      <c r="A2451" s="4" t="s">
        <v>9244</v>
      </c>
      <c r="B2451" s="4" t="s">
        <v>9893</v>
      </c>
      <c r="C2451" s="4" t="s">
        <v>9894</v>
      </c>
      <c r="D2451" s="4" t="s">
        <v>5553</v>
      </c>
      <c r="E2451" s="5" t="n">
        <v>35626</v>
      </c>
      <c r="F2451" s="4" t="n">
        <v>2</v>
      </c>
      <c r="G2451" s="4" t="s">
        <v>9895</v>
      </c>
      <c r="H2451" s="4" t="n">
        <v>40.89602</v>
      </c>
      <c r="I2451" s="4" t="n">
        <v>-73.33756</v>
      </c>
      <c r="J2451" s="4" t="s">
        <v>9896</v>
      </c>
      <c r="K2451" s="6" t="str">
        <f aca="false">HYPERLINK("https://www.google.com/search?q=Northport+Public+Library+Northport+NY+library+website","Search")</f>
        <v>Search</v>
      </c>
      <c r="L2451" s="7"/>
      <c r="M2451" s="7"/>
    </row>
    <row r="2452" customFormat="false" ht="15" hidden="false" customHeight="true" outlineLevel="0" collapsed="false">
      <c r="A2452" s="4" t="s">
        <v>9244</v>
      </c>
      <c r="B2452" s="4" t="s">
        <v>9897</v>
      </c>
      <c r="C2452" s="4" t="s">
        <v>9898</v>
      </c>
      <c r="D2452" s="4" t="s">
        <v>5974</v>
      </c>
      <c r="E2452" s="5" t="n">
        <v>14148</v>
      </c>
      <c r="F2452" s="4" t="n">
        <v>1</v>
      </c>
      <c r="G2452" s="4" t="s">
        <v>9899</v>
      </c>
      <c r="H2452" s="4" t="n">
        <v>41.08881</v>
      </c>
      <c r="I2452" s="4" t="n">
        <v>-73.91858</v>
      </c>
      <c r="J2452" s="4" t="s">
        <v>9900</v>
      </c>
      <c r="K2452" s="6" t="str">
        <f aca="false">HYPERLINK("https://www.google.com/search?q=Nyack+Library+Nyack+NY+library+website","Search")</f>
        <v>Search</v>
      </c>
      <c r="L2452" s="7"/>
      <c r="M2452" s="7"/>
    </row>
    <row r="2453" customFormat="false" ht="15" hidden="false" customHeight="true" outlineLevel="0" collapsed="false">
      <c r="A2453" s="4" t="s">
        <v>9244</v>
      </c>
      <c r="B2453" s="4" t="s">
        <v>9901</v>
      </c>
      <c r="C2453" s="4" t="s">
        <v>1250</v>
      </c>
      <c r="D2453" s="4" t="s">
        <v>2451</v>
      </c>
      <c r="E2453" s="5" t="n">
        <v>37459</v>
      </c>
      <c r="F2453" s="4" t="n">
        <v>1</v>
      </c>
      <c r="G2453" s="4" t="s">
        <v>9902</v>
      </c>
      <c r="H2453" s="4" t="n">
        <v>40.64157</v>
      </c>
      <c r="I2453" s="4" t="n">
        <v>-73.63851</v>
      </c>
      <c r="J2453" s="4" t="s">
        <v>9903</v>
      </c>
      <c r="K2453" s="6" t="str">
        <f aca="false">HYPERLINK("https://www.google.com/search?q=Oceanside+Library+Oceanside+NY+library+website","Search")</f>
        <v>Search</v>
      </c>
      <c r="L2453" s="7"/>
      <c r="M2453" s="7"/>
    </row>
    <row r="2454" customFormat="false" ht="15" hidden="false" customHeight="true" outlineLevel="0" collapsed="false">
      <c r="A2454" s="4" t="s">
        <v>9244</v>
      </c>
      <c r="B2454" s="4" t="s">
        <v>9904</v>
      </c>
      <c r="C2454" s="4" t="s">
        <v>9905</v>
      </c>
      <c r="D2454" s="4" t="s">
        <v>311</v>
      </c>
      <c r="E2454" s="5" t="n">
        <v>20270</v>
      </c>
      <c r="F2454" s="4" t="n">
        <v>1</v>
      </c>
      <c r="G2454" s="4" t="s">
        <v>9906</v>
      </c>
      <c r="H2454" s="4" t="n">
        <v>43.17032</v>
      </c>
      <c r="I2454" s="4" t="n">
        <v>-77.80193</v>
      </c>
      <c r="J2454" s="4" t="s">
        <v>9907</v>
      </c>
      <c r="K2454" s="6" t="str">
        <f aca="false">HYPERLINK("https://www.google.com/search?q=Ogden+Farmers%60+Library+Spencerport+NY+library+website","Search")</f>
        <v>Search</v>
      </c>
      <c r="L2454" s="7"/>
      <c r="M2454" s="7"/>
    </row>
    <row r="2455" customFormat="false" ht="15" hidden="false" customHeight="true" outlineLevel="0" collapsed="false">
      <c r="A2455" s="4" t="s">
        <v>9244</v>
      </c>
      <c r="B2455" s="4" t="s">
        <v>9908</v>
      </c>
      <c r="C2455" s="4" t="s">
        <v>9909</v>
      </c>
      <c r="D2455" s="4" t="s">
        <v>9349</v>
      </c>
      <c r="E2455" s="5" t="n">
        <v>10064</v>
      </c>
      <c r="F2455" s="4" t="n">
        <v>1</v>
      </c>
      <c r="G2455" s="4" t="s">
        <v>9910</v>
      </c>
      <c r="H2455" s="4" t="n">
        <v>44.69913</v>
      </c>
      <c r="I2455" s="4" t="n">
        <v>-75.49323</v>
      </c>
      <c r="J2455" s="4" t="s">
        <v>9911</v>
      </c>
      <c r="K2455" s="6" t="str">
        <f aca="false">HYPERLINK("https://www.google.com/search?q=Ogdensburg+Public+Library+Ogdensburg+NY+library+website","Search")</f>
        <v>Search</v>
      </c>
      <c r="L2455" s="7"/>
      <c r="M2455" s="7"/>
    </row>
    <row r="2456" customFormat="false" ht="15" hidden="false" customHeight="true" outlineLevel="0" collapsed="false">
      <c r="A2456" s="4" t="s">
        <v>9244</v>
      </c>
      <c r="B2456" s="4" t="s">
        <v>9912</v>
      </c>
      <c r="C2456" s="4" t="s">
        <v>9913</v>
      </c>
      <c r="D2456" s="4" t="s">
        <v>9914</v>
      </c>
      <c r="E2456" s="5" t="n">
        <v>15247</v>
      </c>
      <c r="F2456" s="4" t="n">
        <v>1</v>
      </c>
      <c r="G2456" s="4" t="s">
        <v>9915</v>
      </c>
      <c r="H2456" s="4" t="n">
        <v>42.07818</v>
      </c>
      <c r="I2456" s="4" t="n">
        <v>-78.43243</v>
      </c>
      <c r="J2456" s="4" t="s">
        <v>9916</v>
      </c>
      <c r="K2456" s="6" t="str">
        <f aca="false">HYPERLINK("https://www.google.com/search?q=Olean+Public+Library+Olean+NY+library+website","Search")</f>
        <v>Search</v>
      </c>
      <c r="L2456" s="7"/>
      <c r="M2456" s="7"/>
    </row>
    <row r="2457" customFormat="false" ht="15" hidden="false" customHeight="true" outlineLevel="0" collapsed="false">
      <c r="A2457" s="4" t="s">
        <v>9244</v>
      </c>
      <c r="B2457" s="4" t="s">
        <v>9917</v>
      </c>
      <c r="C2457" s="4" t="s">
        <v>9441</v>
      </c>
      <c r="D2457" s="4" t="s">
        <v>261</v>
      </c>
      <c r="E2457" s="5" t="n">
        <v>14235</v>
      </c>
      <c r="F2457" s="4" t="n">
        <v>1</v>
      </c>
      <c r="G2457" s="4" t="s">
        <v>9918</v>
      </c>
      <c r="H2457" s="4" t="n">
        <v>43.0859</v>
      </c>
      <c r="I2457" s="4" t="n">
        <v>-75.64621</v>
      </c>
      <c r="J2457" s="4" t="s">
        <v>9919</v>
      </c>
      <c r="K2457" s="6" t="str">
        <f aca="false">HYPERLINK("https://www.google.com/search?q=Oneida+Public+Library+Oneida+NY+library+website","Search")</f>
        <v>Search</v>
      </c>
      <c r="L2457" s="7"/>
      <c r="M2457" s="7"/>
    </row>
    <row r="2458" customFormat="false" ht="15" hidden="false" customHeight="true" outlineLevel="0" collapsed="false">
      <c r="A2458" s="4" t="s">
        <v>9244</v>
      </c>
      <c r="B2458" s="4" t="s">
        <v>9920</v>
      </c>
      <c r="C2458" s="4" t="s">
        <v>9921</v>
      </c>
      <c r="D2458" s="4" t="s">
        <v>9276</v>
      </c>
      <c r="E2458" s="5" t="n">
        <v>476516</v>
      </c>
      <c r="F2458" s="4" t="n">
        <v>11</v>
      </c>
      <c r="G2458" s="4" t="s">
        <v>9922</v>
      </c>
      <c r="H2458" s="4" t="n">
        <v>43.0459</v>
      </c>
      <c r="I2458" s="4" t="n">
        <v>-76.15158</v>
      </c>
      <c r="J2458" s="4" t="s">
        <v>9923</v>
      </c>
      <c r="K2458" s="6" t="str">
        <f aca="false">HYPERLINK("https://www.google.com/search?q=Onondaga+County+Public+Library+Syracuse+NY+library+website","Search")</f>
        <v>Search</v>
      </c>
      <c r="L2458" s="7"/>
      <c r="M2458" s="8" t="str">
        <f aca="false">HYPERLINK("https://onlib.overdrive.com","https://onlib.overdrive.com")</f>
        <v>https://onlib.overdrive.com</v>
      </c>
    </row>
    <row r="2459" customFormat="false" ht="15" hidden="false" customHeight="true" outlineLevel="0" collapsed="false">
      <c r="A2459" s="4" t="s">
        <v>9244</v>
      </c>
      <c r="B2459" s="4" t="s">
        <v>9924</v>
      </c>
      <c r="C2459" s="4" t="s">
        <v>9921</v>
      </c>
      <c r="D2459" s="4" t="s">
        <v>9276</v>
      </c>
      <c r="E2459" s="5" t="n">
        <v>28185</v>
      </c>
      <c r="F2459" s="4" t="n">
        <v>1</v>
      </c>
      <c r="G2459" s="4" t="s">
        <v>9925</v>
      </c>
      <c r="H2459" s="4" t="n">
        <v>43.00483</v>
      </c>
      <c r="I2459" s="4" t="n">
        <v>-76.18122</v>
      </c>
      <c r="J2459" s="4" t="s">
        <v>9926</v>
      </c>
      <c r="K2459" s="6" t="str">
        <f aca="false">HYPERLINK("https://www.google.com/search?q=Onondaga+Free+Library+Syracuse+NY+library+website","Search")</f>
        <v>Search</v>
      </c>
      <c r="L2459" s="7"/>
      <c r="M2459" s="7"/>
    </row>
    <row r="2460" customFormat="false" ht="15" hidden="false" customHeight="true" outlineLevel="0" collapsed="false">
      <c r="A2460" s="4" t="s">
        <v>9244</v>
      </c>
      <c r="B2460" s="4" t="s">
        <v>9927</v>
      </c>
      <c r="C2460" s="4" t="s">
        <v>1254</v>
      </c>
      <c r="D2460" s="4" t="s">
        <v>2849</v>
      </c>
      <c r="E2460" s="5" t="n">
        <v>10446</v>
      </c>
      <c r="F2460" s="4" t="n">
        <v>1</v>
      </c>
      <c r="G2460" s="4" t="s">
        <v>9928</v>
      </c>
      <c r="H2460" s="4" t="n">
        <v>43.22261</v>
      </c>
      <c r="I2460" s="4" t="n">
        <v>-77.29134</v>
      </c>
      <c r="J2460" s="4" t="s">
        <v>9929</v>
      </c>
      <c r="K2460" s="6" t="str">
        <f aca="false">HYPERLINK("https://www.google.com/search?q=Ontario+Public+Library+Ontario+NY+library+website","Search")</f>
        <v>Search</v>
      </c>
      <c r="L2460" s="7"/>
      <c r="M2460" s="7"/>
    </row>
    <row r="2461" customFormat="false" ht="15" hidden="false" customHeight="true" outlineLevel="0" collapsed="false">
      <c r="A2461" s="4" t="s">
        <v>9244</v>
      </c>
      <c r="B2461" s="4" t="s">
        <v>9930</v>
      </c>
      <c r="C2461" s="4" t="s">
        <v>9931</v>
      </c>
      <c r="D2461" s="4" t="s">
        <v>9253</v>
      </c>
      <c r="E2461" s="5" t="n">
        <v>29686</v>
      </c>
      <c r="F2461" s="4" t="n">
        <v>1</v>
      </c>
      <c r="G2461" s="4" t="s">
        <v>9932</v>
      </c>
      <c r="H2461" s="4" t="n">
        <v>42.75896</v>
      </c>
      <c r="I2461" s="4" t="n">
        <v>-78.74609</v>
      </c>
      <c r="J2461" s="4" t="s">
        <v>9933</v>
      </c>
      <c r="K2461" s="6" t="str">
        <f aca="false">HYPERLINK("https://www.google.com/search?q=Orchard+Park+Public+Library+Orchard+Park+NY+library+website","Search")</f>
        <v>Search</v>
      </c>
      <c r="L2461" s="7"/>
      <c r="M2461" s="7"/>
    </row>
    <row r="2462" customFormat="false" ht="15" hidden="false" customHeight="true" outlineLevel="0" collapsed="false">
      <c r="A2462" s="4" t="s">
        <v>9244</v>
      </c>
      <c r="B2462" s="4" t="s">
        <v>9934</v>
      </c>
      <c r="C2462" s="4" t="s">
        <v>9935</v>
      </c>
      <c r="D2462" s="4" t="s">
        <v>4182</v>
      </c>
      <c r="E2462" s="5" t="n">
        <v>36973</v>
      </c>
      <c r="F2462" s="4" t="n">
        <v>1</v>
      </c>
      <c r="G2462" s="4" t="s">
        <v>9936</v>
      </c>
      <c r="H2462" s="4" t="n">
        <v>41.16461</v>
      </c>
      <c r="I2462" s="4" t="n">
        <v>-73.85998</v>
      </c>
      <c r="J2462" s="4" t="s">
        <v>9937</v>
      </c>
      <c r="K2462" s="6" t="str">
        <f aca="false">HYPERLINK("https://www.google.com/search?q=Ossining+Public+Library+Ossining+NY+library+website","Search")</f>
        <v>Search</v>
      </c>
      <c r="L2462" s="7"/>
      <c r="M2462" s="7"/>
    </row>
    <row r="2463" customFormat="false" ht="15" hidden="false" customHeight="true" outlineLevel="0" collapsed="false">
      <c r="A2463" s="4" t="s">
        <v>9244</v>
      </c>
      <c r="B2463" s="4" t="s">
        <v>9938</v>
      </c>
      <c r="C2463" s="4" t="s">
        <v>3935</v>
      </c>
      <c r="D2463" s="4" t="s">
        <v>3935</v>
      </c>
      <c r="E2463" s="5" t="n">
        <v>31584</v>
      </c>
      <c r="F2463" s="4" t="n">
        <v>1</v>
      </c>
      <c r="G2463" s="4" t="s">
        <v>9939</v>
      </c>
      <c r="H2463" s="4" t="n">
        <v>43.45676</v>
      </c>
      <c r="I2463" s="4" t="n">
        <v>-76.50635</v>
      </c>
      <c r="J2463" s="4" t="s">
        <v>9940</v>
      </c>
      <c r="K2463" s="6" t="str">
        <f aca="false">HYPERLINK("https://www.google.com/search?q=Oswego+School+District+Public+Library+Oswego+NY+library+website","Search")</f>
        <v>Search</v>
      </c>
      <c r="L2463" s="7"/>
      <c r="M2463" s="7"/>
    </row>
    <row r="2464" customFormat="false" ht="15" hidden="false" customHeight="true" outlineLevel="0" collapsed="false">
      <c r="A2464" s="4" t="s">
        <v>9244</v>
      </c>
      <c r="B2464" s="4" t="s">
        <v>9941</v>
      </c>
      <c r="C2464" s="4" t="s">
        <v>9942</v>
      </c>
      <c r="D2464" s="4" t="s">
        <v>2451</v>
      </c>
      <c r="E2464" s="5" t="n">
        <v>13619</v>
      </c>
      <c r="F2464" s="4" t="n">
        <v>1</v>
      </c>
      <c r="G2464" s="4" t="s">
        <v>9943</v>
      </c>
      <c r="H2464" s="4" t="n">
        <v>40.87203</v>
      </c>
      <c r="I2464" s="4" t="n">
        <v>-73.52668</v>
      </c>
      <c r="J2464" s="4" t="s">
        <v>9944</v>
      </c>
      <c r="K2464" s="6" t="str">
        <f aca="false">HYPERLINK("https://www.google.com/search?q=Oyster+Bay-East+Norwich+Public+Library+Oyster+Bay+NY+library+website","Search")</f>
        <v>Search</v>
      </c>
      <c r="L2464" s="7"/>
      <c r="M2464" s="7"/>
    </row>
    <row r="2465" customFormat="false" ht="15" hidden="false" customHeight="true" outlineLevel="0" collapsed="false">
      <c r="A2465" s="4" t="s">
        <v>9244</v>
      </c>
      <c r="B2465" s="4" t="s">
        <v>9945</v>
      </c>
      <c r="C2465" s="4" t="s">
        <v>9946</v>
      </c>
      <c r="D2465" s="4" t="s">
        <v>311</v>
      </c>
      <c r="E2465" s="5" t="n">
        <v>16217</v>
      </c>
      <c r="F2465" s="4" t="n">
        <v>1</v>
      </c>
      <c r="G2465" s="4" t="s">
        <v>9947</v>
      </c>
      <c r="H2465" s="4" t="n">
        <v>43.28792</v>
      </c>
      <c r="I2465" s="4" t="n">
        <v>-77.7932</v>
      </c>
      <c r="J2465" s="4" t="s">
        <v>9948</v>
      </c>
      <c r="K2465" s="6" t="str">
        <f aca="false">HYPERLINK("https://www.google.com/search?q=Parma+Public+Library+Hilton+NY+library+website","Search")</f>
        <v>Search</v>
      </c>
      <c r="L2465" s="7"/>
      <c r="M2465" s="7"/>
    </row>
    <row r="2466" customFormat="false" ht="15" hidden="false" customHeight="true" outlineLevel="0" collapsed="false">
      <c r="A2466" s="4" t="s">
        <v>9244</v>
      </c>
      <c r="B2466" s="4" t="s">
        <v>9949</v>
      </c>
      <c r="C2466" s="4" t="s">
        <v>9950</v>
      </c>
      <c r="D2466" s="4" t="s">
        <v>5553</v>
      </c>
      <c r="E2466" s="5" t="n">
        <v>51789</v>
      </c>
      <c r="F2466" s="4" t="n">
        <v>2</v>
      </c>
      <c r="G2466" s="4" t="s">
        <v>9951</v>
      </c>
      <c r="H2466" s="4" t="n">
        <v>40.76526</v>
      </c>
      <c r="I2466" s="4" t="n">
        <v>-73.01358</v>
      </c>
      <c r="J2466" s="4" t="s">
        <v>9952</v>
      </c>
      <c r="K2466" s="6" t="str">
        <f aca="false">HYPERLINK("https://www.google.com/search?q=Patchogue-Medford+Library+Patchogue+NY+library+website","Search")</f>
        <v>Search</v>
      </c>
      <c r="L2466" s="7"/>
      <c r="M2466" s="7"/>
    </row>
    <row r="2467" customFormat="false" ht="15" hidden="false" customHeight="true" outlineLevel="0" collapsed="false">
      <c r="A2467" s="4" t="s">
        <v>9244</v>
      </c>
      <c r="B2467" s="4" t="s">
        <v>9953</v>
      </c>
      <c r="C2467" s="4" t="s">
        <v>9954</v>
      </c>
      <c r="D2467" s="4" t="s">
        <v>4589</v>
      </c>
      <c r="E2467" s="5" t="n">
        <v>11541</v>
      </c>
      <c r="F2467" s="4" t="n">
        <v>1</v>
      </c>
      <c r="G2467" s="4" t="s">
        <v>9955</v>
      </c>
      <c r="H2467" s="4" t="n">
        <v>41.51335</v>
      </c>
      <c r="I2467" s="4" t="n">
        <v>-73.6023</v>
      </c>
      <c r="J2467" s="4" t="s">
        <v>9956</v>
      </c>
      <c r="K2467" s="6" t="str">
        <f aca="false">HYPERLINK("https://www.google.com/search?q=Patterson+Library+Patterson+NY+library+website","Search")</f>
        <v>Search</v>
      </c>
      <c r="L2467" s="7"/>
      <c r="M2467" s="7"/>
    </row>
    <row r="2468" customFormat="false" ht="15" hidden="false" customHeight="true" outlineLevel="0" collapsed="false">
      <c r="A2468" s="4" t="s">
        <v>9244</v>
      </c>
      <c r="B2468" s="4" t="s">
        <v>9957</v>
      </c>
      <c r="C2468" s="4" t="s">
        <v>7721</v>
      </c>
      <c r="D2468" s="4" t="s">
        <v>5974</v>
      </c>
      <c r="E2468" s="5" t="n">
        <v>15574</v>
      </c>
      <c r="F2468" s="4" t="n">
        <v>1</v>
      </c>
      <c r="G2468" s="4" t="s">
        <v>9958</v>
      </c>
      <c r="H2468" s="4" t="n">
        <v>41.05822</v>
      </c>
      <c r="I2468" s="4" t="n">
        <v>-74.01828</v>
      </c>
      <c r="J2468" s="4" t="s">
        <v>9959</v>
      </c>
      <c r="K2468" s="6" t="str">
        <f aca="false">HYPERLINK("https://www.google.com/search?q=Pearl+River+Public+Library+Pearl+River+NY+library+website","Search")</f>
        <v>Search</v>
      </c>
      <c r="L2468" s="7"/>
      <c r="M2468" s="7"/>
    </row>
    <row r="2469" customFormat="false" ht="15" hidden="false" customHeight="true" outlineLevel="0" collapsed="false">
      <c r="A2469" s="4" t="s">
        <v>9244</v>
      </c>
      <c r="B2469" s="4" t="s">
        <v>9960</v>
      </c>
      <c r="C2469" s="4" t="s">
        <v>9961</v>
      </c>
      <c r="D2469" s="4" t="s">
        <v>311</v>
      </c>
      <c r="E2469" s="5" t="n">
        <v>39438</v>
      </c>
      <c r="F2469" s="4" t="n">
        <v>1</v>
      </c>
      <c r="G2469" s="4" t="s">
        <v>9962</v>
      </c>
      <c r="H2469" s="4" t="n">
        <v>43.13742</v>
      </c>
      <c r="I2469" s="4" t="n">
        <v>-77.46537</v>
      </c>
      <c r="J2469" s="4" t="s">
        <v>9963</v>
      </c>
      <c r="K2469" s="6" t="str">
        <f aca="false">HYPERLINK("https://www.google.com/search?q=Penfield+Public+Library+Penfield+NY+library+website","Search")</f>
        <v>Search</v>
      </c>
      <c r="L2469" s="7"/>
      <c r="M2469" s="7"/>
    </row>
    <row r="2470" customFormat="false" ht="15" hidden="false" customHeight="true" outlineLevel="0" collapsed="false">
      <c r="A2470" s="4" t="s">
        <v>9244</v>
      </c>
      <c r="B2470" s="4" t="s">
        <v>9964</v>
      </c>
      <c r="C2470" s="4" t="s">
        <v>279</v>
      </c>
      <c r="D2470" s="4" t="s">
        <v>2451</v>
      </c>
      <c r="E2470" s="5" t="n">
        <v>39114</v>
      </c>
      <c r="F2470" s="4" t="n">
        <v>1</v>
      </c>
      <c r="G2470" s="4" t="s">
        <v>9965</v>
      </c>
      <c r="H2470" s="4" t="n">
        <v>40.61671</v>
      </c>
      <c r="I2470" s="4" t="n">
        <v>-73.73219</v>
      </c>
      <c r="J2470" s="4" t="s">
        <v>9966</v>
      </c>
      <c r="K2470" s="6" t="str">
        <f aca="false">HYPERLINK("https://www.google.com/search?q=Peninsula+Public+Library+Lawrence+NY+library+website","Search")</f>
        <v>Search</v>
      </c>
      <c r="L2470" s="7"/>
      <c r="M2470" s="8" t="str">
        <f aca="false">HYPERLINK("https://pls.overdrive.com","https://pls.overdrive.com")</f>
        <v>https://pls.overdrive.com</v>
      </c>
    </row>
    <row r="2471" customFormat="false" ht="15" hidden="false" customHeight="true" outlineLevel="0" collapsed="false">
      <c r="A2471" s="4" t="s">
        <v>9244</v>
      </c>
      <c r="B2471" s="4" t="s">
        <v>9967</v>
      </c>
      <c r="C2471" s="4" t="s">
        <v>9968</v>
      </c>
      <c r="D2471" s="4" t="s">
        <v>9969</v>
      </c>
      <c r="E2471" s="5" t="n">
        <v>15194</v>
      </c>
      <c r="F2471" s="4" t="n">
        <v>1</v>
      </c>
      <c r="G2471" s="4" t="s">
        <v>9970</v>
      </c>
      <c r="H2471" s="4" t="n">
        <v>42.66429</v>
      </c>
      <c r="I2471" s="4" t="n">
        <v>-77.05621</v>
      </c>
      <c r="J2471" s="4" t="s">
        <v>9971</v>
      </c>
      <c r="K2471" s="6" t="str">
        <f aca="false">HYPERLINK("https://www.google.com/search?q=Penn+Yan+Public+Library+Penn+Yan+NY+library+website","Search")</f>
        <v>Search</v>
      </c>
      <c r="L2471" s="7"/>
      <c r="M2471" s="7"/>
    </row>
    <row r="2472" customFormat="false" ht="15" hidden="false" customHeight="true" outlineLevel="0" collapsed="false">
      <c r="A2472" s="4" t="s">
        <v>9244</v>
      </c>
      <c r="B2472" s="4" t="s">
        <v>9972</v>
      </c>
      <c r="C2472" s="4" t="s">
        <v>5264</v>
      </c>
      <c r="D2472" s="4" t="s">
        <v>9421</v>
      </c>
      <c r="E2472" s="5" t="n">
        <v>12003</v>
      </c>
      <c r="F2472" s="4" t="n">
        <v>1</v>
      </c>
      <c r="G2472" s="4" t="s">
        <v>9973</v>
      </c>
      <c r="H2472" s="4" t="n">
        <v>42.63569</v>
      </c>
      <c r="I2472" s="4" t="n">
        <v>-76.17824</v>
      </c>
      <c r="J2472" s="4" t="s">
        <v>9974</v>
      </c>
      <c r="K2472" s="6" t="str">
        <f aca="false">HYPERLINK("https://www.google.com/search?q=Phillips+Free+Library+Homer+NY+library+website","Search")</f>
        <v>Search</v>
      </c>
      <c r="L2472" s="7"/>
      <c r="M2472" s="7"/>
    </row>
    <row r="2473" customFormat="false" ht="15" hidden="false" customHeight="true" outlineLevel="0" collapsed="false">
      <c r="A2473" s="4" t="s">
        <v>9244</v>
      </c>
      <c r="B2473" s="4" t="s">
        <v>9975</v>
      </c>
      <c r="C2473" s="4" t="s">
        <v>9976</v>
      </c>
      <c r="D2473" s="4" t="s">
        <v>885</v>
      </c>
      <c r="E2473" s="5" t="n">
        <v>14571</v>
      </c>
      <c r="F2473" s="4" t="n">
        <v>1</v>
      </c>
      <c r="G2473" s="4" t="s">
        <v>9977</v>
      </c>
      <c r="H2473" s="4" t="n">
        <v>41.61114</v>
      </c>
      <c r="I2473" s="4" t="n">
        <v>-74.30099</v>
      </c>
      <c r="J2473" s="4" t="s">
        <v>9978</v>
      </c>
      <c r="K2473" s="6" t="str">
        <f aca="false">HYPERLINK("https://www.google.com/search?q=Pine+Bush+Area+Public+Library+District+Pine+Bush+NY+library+website","Search")</f>
        <v>Search</v>
      </c>
      <c r="L2473" s="7"/>
      <c r="M2473" s="7"/>
    </row>
    <row r="2474" customFormat="false" ht="15" hidden="false" customHeight="true" outlineLevel="0" collapsed="false">
      <c r="A2474" s="4" t="s">
        <v>9244</v>
      </c>
      <c r="B2474" s="4" t="s">
        <v>9979</v>
      </c>
      <c r="C2474" s="4" t="s">
        <v>9980</v>
      </c>
      <c r="D2474" s="4" t="s">
        <v>311</v>
      </c>
      <c r="E2474" s="5" t="n">
        <v>30617</v>
      </c>
      <c r="F2474" s="4" t="n">
        <v>1</v>
      </c>
      <c r="G2474" s="4" t="s">
        <v>9981</v>
      </c>
      <c r="H2474" s="4" t="n">
        <v>43.09048</v>
      </c>
      <c r="I2474" s="4" t="n">
        <v>-77.51329</v>
      </c>
      <c r="J2474" s="4" t="s">
        <v>9982</v>
      </c>
      <c r="K2474" s="6" t="str">
        <f aca="false">HYPERLINK("https://www.google.com/search?q=Pittsford+Community+Library+Pittsford+NY+library+website","Search")</f>
        <v>Search</v>
      </c>
      <c r="L2474" s="7"/>
      <c r="M2474" s="7"/>
    </row>
    <row r="2475" customFormat="false" ht="15" hidden="false" customHeight="true" outlineLevel="0" collapsed="false">
      <c r="A2475" s="4" t="s">
        <v>9244</v>
      </c>
      <c r="B2475" s="4" t="s">
        <v>9983</v>
      </c>
      <c r="C2475" s="4" t="s">
        <v>9984</v>
      </c>
      <c r="D2475" s="4" t="s">
        <v>2451</v>
      </c>
      <c r="E2475" s="5" t="n">
        <v>19190</v>
      </c>
      <c r="F2475" s="4" t="n">
        <v>1</v>
      </c>
      <c r="G2475" s="4" t="s">
        <v>9985</v>
      </c>
      <c r="H2475" s="4" t="n">
        <v>40.70881</v>
      </c>
      <c r="I2475" s="4" t="n">
        <v>-73.48242</v>
      </c>
      <c r="J2475" s="4" t="s">
        <v>9986</v>
      </c>
      <c r="K2475" s="6" t="str">
        <f aca="false">HYPERLINK("https://www.google.com/search?q=Plainedge+Public+Library+North+Massapequa+NY+library+website","Search")</f>
        <v>Search</v>
      </c>
      <c r="L2475" s="7"/>
      <c r="M2475" s="7"/>
    </row>
    <row r="2476" customFormat="false" ht="15" hidden="false" customHeight="true" outlineLevel="0" collapsed="false">
      <c r="A2476" s="4" t="s">
        <v>9244</v>
      </c>
      <c r="B2476" s="4" t="s">
        <v>9987</v>
      </c>
      <c r="C2476" s="4" t="s">
        <v>9988</v>
      </c>
      <c r="D2476" s="4" t="s">
        <v>2451</v>
      </c>
      <c r="E2476" s="5" t="n">
        <v>30413</v>
      </c>
      <c r="F2476" s="4" t="n">
        <v>1</v>
      </c>
      <c r="G2476" s="4" t="s">
        <v>9989</v>
      </c>
      <c r="H2476" s="4" t="n">
        <v>40.77492</v>
      </c>
      <c r="I2476" s="4" t="n">
        <v>-73.4732</v>
      </c>
      <c r="J2476" s="4" t="s">
        <v>9990</v>
      </c>
      <c r="K2476" s="6" t="str">
        <f aca="false">HYPERLINK("https://www.google.com/search?q=Plainview-Old+Bethpage+Public+Library+Plainview+NY+library+website","Search")</f>
        <v>Search</v>
      </c>
      <c r="L2476" s="7"/>
      <c r="M2476" s="7"/>
    </row>
    <row r="2477" customFormat="false" ht="15" hidden="false" customHeight="true" outlineLevel="0" collapsed="false">
      <c r="A2477" s="4" t="s">
        <v>9244</v>
      </c>
      <c r="B2477" s="4" t="s">
        <v>9991</v>
      </c>
      <c r="C2477" s="4" t="s">
        <v>9992</v>
      </c>
      <c r="D2477" s="4" t="s">
        <v>1964</v>
      </c>
      <c r="E2477" s="5" t="n">
        <v>19841</v>
      </c>
      <c r="F2477" s="4" t="n">
        <v>1</v>
      </c>
      <c r="G2477" s="4" t="s">
        <v>9993</v>
      </c>
      <c r="H2477" s="4" t="n">
        <v>44.69716</v>
      </c>
      <c r="I2477" s="4" t="n">
        <v>-73.45549</v>
      </c>
      <c r="J2477" s="4" t="s">
        <v>9994</v>
      </c>
      <c r="K2477" s="6" t="str">
        <f aca="false">HYPERLINK("https://www.google.com/search?q=Plattsburgh+Public+Library+Plattsburgh+NY+library+website","Search")</f>
        <v>Search</v>
      </c>
      <c r="L2477" s="7"/>
      <c r="M2477" s="7"/>
    </row>
    <row r="2478" customFormat="false" ht="15" hidden="false" customHeight="true" outlineLevel="0" collapsed="false">
      <c r="A2478" s="4" t="s">
        <v>9244</v>
      </c>
      <c r="B2478" s="4" t="s">
        <v>9995</v>
      </c>
      <c r="C2478" s="4" t="s">
        <v>9996</v>
      </c>
      <c r="D2478" s="4" t="s">
        <v>4182</v>
      </c>
      <c r="E2478" s="5" t="n">
        <v>41740</v>
      </c>
      <c r="F2478" s="4" t="n">
        <v>1</v>
      </c>
      <c r="G2478" s="4" t="s">
        <v>9997</v>
      </c>
      <c r="H2478" s="4" t="n">
        <v>41.00366</v>
      </c>
      <c r="I2478" s="4" t="n">
        <v>-73.66858</v>
      </c>
      <c r="J2478" s="4" t="s">
        <v>9998</v>
      </c>
      <c r="K2478" s="6" t="str">
        <f aca="false">HYPERLINK("https://www.google.com/search?q=Port+Chester-Rye+Brook+Public+Library+Port+Chester+NY+library+website","Search")</f>
        <v>Search</v>
      </c>
      <c r="L2478" s="7"/>
      <c r="M2478" s="7"/>
    </row>
    <row r="2479" customFormat="false" ht="15" hidden="false" customHeight="true" outlineLevel="0" collapsed="false">
      <c r="A2479" s="4" t="s">
        <v>9244</v>
      </c>
      <c r="B2479" s="4" t="s">
        <v>9999</v>
      </c>
      <c r="C2479" s="4" t="s">
        <v>10000</v>
      </c>
      <c r="D2479" s="4" t="s">
        <v>885</v>
      </c>
      <c r="E2479" s="5" t="n">
        <v>17073</v>
      </c>
      <c r="F2479" s="4" t="n">
        <v>1</v>
      </c>
      <c r="G2479" s="4" t="s">
        <v>10001</v>
      </c>
      <c r="H2479" s="4" t="n">
        <v>41.37627</v>
      </c>
      <c r="I2479" s="4" t="n">
        <v>-74.6916</v>
      </c>
      <c r="J2479" s="4" t="s">
        <v>10002</v>
      </c>
      <c r="K2479" s="6" t="str">
        <f aca="false">HYPERLINK("https://www.google.com/search?q=Port+Jervis+Free+Library+Port+Jervis+NY+library+website","Search")</f>
        <v>Search</v>
      </c>
      <c r="L2479" s="7"/>
      <c r="M2479" s="7"/>
    </row>
    <row r="2480" customFormat="false" ht="15" hidden="false" customHeight="true" outlineLevel="0" collapsed="false">
      <c r="A2480" s="4" t="s">
        <v>9244</v>
      </c>
      <c r="B2480" s="4" t="s">
        <v>10003</v>
      </c>
      <c r="C2480" s="4" t="s">
        <v>10004</v>
      </c>
      <c r="D2480" s="4" t="s">
        <v>2451</v>
      </c>
      <c r="E2480" s="5" t="n">
        <v>32438</v>
      </c>
      <c r="F2480" s="4" t="n">
        <v>1</v>
      </c>
      <c r="G2480" s="4" t="s">
        <v>10005</v>
      </c>
      <c r="H2480" s="4" t="n">
        <v>40.83196</v>
      </c>
      <c r="I2480" s="4" t="n">
        <v>-73.69677</v>
      </c>
      <c r="J2480" s="4" t="s">
        <v>10006</v>
      </c>
      <c r="K2480" s="6" t="str">
        <f aca="false">HYPERLINK("https://www.google.com/search?q=Port+Washington+Public+Library+Port+Washington+NY+library+website","Search")</f>
        <v>Search</v>
      </c>
      <c r="L2480" s="7"/>
      <c r="M2480" s="7"/>
    </row>
    <row r="2481" customFormat="false" ht="15" hidden="false" customHeight="true" outlineLevel="0" collapsed="false">
      <c r="A2481" s="4" t="s">
        <v>9244</v>
      </c>
      <c r="B2481" s="4" t="s">
        <v>10007</v>
      </c>
      <c r="C2481" s="4" t="s">
        <v>10008</v>
      </c>
      <c r="D2481" s="4" t="s">
        <v>9349</v>
      </c>
      <c r="E2481" s="5" t="n">
        <v>13811</v>
      </c>
      <c r="F2481" s="4" t="n">
        <v>1</v>
      </c>
      <c r="G2481" s="4" t="s">
        <v>10009</v>
      </c>
      <c r="H2481" s="4" t="n">
        <v>44.66943</v>
      </c>
      <c r="I2481" s="4" t="n">
        <v>-74.98263</v>
      </c>
      <c r="J2481" s="4" t="s">
        <v>10010</v>
      </c>
      <c r="K2481" s="6" t="str">
        <f aca="false">HYPERLINK("https://www.google.com/search?q=Potsdam+Public+Library+Potsdam+NY+library+website","Search")</f>
        <v>Search</v>
      </c>
      <c r="L2481" s="7"/>
      <c r="M2481" s="7"/>
    </row>
    <row r="2482" customFormat="false" ht="15" hidden="false" customHeight="true" outlineLevel="0" collapsed="false">
      <c r="A2482" s="4" t="s">
        <v>9244</v>
      </c>
      <c r="B2482" s="4" t="s">
        <v>10011</v>
      </c>
      <c r="C2482" s="4" t="s">
        <v>10012</v>
      </c>
      <c r="D2482" s="4" t="s">
        <v>4589</v>
      </c>
      <c r="E2482" s="5" t="n">
        <v>11762</v>
      </c>
      <c r="F2482" s="4" t="n">
        <v>1</v>
      </c>
      <c r="G2482" s="4" t="s">
        <v>10013</v>
      </c>
      <c r="H2482" s="4" t="n">
        <v>41.33639</v>
      </c>
      <c r="I2482" s="4" t="n">
        <v>-73.87409</v>
      </c>
      <c r="J2482" s="4" t="s">
        <v>10014</v>
      </c>
      <c r="K2482" s="6" t="str">
        <f aca="false">HYPERLINK("https://www.google.com/search?q=Putnam+Valley+Free+Library+Putnam+Valley+NY+library+website","Search")</f>
        <v>Search</v>
      </c>
      <c r="L2482" s="7"/>
      <c r="M2482" s="7"/>
    </row>
    <row r="2483" customFormat="false" ht="15" hidden="false" customHeight="true" outlineLevel="0" collapsed="false">
      <c r="A2483" s="4" t="s">
        <v>9244</v>
      </c>
      <c r="B2483" s="4" t="s">
        <v>10015</v>
      </c>
      <c r="C2483" s="4" t="s">
        <v>10016</v>
      </c>
      <c r="D2483" s="4" t="s">
        <v>10017</v>
      </c>
      <c r="E2483" s="5" t="n">
        <v>2405464</v>
      </c>
      <c r="F2483" s="4" t="n">
        <v>62</v>
      </c>
      <c r="G2483" s="4" t="s">
        <v>10018</v>
      </c>
      <c r="H2483" s="4" t="n">
        <v>40.70766</v>
      </c>
      <c r="I2483" s="4" t="n">
        <v>-73.79503</v>
      </c>
      <c r="J2483" s="4" t="s">
        <v>10019</v>
      </c>
      <c r="K2483" s="6" t="str">
        <f aca="false">HYPERLINK("https://www.google.com/search?q=Queens+Borough+Public+Library+Jamaica+NY+library+website","Search")</f>
        <v>Search</v>
      </c>
      <c r="L2483" s="7"/>
      <c r="M2483" s="7"/>
    </row>
    <row r="2484" customFormat="false" ht="15" hidden="false" customHeight="true" outlineLevel="0" collapsed="false">
      <c r="A2484" s="4" t="s">
        <v>9244</v>
      </c>
      <c r="B2484" s="4" t="s">
        <v>10020</v>
      </c>
      <c r="C2484" s="4" t="s">
        <v>10021</v>
      </c>
      <c r="D2484" s="4" t="s">
        <v>2671</v>
      </c>
      <c r="E2484" s="5" t="n">
        <v>14093</v>
      </c>
      <c r="F2484" s="4" t="n">
        <v>1</v>
      </c>
      <c r="G2484" s="4" t="s">
        <v>10022</v>
      </c>
      <c r="H2484" s="4" t="n">
        <v>42.47258</v>
      </c>
      <c r="I2484" s="4" t="n">
        <v>-73.80773</v>
      </c>
      <c r="J2484" s="4" t="s">
        <v>10023</v>
      </c>
      <c r="K2484" s="6" t="str">
        <f aca="false">HYPERLINK("https://www.google.com/search?q=Rcs+Community+Library+Ravena+NY+library+website","Search")</f>
        <v>Search</v>
      </c>
      <c r="L2484" s="7"/>
      <c r="M2484" s="7"/>
    </row>
    <row r="2485" customFormat="false" ht="15" hidden="false" customHeight="true" outlineLevel="0" collapsed="false">
      <c r="A2485" s="4" t="s">
        <v>9244</v>
      </c>
      <c r="B2485" s="4" t="s">
        <v>10024</v>
      </c>
      <c r="C2485" s="4" t="s">
        <v>3339</v>
      </c>
      <c r="D2485" s="4" t="s">
        <v>6641</v>
      </c>
      <c r="E2485" s="5" t="n">
        <v>18640</v>
      </c>
      <c r="F2485" s="4" t="n">
        <v>1</v>
      </c>
      <c r="G2485" s="4" t="s">
        <v>10025</v>
      </c>
      <c r="H2485" s="4" t="n">
        <v>42.9978</v>
      </c>
      <c r="I2485" s="4" t="n">
        <v>-78.17684</v>
      </c>
      <c r="J2485" s="4" t="s">
        <v>10026</v>
      </c>
      <c r="K2485" s="6" t="str">
        <f aca="false">HYPERLINK("https://www.google.com/search?q=Richmond+Memorial+Library+Batavia+NY+library+website","Search")</f>
        <v>Search</v>
      </c>
      <c r="L2485" s="7"/>
      <c r="M2485" s="7"/>
    </row>
    <row r="2486" customFormat="false" ht="15" hidden="false" customHeight="true" outlineLevel="0" collapsed="false">
      <c r="A2486" s="4" t="s">
        <v>9244</v>
      </c>
      <c r="B2486" s="4" t="s">
        <v>10027</v>
      </c>
      <c r="C2486" s="4" t="s">
        <v>10028</v>
      </c>
      <c r="D2486" s="4" t="s">
        <v>5553</v>
      </c>
      <c r="E2486" s="5" t="n">
        <v>41860</v>
      </c>
      <c r="F2486" s="4" t="n">
        <v>1</v>
      </c>
      <c r="G2486" s="4" t="s">
        <v>10029</v>
      </c>
      <c r="H2486" s="4" t="n">
        <v>40.91855</v>
      </c>
      <c r="I2486" s="4" t="n">
        <v>-72.66924</v>
      </c>
      <c r="J2486" s="4" t="s">
        <v>10030</v>
      </c>
      <c r="K2486" s="6" t="str">
        <f aca="false">HYPERLINK("https://www.google.com/search?q=Riverhead+Free+Library+Riverhead+NY+library+website","Search")</f>
        <v>Search</v>
      </c>
      <c r="L2486" s="7"/>
      <c r="M2486" s="7"/>
    </row>
    <row r="2487" customFormat="false" ht="15" hidden="false" customHeight="true" outlineLevel="0" collapsed="false">
      <c r="A2487" s="4" t="s">
        <v>9244</v>
      </c>
      <c r="B2487" s="4" t="s">
        <v>7281</v>
      </c>
      <c r="C2487" s="4" t="s">
        <v>4350</v>
      </c>
      <c r="D2487" s="4" t="s">
        <v>311</v>
      </c>
      <c r="E2487" s="5" t="n">
        <v>211328</v>
      </c>
      <c r="F2487" s="4" t="n">
        <v>11</v>
      </c>
      <c r="G2487" s="4" t="s">
        <v>10031</v>
      </c>
      <c r="H2487" s="4" t="n">
        <v>43.15414</v>
      </c>
      <c r="I2487" s="4" t="n">
        <v>-77.60823</v>
      </c>
      <c r="J2487" s="4" t="s">
        <v>10032</v>
      </c>
      <c r="K2487" s="6" t="str">
        <f aca="false">HYPERLINK("https://www.google.com/search?q=Rochester+Public+Library+Rochester+NY+library+website","Search")</f>
        <v>Search</v>
      </c>
      <c r="L2487" s="7"/>
      <c r="M2487" s="7"/>
    </row>
    <row r="2488" customFormat="false" ht="15" hidden="false" customHeight="true" outlineLevel="0" collapsed="false">
      <c r="A2488" s="4" t="s">
        <v>9244</v>
      </c>
      <c r="B2488" s="4" t="s">
        <v>10033</v>
      </c>
      <c r="C2488" s="4" t="s">
        <v>10034</v>
      </c>
      <c r="D2488" s="4" t="s">
        <v>2451</v>
      </c>
      <c r="E2488" s="5" t="n">
        <v>24114</v>
      </c>
      <c r="F2488" s="4" t="n">
        <v>1</v>
      </c>
      <c r="G2488" s="4" t="s">
        <v>10035</v>
      </c>
      <c r="H2488" s="4" t="n">
        <v>40.66423</v>
      </c>
      <c r="I2488" s="4" t="n">
        <v>-73.64829</v>
      </c>
      <c r="J2488" s="4" t="s">
        <v>10036</v>
      </c>
      <c r="K2488" s="6" t="str">
        <f aca="false">HYPERLINK("https://www.google.com/search?q=Rockville+Centre+Public+Library+Rockville+Centre+NY+library+website","Search")</f>
        <v>Search</v>
      </c>
      <c r="L2488" s="7"/>
      <c r="M2488" s="7"/>
    </row>
    <row r="2489" customFormat="false" ht="15" hidden="false" customHeight="true" outlineLevel="0" collapsed="false">
      <c r="A2489" s="4" t="s">
        <v>9244</v>
      </c>
      <c r="B2489" s="4" t="s">
        <v>10037</v>
      </c>
      <c r="C2489" s="4" t="s">
        <v>10038</v>
      </c>
      <c r="D2489" s="4" t="s">
        <v>5553</v>
      </c>
      <c r="E2489" s="5" t="n">
        <v>17325</v>
      </c>
      <c r="F2489" s="4" t="n">
        <v>1</v>
      </c>
      <c r="G2489" s="4" t="s">
        <v>10039</v>
      </c>
      <c r="H2489" s="4" t="n">
        <v>40.88629</v>
      </c>
      <c r="I2489" s="4" t="n">
        <v>-72.39336</v>
      </c>
      <c r="J2489" s="4" t="s">
        <v>10040</v>
      </c>
      <c r="K2489" s="6" t="str">
        <f aca="false">HYPERLINK("https://www.google.com/search?q=Rogers+Memorial+Library+Southampton+NY+library+website","Search")</f>
        <v>Search</v>
      </c>
      <c r="L2489" s="7"/>
      <c r="M2489" s="7"/>
    </row>
    <row r="2490" customFormat="false" ht="15" hidden="false" customHeight="true" outlineLevel="0" collapsed="false">
      <c r="A2490" s="4" t="s">
        <v>9244</v>
      </c>
      <c r="B2490" s="4" t="s">
        <v>10041</v>
      </c>
      <c r="C2490" s="4" t="s">
        <v>7855</v>
      </c>
      <c r="D2490" s="4" t="s">
        <v>2451</v>
      </c>
      <c r="E2490" s="5" t="n">
        <v>19574</v>
      </c>
      <c r="F2490" s="4" t="n">
        <v>1</v>
      </c>
      <c r="G2490" s="4" t="s">
        <v>10042</v>
      </c>
      <c r="H2490" s="4" t="n">
        <v>40.67565</v>
      </c>
      <c r="I2490" s="4" t="n">
        <v>-73.58867</v>
      </c>
      <c r="J2490" s="4" t="s">
        <v>10043</v>
      </c>
      <c r="K2490" s="6" t="str">
        <f aca="false">HYPERLINK("https://www.google.com/search?q=Roosevelt+Public+Library+Roosevelt+NY+library+website","Search")</f>
        <v>Search</v>
      </c>
      <c r="L2490" s="7"/>
      <c r="M2490" s="7"/>
    </row>
    <row r="2491" customFormat="false" ht="15" hidden="false" customHeight="true" outlineLevel="0" collapsed="false">
      <c r="A2491" s="4" t="s">
        <v>9244</v>
      </c>
      <c r="B2491" s="4" t="s">
        <v>10044</v>
      </c>
      <c r="C2491" s="4" t="s">
        <v>10045</v>
      </c>
      <c r="D2491" s="4" t="s">
        <v>5974</v>
      </c>
      <c r="E2491" s="5" t="n">
        <v>14813</v>
      </c>
      <c r="F2491" s="4" t="n">
        <v>1</v>
      </c>
      <c r="G2491" s="4" t="s">
        <v>10046</v>
      </c>
      <c r="H2491" s="4" t="n">
        <v>41.22921</v>
      </c>
      <c r="I2491" s="4" t="n">
        <v>-73.98518</v>
      </c>
      <c r="J2491" s="4" t="s">
        <v>10047</v>
      </c>
      <c r="K2491" s="6" t="str">
        <f aca="false">HYPERLINK("https://www.google.com/search?q=Rose+Memorial+Library+Association+Stony+Point+NY+library+website","Search")</f>
        <v>Search</v>
      </c>
      <c r="L2491" s="7"/>
      <c r="M2491" s="7"/>
    </row>
    <row r="2492" customFormat="false" ht="15" hidden="false" customHeight="true" outlineLevel="0" collapsed="false">
      <c r="A2492" s="4" t="s">
        <v>9244</v>
      </c>
      <c r="B2492" s="4" t="s">
        <v>10048</v>
      </c>
      <c r="C2492" s="4" t="s">
        <v>2158</v>
      </c>
      <c r="D2492" s="4" t="s">
        <v>98</v>
      </c>
      <c r="E2492" s="5" t="n">
        <v>24685</v>
      </c>
      <c r="F2492" s="4" t="n">
        <v>1</v>
      </c>
      <c r="G2492" s="4" t="s">
        <v>10049</v>
      </c>
      <c r="H2492" s="4" t="n">
        <v>43.97297</v>
      </c>
      <c r="I2492" s="4" t="n">
        <v>-75.91038</v>
      </c>
      <c r="J2492" s="4" t="s">
        <v>10050</v>
      </c>
      <c r="K2492" s="6" t="str">
        <f aca="false">HYPERLINK("https://www.google.com/search?q=Roswell+P.+Flower+Memorial+Library+Watertown+NY+library+website","Search")</f>
        <v>Search</v>
      </c>
      <c r="L2492" s="7"/>
      <c r="M2492" s="7"/>
    </row>
    <row r="2493" customFormat="false" ht="15" hidden="false" customHeight="true" outlineLevel="0" collapsed="false">
      <c r="A2493" s="4" t="s">
        <v>9244</v>
      </c>
      <c r="B2493" s="4" t="s">
        <v>10051</v>
      </c>
      <c r="C2493" s="4" t="s">
        <v>10052</v>
      </c>
      <c r="D2493" s="4" t="s">
        <v>4182</v>
      </c>
      <c r="E2493" s="5" t="n">
        <v>16592</v>
      </c>
      <c r="F2493" s="4" t="n">
        <v>2</v>
      </c>
      <c r="G2493" s="4" t="s">
        <v>10053</v>
      </c>
      <c r="H2493" s="4" t="n">
        <v>40.98151</v>
      </c>
      <c r="I2493" s="4" t="n">
        <v>-73.68491</v>
      </c>
      <c r="J2493" s="4" t="s">
        <v>10054</v>
      </c>
      <c r="K2493" s="6" t="str">
        <f aca="false">HYPERLINK("https://www.google.com/search?q=Rye+Free+Reading+Room+Rye+NY+library+website","Search")</f>
        <v>Search</v>
      </c>
      <c r="L2493" s="7"/>
      <c r="M2493" s="7"/>
    </row>
    <row r="2494" customFormat="false" ht="15" hidden="false" customHeight="true" outlineLevel="0" collapsed="false">
      <c r="A2494" s="4" t="s">
        <v>9244</v>
      </c>
      <c r="B2494" s="4" t="s">
        <v>10055</v>
      </c>
      <c r="C2494" s="4" t="s">
        <v>779</v>
      </c>
      <c r="D2494" s="4" t="s">
        <v>5553</v>
      </c>
      <c r="E2494" s="5" t="n">
        <v>81592</v>
      </c>
      <c r="F2494" s="4" t="n">
        <v>1</v>
      </c>
      <c r="G2494" s="4" t="s">
        <v>10056</v>
      </c>
      <c r="H2494" s="4" t="n">
        <v>40.82297</v>
      </c>
      <c r="I2494" s="4" t="n">
        <v>-73.08108</v>
      </c>
      <c r="J2494" s="4" t="s">
        <v>10057</v>
      </c>
      <c r="K2494" s="6" t="str">
        <f aca="false">HYPERLINK("https://www.google.com/search?q=Sachem+Public+Library+Holbrook+NY+library+website","Search")</f>
        <v>Search</v>
      </c>
      <c r="L2494" s="7"/>
      <c r="M2494" s="7"/>
    </row>
    <row r="2495" customFormat="false" ht="15" hidden="false" customHeight="true" outlineLevel="0" collapsed="false">
      <c r="A2495" s="4" t="s">
        <v>9244</v>
      </c>
      <c r="B2495" s="4" t="s">
        <v>10058</v>
      </c>
      <c r="C2495" s="4" t="s">
        <v>10059</v>
      </c>
      <c r="D2495" s="4" t="s">
        <v>9276</v>
      </c>
      <c r="E2495" s="5" t="n">
        <v>11521</v>
      </c>
      <c r="F2495" s="4" t="n">
        <v>1</v>
      </c>
      <c r="G2495" s="4" t="s">
        <v>10060</v>
      </c>
      <c r="H2495" s="4" t="n">
        <v>43.10012</v>
      </c>
      <c r="I2495" s="4" t="n">
        <v>-76.15023</v>
      </c>
      <c r="J2495" s="4" t="s">
        <v>10061</v>
      </c>
      <c r="K2495" s="6" t="str">
        <f aca="false">HYPERLINK("https://www.google.com/search?q=Salina+Free+Library+Mattydale+NY+library+website","Search")</f>
        <v>Search</v>
      </c>
      <c r="L2495" s="7"/>
      <c r="M2495" s="7"/>
    </row>
    <row r="2496" customFormat="false" ht="15" hidden="false" customHeight="true" outlineLevel="0" collapsed="false">
      <c r="A2496" s="4" t="s">
        <v>9244</v>
      </c>
      <c r="B2496" s="4" t="s">
        <v>10062</v>
      </c>
      <c r="C2496" s="4" t="s">
        <v>10063</v>
      </c>
      <c r="D2496" s="4" t="s">
        <v>384</v>
      </c>
      <c r="E2496" s="5" t="n">
        <v>11642</v>
      </c>
      <c r="F2496" s="4" t="n">
        <v>1</v>
      </c>
      <c r="G2496" s="4" t="s">
        <v>10064</v>
      </c>
      <c r="H2496" s="4" t="n">
        <v>44.32743</v>
      </c>
      <c r="I2496" s="4" t="n">
        <v>-74.13037</v>
      </c>
      <c r="J2496" s="4" t="s">
        <v>10065</v>
      </c>
      <c r="K2496" s="6" t="str">
        <f aca="false">HYPERLINK("https://www.google.com/search?q=Saranac+Lake+Free+Library+Saranac+Lake+NY+library+website","Search")</f>
        <v>Search</v>
      </c>
      <c r="L2496" s="7"/>
      <c r="M2496" s="7"/>
    </row>
    <row r="2497" customFormat="false" ht="15" hidden="false" customHeight="true" outlineLevel="0" collapsed="false">
      <c r="A2497" s="4" t="s">
        <v>9244</v>
      </c>
      <c r="B2497" s="4" t="s">
        <v>10066</v>
      </c>
      <c r="C2497" s="4" t="s">
        <v>10067</v>
      </c>
      <c r="D2497" s="4" t="s">
        <v>9281</v>
      </c>
      <c r="E2497" s="5" t="n">
        <v>52091</v>
      </c>
      <c r="F2497" s="4" t="n">
        <v>1</v>
      </c>
      <c r="G2497" s="4" t="s">
        <v>10068</v>
      </c>
      <c r="H2497" s="4" t="n">
        <v>43.08093</v>
      </c>
      <c r="I2497" s="4" t="n">
        <v>-73.78312</v>
      </c>
      <c r="J2497" s="4" t="s">
        <v>10069</v>
      </c>
      <c r="K2497" s="6" t="str">
        <f aca="false">HYPERLINK("https://www.google.com/search?q=Saratoga+Springs+Public+Library+Saratoga+Springs+NY+library+website","Search")</f>
        <v>Search</v>
      </c>
      <c r="L2497" s="7"/>
      <c r="M2497" s="7"/>
    </row>
    <row r="2498" customFormat="false" ht="15" hidden="false" customHeight="true" outlineLevel="0" collapsed="false">
      <c r="A2498" s="4" t="s">
        <v>9244</v>
      </c>
      <c r="B2498" s="4" t="s">
        <v>10070</v>
      </c>
      <c r="C2498" s="4" t="s">
        <v>10071</v>
      </c>
      <c r="D2498" s="4" t="s">
        <v>9477</v>
      </c>
      <c r="E2498" s="5" t="n">
        <v>19038</v>
      </c>
      <c r="F2498" s="4" t="n">
        <v>1</v>
      </c>
      <c r="G2498" s="4" t="s">
        <v>10072</v>
      </c>
      <c r="H2498" s="4" t="n">
        <v>42.07786</v>
      </c>
      <c r="I2498" s="4" t="n">
        <v>-73.94934</v>
      </c>
      <c r="J2498" s="4" t="s">
        <v>10073</v>
      </c>
      <c r="K2498" s="6" t="str">
        <f aca="false">HYPERLINK("https://www.google.com/search?q=Saugerties+Public+Library+Saugerties+NY+library+website","Search")</f>
        <v>Search</v>
      </c>
      <c r="L2498" s="7"/>
      <c r="M2498" s="7"/>
    </row>
    <row r="2499" customFormat="false" ht="15" hidden="false" customHeight="true" outlineLevel="0" collapsed="false">
      <c r="A2499" s="4" t="s">
        <v>9244</v>
      </c>
      <c r="B2499" s="4" t="s">
        <v>10074</v>
      </c>
      <c r="C2499" s="4" t="s">
        <v>10075</v>
      </c>
      <c r="D2499" s="4" t="s">
        <v>5553</v>
      </c>
      <c r="E2499" s="5" t="n">
        <v>18498</v>
      </c>
      <c r="F2499" s="4" t="n">
        <v>1</v>
      </c>
      <c r="G2499" s="4" t="s">
        <v>10076</v>
      </c>
      <c r="H2499" s="4" t="n">
        <v>40.73772</v>
      </c>
      <c r="I2499" s="4" t="n">
        <v>-73.08608</v>
      </c>
      <c r="J2499" s="4" t="s">
        <v>10077</v>
      </c>
      <c r="K2499" s="6" t="str">
        <f aca="false">HYPERLINK("https://www.google.com/search?q=Sayville+Library+Sayville+NY+library+website","Search")</f>
        <v>Search</v>
      </c>
      <c r="L2499" s="7"/>
      <c r="M2499" s="7"/>
    </row>
    <row r="2500" customFormat="false" ht="15" hidden="false" customHeight="true" outlineLevel="0" collapsed="false">
      <c r="A2500" s="4" t="s">
        <v>9244</v>
      </c>
      <c r="B2500" s="4" t="s">
        <v>10078</v>
      </c>
      <c r="C2500" s="4" t="s">
        <v>10079</v>
      </c>
      <c r="D2500" s="4" t="s">
        <v>4182</v>
      </c>
      <c r="E2500" s="5" t="n">
        <v>18253</v>
      </c>
      <c r="F2500" s="4" t="n">
        <v>1</v>
      </c>
      <c r="G2500" s="4" t="s">
        <v>10080</v>
      </c>
      <c r="H2500" s="4" t="n">
        <v>40.99835</v>
      </c>
      <c r="I2500" s="4" t="n">
        <v>-73.78857</v>
      </c>
      <c r="J2500" s="4" t="s">
        <v>10081</v>
      </c>
      <c r="K2500" s="6" t="str">
        <f aca="false">HYPERLINK("https://www.google.com/search?q=Scarsdale+Public+Library+Scarsdale+NY+library+website","Search")</f>
        <v>Search</v>
      </c>
      <c r="L2500" s="7"/>
      <c r="M2500" s="7"/>
    </row>
    <row r="2501" customFormat="false" ht="15" hidden="false" customHeight="true" outlineLevel="0" collapsed="false">
      <c r="A2501" s="4" t="s">
        <v>9244</v>
      </c>
      <c r="B2501" s="4" t="s">
        <v>10082</v>
      </c>
      <c r="C2501" s="4" t="s">
        <v>10083</v>
      </c>
      <c r="D2501" s="4" t="s">
        <v>10083</v>
      </c>
      <c r="E2501" s="5" t="n">
        <v>158061</v>
      </c>
      <c r="F2501" s="4" t="n">
        <v>9</v>
      </c>
      <c r="G2501" s="4" t="s">
        <v>10084</v>
      </c>
      <c r="H2501" s="4" t="n">
        <v>42.81602</v>
      </c>
      <c r="I2501" s="4" t="n">
        <v>-73.93744</v>
      </c>
      <c r="J2501" s="4" t="s">
        <v>10085</v>
      </c>
      <c r="K2501" s="6" t="str">
        <f aca="false">HYPERLINK("https://www.google.com/search?q=Schenectady+County+Public+Library+Schenectady+NY+library+website","Search")</f>
        <v>Search</v>
      </c>
      <c r="L2501" s="7"/>
      <c r="M2501" s="7"/>
    </row>
    <row r="2502" customFormat="false" ht="15" hidden="false" customHeight="true" outlineLevel="0" collapsed="false">
      <c r="A2502" s="4" t="s">
        <v>9244</v>
      </c>
      <c r="B2502" s="4" t="s">
        <v>10086</v>
      </c>
      <c r="C2502" s="4" t="s">
        <v>10087</v>
      </c>
      <c r="D2502" s="4" t="s">
        <v>9281</v>
      </c>
      <c r="E2502" s="5" t="n">
        <v>10032</v>
      </c>
      <c r="F2502" s="4" t="n">
        <v>1</v>
      </c>
      <c r="G2502" s="4" t="s">
        <v>10088</v>
      </c>
      <c r="H2502" s="4" t="n">
        <v>43.10044</v>
      </c>
      <c r="I2502" s="4" t="n">
        <v>-73.58285</v>
      </c>
      <c r="J2502" s="4" t="s">
        <v>10089</v>
      </c>
      <c r="K2502" s="6" t="str">
        <f aca="false">HYPERLINK("https://www.google.com/search?q=Schuylerville+Public+Library+Schuylerville+NY+library+website","Search")</f>
        <v>Search</v>
      </c>
      <c r="L2502" s="7"/>
      <c r="M2502" s="7"/>
    </row>
    <row r="2503" customFormat="false" ht="15" hidden="false" customHeight="true" outlineLevel="0" collapsed="false">
      <c r="A2503" s="4" t="s">
        <v>9244</v>
      </c>
      <c r="B2503" s="4" t="s">
        <v>10090</v>
      </c>
      <c r="C2503" s="4" t="s">
        <v>2267</v>
      </c>
      <c r="D2503" s="4" t="s">
        <v>2451</v>
      </c>
      <c r="E2503" s="5" t="n">
        <v>16086</v>
      </c>
      <c r="F2503" s="4" t="n">
        <v>1</v>
      </c>
      <c r="G2503" s="4" t="s">
        <v>10091</v>
      </c>
      <c r="H2503" s="4" t="n">
        <v>40.66685</v>
      </c>
      <c r="I2503" s="4" t="n">
        <v>-73.48714</v>
      </c>
      <c r="J2503" s="4" t="s">
        <v>10092</v>
      </c>
      <c r="K2503" s="6" t="str">
        <f aca="false">HYPERLINK("https://www.google.com/search?q=Seaford+Public+Library+Seaford+NY+library+website","Search")</f>
        <v>Search</v>
      </c>
      <c r="L2503" s="7"/>
      <c r="M2503" s="7"/>
    </row>
    <row r="2504" customFormat="false" ht="15" hidden="false" customHeight="true" outlineLevel="0" collapsed="false">
      <c r="A2504" s="4" t="s">
        <v>9244</v>
      </c>
      <c r="B2504" s="4" t="s">
        <v>10093</v>
      </c>
      <c r="C2504" s="4" t="s">
        <v>10094</v>
      </c>
      <c r="D2504" s="4" t="s">
        <v>311</v>
      </c>
      <c r="E2504" s="5" t="n">
        <v>20148</v>
      </c>
      <c r="F2504" s="4" t="n">
        <v>1</v>
      </c>
      <c r="G2504" s="4" t="s">
        <v>10095</v>
      </c>
      <c r="H2504" s="4" t="n">
        <v>43.22074</v>
      </c>
      <c r="I2504" s="4" t="n">
        <v>-77.9295</v>
      </c>
      <c r="J2504" s="4" t="s">
        <v>10096</v>
      </c>
      <c r="K2504" s="6" t="str">
        <f aca="false">HYPERLINK("https://www.google.com/search?q=Seymour+Library+Brockport+NY+library+website","Search")</f>
        <v>Search</v>
      </c>
      <c r="L2504" s="7"/>
      <c r="M2504" s="7"/>
    </row>
    <row r="2505" customFormat="false" ht="15" hidden="false" customHeight="true" outlineLevel="0" collapsed="false">
      <c r="A2505" s="4" t="s">
        <v>9244</v>
      </c>
      <c r="B2505" s="4" t="s">
        <v>10097</v>
      </c>
      <c r="C2505" s="4" t="s">
        <v>82</v>
      </c>
      <c r="D2505" s="4" t="s">
        <v>10098</v>
      </c>
      <c r="E2505" s="5" t="n">
        <v>33261</v>
      </c>
      <c r="F2505" s="4" t="n">
        <v>1</v>
      </c>
      <c r="G2505" s="4" t="s">
        <v>10099</v>
      </c>
      <c r="H2505" s="4" t="n">
        <v>42.92858</v>
      </c>
      <c r="I2505" s="4" t="n">
        <v>-76.57131</v>
      </c>
      <c r="J2505" s="4" t="s">
        <v>10100</v>
      </c>
      <c r="K2505" s="6" t="str">
        <f aca="false">HYPERLINK("https://www.google.com/search?q=Seymour+Public+Library+District+Auburn+NY+library+website","Search")</f>
        <v>Search</v>
      </c>
      <c r="L2505" s="7"/>
      <c r="M2505" s="7"/>
    </row>
    <row r="2506" customFormat="false" ht="15" hidden="false" customHeight="true" outlineLevel="0" collapsed="false">
      <c r="A2506" s="4" t="s">
        <v>9244</v>
      </c>
      <c r="B2506" s="4" t="s">
        <v>10101</v>
      </c>
      <c r="C2506" s="4" t="s">
        <v>10102</v>
      </c>
      <c r="D2506" s="4" t="s">
        <v>2451</v>
      </c>
      <c r="E2506" s="5" t="n">
        <v>27928</v>
      </c>
      <c r="F2506" s="4" t="n">
        <v>1</v>
      </c>
      <c r="G2506" s="4" t="s">
        <v>10103</v>
      </c>
      <c r="H2506" s="4" t="n">
        <v>40.77737</v>
      </c>
      <c r="I2506" s="4" t="n">
        <v>-73.65931</v>
      </c>
      <c r="J2506" s="4" t="s">
        <v>10104</v>
      </c>
      <c r="K2506" s="6" t="str">
        <f aca="false">HYPERLINK("https://www.google.com/search?q=Shelter+Rock+Public+Library+Albertson+NY+library+website","Search")</f>
        <v>Search</v>
      </c>
      <c r="L2506" s="7"/>
      <c r="M2506" s="7"/>
    </row>
    <row r="2507" customFormat="false" ht="15" hidden="false" customHeight="true" outlineLevel="0" collapsed="false">
      <c r="A2507" s="4" t="s">
        <v>9244</v>
      </c>
      <c r="B2507" s="4" t="s">
        <v>10105</v>
      </c>
      <c r="C2507" s="4" t="s">
        <v>10106</v>
      </c>
      <c r="D2507" s="4" t="s">
        <v>5553</v>
      </c>
      <c r="E2507" s="5" t="n">
        <v>112919</v>
      </c>
      <c r="F2507" s="4" t="n">
        <v>4</v>
      </c>
      <c r="G2507" s="4" t="s">
        <v>10107</v>
      </c>
      <c r="H2507" s="4" t="n">
        <v>40.83667</v>
      </c>
      <c r="I2507" s="4" t="n">
        <v>-73.15908</v>
      </c>
      <c r="J2507" s="4" t="s">
        <v>10108</v>
      </c>
      <c r="K2507" s="6" t="str">
        <f aca="false">HYPERLINK("https://www.google.com/search?q=Smithtown+Special+Library+District+Nesconset+NY+library+website","Search")</f>
        <v>Search</v>
      </c>
      <c r="L2507" s="7"/>
      <c r="M2507" s="7"/>
    </row>
    <row r="2508" customFormat="false" ht="15" hidden="false" customHeight="true" outlineLevel="0" collapsed="false">
      <c r="A2508" s="4" t="s">
        <v>9244</v>
      </c>
      <c r="B2508" s="4" t="s">
        <v>10109</v>
      </c>
      <c r="C2508" s="4" t="s">
        <v>10110</v>
      </c>
      <c r="D2508" s="4" t="s">
        <v>5553</v>
      </c>
      <c r="E2508" s="5" t="n">
        <v>29046</v>
      </c>
      <c r="F2508" s="4" t="n">
        <v>1</v>
      </c>
      <c r="G2508" s="4" t="s">
        <v>10111</v>
      </c>
      <c r="H2508" s="4" t="n">
        <v>40.75819</v>
      </c>
      <c r="I2508" s="4" t="n">
        <v>-72.94094</v>
      </c>
      <c r="J2508" s="4" t="s">
        <v>10112</v>
      </c>
      <c r="K2508" s="6" t="str">
        <f aca="false">HYPERLINK("https://www.google.com/search?q=South+Country+Library+Bellport+NY+library+website","Search")</f>
        <v>Search</v>
      </c>
      <c r="L2508" s="7"/>
      <c r="M2508" s="7"/>
    </row>
    <row r="2509" customFormat="false" ht="15" hidden="false" customHeight="true" outlineLevel="0" collapsed="false">
      <c r="A2509" s="4" t="s">
        <v>9244</v>
      </c>
      <c r="B2509" s="4" t="s">
        <v>10113</v>
      </c>
      <c r="C2509" s="4" t="s">
        <v>10114</v>
      </c>
      <c r="D2509" s="4" t="s">
        <v>5553</v>
      </c>
      <c r="E2509" s="5" t="n">
        <v>39349</v>
      </c>
      <c r="F2509" s="4" t="n">
        <v>1</v>
      </c>
      <c r="G2509" s="4" t="s">
        <v>10115</v>
      </c>
      <c r="H2509" s="4" t="n">
        <v>40.82257</v>
      </c>
      <c r="I2509" s="4" t="n">
        <v>-73.39127</v>
      </c>
      <c r="J2509" s="4" t="s">
        <v>10116</v>
      </c>
      <c r="K2509" s="6" t="str">
        <f aca="false">HYPERLINK("https://www.google.com/search?q=South+Huntington+Public+Library+Huntington+Statio+NY+library+website","Search")</f>
        <v>Search</v>
      </c>
      <c r="L2509" s="7"/>
      <c r="M2509" s="7"/>
    </row>
    <row r="2510" customFormat="false" ht="15" hidden="false" customHeight="true" outlineLevel="0" collapsed="false">
      <c r="A2510" s="4" t="s">
        <v>9244</v>
      </c>
      <c r="B2510" s="4" t="s">
        <v>10117</v>
      </c>
      <c r="C2510" s="4" t="s">
        <v>10118</v>
      </c>
      <c r="D2510" s="4" t="s">
        <v>4295</v>
      </c>
      <c r="E2510" s="5" t="n">
        <v>33335</v>
      </c>
      <c r="F2510" s="4" t="n">
        <v>1</v>
      </c>
      <c r="G2510" s="4" t="s">
        <v>10119</v>
      </c>
      <c r="H2510" s="4" t="n">
        <v>42.14222</v>
      </c>
      <c r="I2510" s="4" t="n">
        <v>-77.04707</v>
      </c>
      <c r="J2510" s="4" t="s">
        <v>10120</v>
      </c>
      <c r="K2510" s="6" t="str">
        <f aca="false">HYPERLINK("https://www.google.com/search?q=Southeast+Steuben+County+Library+Corning+NY+library+website","Search")</f>
        <v>Search</v>
      </c>
      <c r="L2510" s="7"/>
      <c r="M2510" s="7"/>
    </row>
    <row r="2511" customFormat="false" ht="15" hidden="false" customHeight="true" outlineLevel="0" collapsed="false">
      <c r="A2511" s="4" t="s">
        <v>9244</v>
      </c>
      <c r="B2511" s="4" t="s">
        <v>10121</v>
      </c>
      <c r="C2511" s="4" t="s">
        <v>10122</v>
      </c>
      <c r="D2511" s="4" t="s">
        <v>10123</v>
      </c>
      <c r="E2511" s="5" t="n">
        <v>11634</v>
      </c>
      <c r="F2511" s="4" t="n">
        <v>1</v>
      </c>
      <c r="G2511" s="4" t="s">
        <v>10124</v>
      </c>
      <c r="H2511" s="4" t="n">
        <v>42.86369</v>
      </c>
      <c r="I2511" s="4" t="n">
        <v>-78.27704</v>
      </c>
      <c r="J2511" s="4" t="s">
        <v>10125</v>
      </c>
      <c r="K2511" s="6" t="str">
        <f aca="false">HYPERLINK("https://www.google.com/search?q=Stevens+Memorial+Community+Library+Attica+NY+library+website","Search")</f>
        <v>Search</v>
      </c>
      <c r="L2511" s="7"/>
      <c r="M2511" s="7"/>
    </row>
    <row r="2512" customFormat="false" ht="15" hidden="false" customHeight="true" outlineLevel="0" collapsed="false">
      <c r="A2512" s="4" t="s">
        <v>9244</v>
      </c>
      <c r="B2512" s="4" t="s">
        <v>10126</v>
      </c>
      <c r="C2512" s="4" t="s">
        <v>10127</v>
      </c>
      <c r="D2512" s="4" t="s">
        <v>5974</v>
      </c>
      <c r="E2512" s="5" t="n">
        <v>30869</v>
      </c>
      <c r="F2512" s="4" t="n">
        <v>1</v>
      </c>
      <c r="G2512" s="4" t="s">
        <v>10128</v>
      </c>
      <c r="H2512" s="4" t="n">
        <v>41.11346</v>
      </c>
      <c r="I2512" s="4" t="n">
        <v>-74.13717</v>
      </c>
      <c r="J2512" s="4" t="s">
        <v>10129</v>
      </c>
      <c r="K2512" s="6" t="str">
        <f aca="false">HYPERLINK("https://www.google.com/search?q=Suffern+Free+Library+Suffern+NY+library+website","Search")</f>
        <v>Search</v>
      </c>
      <c r="L2512" s="7"/>
      <c r="M2512" s="7"/>
    </row>
    <row r="2513" customFormat="false" ht="15" hidden="false" customHeight="true" outlineLevel="0" collapsed="false">
      <c r="A2513" s="4" t="s">
        <v>9244</v>
      </c>
      <c r="B2513" s="4" t="s">
        <v>10130</v>
      </c>
      <c r="C2513" s="4" t="s">
        <v>10131</v>
      </c>
      <c r="D2513" s="4" t="s">
        <v>261</v>
      </c>
      <c r="E2513" s="5" t="n">
        <v>14794</v>
      </c>
      <c r="F2513" s="4" t="n">
        <v>2</v>
      </c>
      <c r="G2513" s="4" t="s">
        <v>10132</v>
      </c>
      <c r="H2513" s="4" t="n">
        <v>43.04411</v>
      </c>
      <c r="I2513" s="4" t="n">
        <v>-75.86613</v>
      </c>
      <c r="J2513" s="4" t="s">
        <v>10133</v>
      </c>
      <c r="K2513" s="6" t="str">
        <f aca="false">HYPERLINK("https://www.google.com/search?q=Sullivan+Free+Library+Chittenango+NY+library+website","Search")</f>
        <v>Search</v>
      </c>
      <c r="L2513" s="7"/>
      <c r="M2513" s="7"/>
    </row>
    <row r="2514" customFormat="false" ht="15" hidden="false" customHeight="true" outlineLevel="0" collapsed="false">
      <c r="A2514" s="4" t="s">
        <v>9244</v>
      </c>
      <c r="B2514" s="4" t="s">
        <v>10134</v>
      </c>
      <c r="C2514" s="4" t="s">
        <v>10135</v>
      </c>
      <c r="D2514" s="4" t="s">
        <v>2451</v>
      </c>
      <c r="E2514" s="5" t="n">
        <v>35408</v>
      </c>
      <c r="F2514" s="4" t="n">
        <v>1</v>
      </c>
      <c r="G2514" s="4" t="s">
        <v>10136</v>
      </c>
      <c r="H2514" s="4" t="n">
        <v>40.79874</v>
      </c>
      <c r="I2514" s="4" t="n">
        <v>-73.50214</v>
      </c>
      <c r="J2514" s="4" t="s">
        <v>10137</v>
      </c>
      <c r="K2514" s="6" t="str">
        <f aca="false">HYPERLINK("https://www.google.com/search?q=Syosset+Public+Library+Syosset+NY+library+website","Search")</f>
        <v>Search</v>
      </c>
      <c r="L2514" s="7"/>
      <c r="M2514" s="7"/>
    </row>
    <row r="2515" customFormat="false" ht="15" hidden="false" customHeight="true" outlineLevel="0" collapsed="false">
      <c r="A2515" s="4" t="s">
        <v>9244</v>
      </c>
      <c r="B2515" s="4" t="s">
        <v>10138</v>
      </c>
      <c r="C2515" s="4" t="s">
        <v>10139</v>
      </c>
      <c r="D2515" s="4" t="s">
        <v>10140</v>
      </c>
      <c r="E2515" s="5" t="n">
        <v>13176</v>
      </c>
      <c r="F2515" s="4" t="n">
        <v>1</v>
      </c>
      <c r="G2515" s="4" t="s">
        <v>10141</v>
      </c>
      <c r="H2515" s="4" t="n">
        <v>42.6791</v>
      </c>
      <c r="I2515" s="4" t="n">
        <v>-74.48333</v>
      </c>
      <c r="J2515" s="4" t="s">
        <v>10142</v>
      </c>
      <c r="K2515" s="6" t="str">
        <f aca="false">HYPERLINK("https://www.google.com/search?q=The+Community+Library+Cobleskill+NY+library+website","Search")</f>
        <v>Search</v>
      </c>
      <c r="L2515" s="7"/>
      <c r="M2515" s="7"/>
    </row>
    <row r="2516" customFormat="false" ht="15" hidden="false" customHeight="true" outlineLevel="0" collapsed="false">
      <c r="A2516" s="4" t="s">
        <v>9244</v>
      </c>
      <c r="B2516" s="4" t="s">
        <v>10143</v>
      </c>
      <c r="C2516" s="4" t="s">
        <v>10144</v>
      </c>
      <c r="D2516" s="4" t="s">
        <v>4182</v>
      </c>
      <c r="E2516" s="5" t="n">
        <v>25431</v>
      </c>
      <c r="F2516" s="4" t="n">
        <v>1</v>
      </c>
      <c r="G2516" s="4" t="s">
        <v>10145</v>
      </c>
      <c r="H2516" s="4" t="n">
        <v>41.29073</v>
      </c>
      <c r="I2516" s="4" t="n">
        <v>-73.92235</v>
      </c>
      <c r="J2516" s="4" t="s">
        <v>10146</v>
      </c>
      <c r="K2516" s="6" t="str">
        <f aca="false">HYPERLINK("https://www.google.com/search?q=The+Field+Library+Peekskill+NY+library+website","Search")</f>
        <v>Search</v>
      </c>
      <c r="L2516" s="7"/>
      <c r="M2516" s="7"/>
    </row>
    <row r="2517" customFormat="false" ht="15" hidden="false" customHeight="true" outlineLevel="0" collapsed="false">
      <c r="A2517" s="4" t="s">
        <v>9244</v>
      </c>
      <c r="B2517" s="4" t="s">
        <v>10147</v>
      </c>
      <c r="C2517" s="4" t="s">
        <v>2813</v>
      </c>
      <c r="D2517" s="4" t="s">
        <v>9441</v>
      </c>
      <c r="E2517" s="5" t="n">
        <v>32127</v>
      </c>
      <c r="F2517" s="4" t="n">
        <v>1</v>
      </c>
      <c r="G2517" s="4" t="s">
        <v>10148</v>
      </c>
      <c r="H2517" s="4" t="n">
        <v>43.21867</v>
      </c>
      <c r="I2517" s="4" t="n">
        <v>-75.4541</v>
      </c>
      <c r="J2517" s="4" t="s">
        <v>10149</v>
      </c>
      <c r="K2517" s="6" t="str">
        <f aca="false">HYPERLINK("https://www.google.com/search?q=The+Jervis+Public+Library+Association%2C+Inc.+Rome+NY+library+website","Search")</f>
        <v>Search</v>
      </c>
      <c r="L2517" s="7"/>
      <c r="M2517" s="7"/>
    </row>
    <row r="2518" customFormat="false" ht="15" hidden="false" customHeight="true" outlineLevel="0" collapsed="false">
      <c r="A2518" s="4" t="s">
        <v>9244</v>
      </c>
      <c r="B2518" s="4" t="s">
        <v>10150</v>
      </c>
      <c r="C2518" s="4" t="s">
        <v>2107</v>
      </c>
      <c r="D2518" s="4" t="s">
        <v>4182</v>
      </c>
      <c r="E2518" s="5" t="n">
        <v>21541</v>
      </c>
      <c r="F2518" s="4" t="n">
        <v>1</v>
      </c>
      <c r="G2518" s="4" t="s">
        <v>10151</v>
      </c>
      <c r="H2518" s="4" t="n">
        <v>41.30319</v>
      </c>
      <c r="I2518" s="4" t="n">
        <v>-73.71422</v>
      </c>
      <c r="J2518" s="4" t="s">
        <v>10152</v>
      </c>
      <c r="K2518" s="6" t="str">
        <f aca="false">HYPERLINK("https://www.google.com/search?q=The+Somers+Library+Somers+NY+library+website","Search")</f>
        <v>Search</v>
      </c>
      <c r="L2518" s="7"/>
      <c r="M2518" s="7"/>
    </row>
    <row r="2519" customFormat="false" ht="15" hidden="false" customHeight="true" outlineLevel="0" collapsed="false">
      <c r="A2519" s="4" t="s">
        <v>9244</v>
      </c>
      <c r="B2519" s="4" t="s">
        <v>10153</v>
      </c>
      <c r="C2519" s="4" t="s">
        <v>10154</v>
      </c>
      <c r="D2519" s="4" t="s">
        <v>384</v>
      </c>
      <c r="E2519" s="5" t="n">
        <v>17633</v>
      </c>
      <c r="F2519" s="4" t="n">
        <v>1</v>
      </c>
      <c r="G2519" s="4" t="s">
        <v>10155</v>
      </c>
      <c r="H2519" s="4" t="n">
        <v>44.85152</v>
      </c>
      <c r="I2519" s="4" t="n">
        <v>-74.28932</v>
      </c>
      <c r="J2519" s="4" t="s">
        <v>10156</v>
      </c>
      <c r="K2519" s="6" t="str">
        <f aca="false">HYPERLINK("https://www.google.com/search?q=The+Wead+Library+Malone+NY+library+website","Search")</f>
        <v>Search</v>
      </c>
      <c r="L2519" s="7"/>
      <c r="M2519" s="7"/>
    </row>
    <row r="2520" customFormat="false" ht="15" hidden="false" customHeight="true" outlineLevel="0" collapsed="false">
      <c r="A2520" s="4" t="s">
        <v>9244</v>
      </c>
      <c r="B2520" s="4" t="s">
        <v>10157</v>
      </c>
      <c r="C2520" s="4" t="s">
        <v>2087</v>
      </c>
      <c r="D2520" s="4" t="s">
        <v>885</v>
      </c>
      <c r="E2520" s="5" t="n">
        <v>59174</v>
      </c>
      <c r="F2520" s="4" t="n">
        <v>1</v>
      </c>
      <c r="G2520" s="4" t="s">
        <v>10158</v>
      </c>
      <c r="H2520" s="4" t="n">
        <v>41.44714</v>
      </c>
      <c r="I2520" s="4" t="n">
        <v>-74.42059</v>
      </c>
      <c r="J2520" s="4" t="s">
        <v>10159</v>
      </c>
      <c r="K2520" s="6" t="str">
        <f aca="false">HYPERLINK("https://www.google.com/search?q=Thrall+Public+Library+District+Of+Middletown+And+Wallkill+Middletown+NY+library+website","Search")</f>
        <v>Search</v>
      </c>
      <c r="L2520" s="7"/>
      <c r="M2520" s="7"/>
    </row>
    <row r="2521" customFormat="false" ht="15" hidden="false" customHeight="true" outlineLevel="0" collapsed="false">
      <c r="A2521" s="4" t="s">
        <v>9244</v>
      </c>
      <c r="B2521" s="4" t="s">
        <v>10160</v>
      </c>
      <c r="C2521" s="4" t="s">
        <v>10161</v>
      </c>
      <c r="D2521" s="4" t="s">
        <v>10162</v>
      </c>
      <c r="E2521" s="5" t="n">
        <v>105740</v>
      </c>
      <c r="F2521" s="4" t="n">
        <v>1</v>
      </c>
      <c r="G2521" s="4" t="s">
        <v>10163</v>
      </c>
      <c r="H2521" s="4" t="n">
        <v>42.43823</v>
      </c>
      <c r="I2521" s="4" t="n">
        <v>-76.4983</v>
      </c>
      <c r="J2521" s="4" t="s">
        <v>10164</v>
      </c>
      <c r="K2521" s="6" t="str">
        <f aca="false">HYPERLINK("https://www.google.com/search?q=Tompkins+County+Public+Library+Ithaca+NY+library+website","Search")</f>
        <v>Search</v>
      </c>
      <c r="L2521" s="7"/>
      <c r="M2521" s="7"/>
    </row>
    <row r="2522" customFormat="false" ht="15" hidden="false" customHeight="true" outlineLevel="0" collapsed="false">
      <c r="A2522" s="4" t="s">
        <v>9244</v>
      </c>
      <c r="B2522" s="4" t="s">
        <v>10165</v>
      </c>
      <c r="C2522" s="4" t="s">
        <v>361</v>
      </c>
      <c r="D2522" s="4" t="s">
        <v>4182</v>
      </c>
      <c r="E2522" s="5" t="n">
        <v>13078</v>
      </c>
      <c r="F2522" s="4" t="n">
        <v>1</v>
      </c>
      <c r="G2522" s="4" t="s">
        <v>10166</v>
      </c>
      <c r="H2522" s="4" t="n">
        <v>40.90241</v>
      </c>
      <c r="I2522" s="4" t="n">
        <v>-73.81427</v>
      </c>
      <c r="J2522" s="4" t="s">
        <v>10167</v>
      </c>
      <c r="K2522" s="6" t="str">
        <f aca="false">HYPERLINK("https://www.google.com/search?q=Town+Of+Pelham+Public+Library+Pelham+NY+library+website","Search")</f>
        <v>Search</v>
      </c>
      <c r="L2522" s="7"/>
      <c r="M2522" s="7"/>
    </row>
    <row r="2523" customFormat="false" ht="15" hidden="false" customHeight="true" outlineLevel="0" collapsed="false">
      <c r="A2523" s="4" t="s">
        <v>9244</v>
      </c>
      <c r="B2523" s="4" t="s">
        <v>10168</v>
      </c>
      <c r="C2523" s="4" t="s">
        <v>10169</v>
      </c>
      <c r="D2523" s="4" t="s">
        <v>9253</v>
      </c>
      <c r="E2523" s="5" t="n">
        <v>72636</v>
      </c>
      <c r="F2523" s="4" t="n">
        <v>2</v>
      </c>
      <c r="G2523" s="4" t="s">
        <v>10170</v>
      </c>
      <c r="H2523" s="4" t="n">
        <v>42.96666</v>
      </c>
      <c r="I2523" s="4" t="n">
        <v>-78.86855</v>
      </c>
      <c r="J2523" s="4" t="s">
        <v>10171</v>
      </c>
      <c r="K2523" s="6" t="str">
        <f aca="false">HYPERLINK("https://www.google.com/search?q=Town+Of+Tonawanda+Public+Library+Kenmore+NY+library+website","Search")</f>
        <v>Search</v>
      </c>
      <c r="L2523" s="7"/>
      <c r="M2523" s="7"/>
    </row>
    <row r="2524" customFormat="false" ht="15" hidden="false" customHeight="true" outlineLevel="0" collapsed="false">
      <c r="A2524" s="4" t="s">
        <v>9244</v>
      </c>
      <c r="B2524" s="4" t="s">
        <v>10172</v>
      </c>
      <c r="C2524" s="4" t="s">
        <v>5771</v>
      </c>
      <c r="D2524" s="4" t="s">
        <v>9477</v>
      </c>
      <c r="E2524" s="5" t="n">
        <v>12660</v>
      </c>
      <c r="F2524" s="4" t="n">
        <v>1</v>
      </c>
      <c r="G2524" s="4" t="s">
        <v>10173</v>
      </c>
      <c r="H2524" s="4" t="n">
        <v>41.95463</v>
      </c>
      <c r="I2524" s="4" t="n">
        <v>-73.99389</v>
      </c>
      <c r="J2524" s="4" t="s">
        <v>10174</v>
      </c>
      <c r="K2524" s="6" t="str">
        <f aca="false">HYPERLINK("https://www.google.com/search?q=Town+Of+Ulster+Public+Library+Kingston+NY+library+website","Search")</f>
        <v>Search</v>
      </c>
      <c r="L2524" s="7"/>
      <c r="M2524" s="7"/>
    </row>
    <row r="2525" customFormat="false" ht="15" hidden="false" customHeight="true" outlineLevel="0" collapsed="false">
      <c r="A2525" s="4" t="s">
        <v>9244</v>
      </c>
      <c r="B2525" s="4" t="s">
        <v>413</v>
      </c>
      <c r="C2525" s="4" t="s">
        <v>414</v>
      </c>
      <c r="D2525" s="4" t="s">
        <v>4403</v>
      </c>
      <c r="E2525" s="5" t="n">
        <v>51401</v>
      </c>
      <c r="F2525" s="4" t="n">
        <v>2</v>
      </c>
      <c r="G2525" s="4" t="s">
        <v>10175</v>
      </c>
      <c r="H2525" s="4" t="n">
        <v>42.72799</v>
      </c>
      <c r="I2525" s="4" t="n">
        <v>-73.69209</v>
      </c>
      <c r="J2525" s="4" t="s">
        <v>10176</v>
      </c>
      <c r="K2525" s="6" t="str">
        <f aca="false">HYPERLINK("https://www.google.com/search?q=Troy+Public+Library+Troy+NY+library+website","Search")</f>
        <v>Search</v>
      </c>
      <c r="L2525" s="7"/>
      <c r="M2525" s="7"/>
    </row>
    <row r="2526" customFormat="false" ht="15" hidden="false" customHeight="true" outlineLevel="0" collapsed="false">
      <c r="A2526" s="4" t="s">
        <v>9244</v>
      </c>
      <c r="B2526" s="4" t="s">
        <v>10177</v>
      </c>
      <c r="C2526" s="4" t="s">
        <v>10178</v>
      </c>
      <c r="D2526" s="4" t="s">
        <v>2451</v>
      </c>
      <c r="E2526" s="5" t="n">
        <v>33571</v>
      </c>
      <c r="F2526" s="4" t="n">
        <v>1</v>
      </c>
      <c r="G2526" s="4" t="s">
        <v>10179</v>
      </c>
      <c r="H2526" s="4" t="n">
        <v>40.70626</v>
      </c>
      <c r="I2526" s="4" t="n">
        <v>-73.59305</v>
      </c>
      <c r="J2526" s="4" t="s">
        <v>10180</v>
      </c>
      <c r="K2526" s="6" t="str">
        <f aca="false">HYPERLINK("https://www.google.com/search?q=Uniondale+Public+Library+Uniondale+NY+library+website","Search")</f>
        <v>Search</v>
      </c>
      <c r="L2526" s="7"/>
      <c r="M2526" s="7"/>
    </row>
    <row r="2527" customFormat="false" ht="15" hidden="false" customHeight="true" outlineLevel="0" collapsed="false">
      <c r="A2527" s="4" t="s">
        <v>9244</v>
      </c>
      <c r="B2527" s="4" t="s">
        <v>10181</v>
      </c>
      <c r="C2527" s="4" t="s">
        <v>10182</v>
      </c>
      <c r="D2527" s="4" t="s">
        <v>9441</v>
      </c>
      <c r="E2527" s="5" t="n">
        <v>65283</v>
      </c>
      <c r="F2527" s="4" t="n">
        <v>1</v>
      </c>
      <c r="G2527" s="4" t="s">
        <v>10183</v>
      </c>
      <c r="H2527" s="4" t="n">
        <v>43.09723</v>
      </c>
      <c r="I2527" s="4" t="n">
        <v>-75.23887</v>
      </c>
      <c r="J2527" s="4" t="s">
        <v>10184</v>
      </c>
      <c r="K2527" s="6" t="str">
        <f aca="false">HYPERLINK("https://www.google.com/search?q=Utica+Public+Library+Utica+NY+library+website","Search")</f>
        <v>Search</v>
      </c>
      <c r="L2527" s="7"/>
      <c r="M2527" s="7"/>
    </row>
    <row r="2528" customFormat="false" ht="15" hidden="false" customHeight="true" outlineLevel="0" collapsed="false">
      <c r="A2528" s="4" t="s">
        <v>9244</v>
      </c>
      <c r="B2528" s="4" t="s">
        <v>10185</v>
      </c>
      <c r="C2528" s="4" t="s">
        <v>10186</v>
      </c>
      <c r="D2528" s="4" t="s">
        <v>9335</v>
      </c>
      <c r="E2528" s="5" t="n">
        <v>32816</v>
      </c>
      <c r="F2528" s="4" t="n">
        <v>1</v>
      </c>
      <c r="G2528" s="4" t="s">
        <v>10187</v>
      </c>
      <c r="H2528" s="4" t="n">
        <v>42.08731</v>
      </c>
      <c r="I2528" s="4" t="n">
        <v>-76.04563</v>
      </c>
      <c r="J2528" s="4" t="s">
        <v>10188</v>
      </c>
      <c r="K2528" s="6" t="str">
        <f aca="false">HYPERLINK("https://www.google.com/search?q=Vestal+Public+Library+Vestal+NY+library+website","Search")</f>
        <v>Search</v>
      </c>
      <c r="L2528" s="7"/>
      <c r="M2528" s="7"/>
    </row>
    <row r="2529" customFormat="false" ht="15" hidden="false" customHeight="true" outlineLevel="0" collapsed="false">
      <c r="A2529" s="4" t="s">
        <v>9244</v>
      </c>
      <c r="B2529" s="4" t="s">
        <v>10189</v>
      </c>
      <c r="C2529" s="4" t="s">
        <v>3285</v>
      </c>
      <c r="D2529" s="4" t="s">
        <v>1254</v>
      </c>
      <c r="E2529" s="5" t="n">
        <v>26813</v>
      </c>
      <c r="F2529" s="4" t="n">
        <v>1</v>
      </c>
      <c r="G2529" s="4" t="s">
        <v>10190</v>
      </c>
      <c r="H2529" s="4" t="n">
        <v>42.98203</v>
      </c>
      <c r="I2529" s="4" t="n">
        <v>-77.41122</v>
      </c>
      <c r="J2529" s="4" t="s">
        <v>10191</v>
      </c>
      <c r="K2529" s="6" t="str">
        <f aca="false">HYPERLINK("https://www.google.com/search?q=Victor+Farmington+Library+Victor+NY+library+website","Search")</f>
        <v>Search</v>
      </c>
      <c r="L2529" s="7"/>
      <c r="M2529" s="7"/>
    </row>
    <row r="2530" customFormat="false" ht="15" hidden="false" customHeight="true" outlineLevel="0" collapsed="false">
      <c r="A2530" s="4" t="s">
        <v>9244</v>
      </c>
      <c r="B2530" s="4" t="s">
        <v>10192</v>
      </c>
      <c r="C2530" s="4" t="s">
        <v>3622</v>
      </c>
      <c r="D2530" s="4" t="s">
        <v>3979</v>
      </c>
      <c r="E2530" s="5" t="n">
        <v>11196</v>
      </c>
      <c r="F2530" s="4" t="n">
        <v>1</v>
      </c>
      <c r="G2530" s="4" t="s">
        <v>10193</v>
      </c>
      <c r="H2530" s="4" t="n">
        <v>42.79563</v>
      </c>
      <c r="I2530" s="4" t="n">
        <v>-77.81429</v>
      </c>
      <c r="J2530" s="4" t="s">
        <v>10194</v>
      </c>
      <c r="K2530" s="6" t="str">
        <f aca="false">HYPERLINK("https://www.google.com/search?q=Wadsworth+Library+Geneseo+NY+library+website","Search")</f>
        <v>Search</v>
      </c>
      <c r="L2530" s="7"/>
      <c r="M2530" s="7"/>
    </row>
    <row r="2531" customFormat="false" ht="15" hidden="false" customHeight="true" outlineLevel="0" collapsed="false">
      <c r="A2531" s="4" t="s">
        <v>9244</v>
      </c>
      <c r="B2531" s="4" t="s">
        <v>10195</v>
      </c>
      <c r="C2531" s="4" t="s">
        <v>10196</v>
      </c>
      <c r="D2531" s="4" t="s">
        <v>2451</v>
      </c>
      <c r="E2531" s="5" t="n">
        <v>17667</v>
      </c>
      <c r="F2531" s="4" t="n">
        <v>1</v>
      </c>
      <c r="G2531" s="4" t="s">
        <v>10197</v>
      </c>
      <c r="H2531" s="4" t="n">
        <v>40.67411</v>
      </c>
      <c r="I2531" s="4" t="n">
        <v>-73.51121</v>
      </c>
      <c r="J2531" s="4" t="s">
        <v>10198</v>
      </c>
      <c r="K2531" s="6" t="str">
        <f aca="false">HYPERLINK("https://www.google.com/search?q=Wantagh+Public+Library+Wantagh+NY+library+website","Search")</f>
        <v>Search</v>
      </c>
      <c r="L2531" s="7"/>
      <c r="M2531" s="7"/>
    </row>
    <row r="2532" customFormat="false" ht="15" hidden="false" customHeight="true" outlineLevel="0" collapsed="false">
      <c r="A2532" s="4" t="s">
        <v>9244</v>
      </c>
      <c r="B2532" s="4" t="s">
        <v>10199</v>
      </c>
      <c r="C2532" s="4" t="s">
        <v>10200</v>
      </c>
      <c r="D2532" s="4" t="s">
        <v>4182</v>
      </c>
      <c r="E2532" s="5" t="n">
        <v>11860</v>
      </c>
      <c r="F2532" s="4" t="n">
        <v>1</v>
      </c>
      <c r="G2532" s="4" t="s">
        <v>10201</v>
      </c>
      <c r="H2532" s="4" t="n">
        <v>41.08042</v>
      </c>
      <c r="I2532" s="4" t="n">
        <v>-73.85785</v>
      </c>
      <c r="J2532" s="4" t="s">
        <v>10202</v>
      </c>
      <c r="K2532" s="6" t="str">
        <f aca="false">HYPERLINK("https://www.google.com/search?q=Warner+Library+Tarrytown+NY+library+website","Search")</f>
        <v>Search</v>
      </c>
      <c r="L2532" s="7"/>
      <c r="M2532" s="7"/>
    </row>
    <row r="2533" customFormat="false" ht="15" hidden="false" customHeight="true" outlineLevel="0" collapsed="false">
      <c r="A2533" s="4" t="s">
        <v>9244</v>
      </c>
      <c r="B2533" s="4" t="s">
        <v>10203</v>
      </c>
      <c r="C2533" s="4" t="s">
        <v>10204</v>
      </c>
      <c r="D2533" s="4" t="s">
        <v>2671</v>
      </c>
      <c r="E2533" s="5" t="n">
        <v>10375</v>
      </c>
      <c r="F2533" s="4" t="n">
        <v>1</v>
      </c>
      <c r="G2533" s="4" t="s">
        <v>10205</v>
      </c>
      <c r="H2533" s="4" t="n">
        <v>42.72625</v>
      </c>
      <c r="I2533" s="4" t="n">
        <v>-73.70041</v>
      </c>
      <c r="J2533" s="4" t="s">
        <v>10206</v>
      </c>
      <c r="K2533" s="6" t="str">
        <f aca="false">HYPERLINK("https://www.google.com/search?q=Watervliet+Public+Library+Watervliet+NY+library+website","Search")</f>
        <v>Search</v>
      </c>
      <c r="L2533" s="7"/>
      <c r="M2533" s="7"/>
    </row>
    <row r="2534" customFormat="false" ht="15" hidden="false" customHeight="true" outlineLevel="0" collapsed="false">
      <c r="A2534" s="4" t="s">
        <v>9244</v>
      </c>
      <c r="B2534" s="4" t="s">
        <v>10207</v>
      </c>
      <c r="C2534" s="4" t="s">
        <v>2982</v>
      </c>
      <c r="D2534" s="4" t="s">
        <v>311</v>
      </c>
      <c r="E2534" s="5" t="n">
        <v>45327</v>
      </c>
      <c r="F2534" s="4" t="n">
        <v>1</v>
      </c>
      <c r="G2534" s="4" t="s">
        <v>10208</v>
      </c>
      <c r="H2534" s="4" t="n">
        <v>43.21058</v>
      </c>
      <c r="I2534" s="4" t="n">
        <v>-77.45888</v>
      </c>
      <c r="J2534" s="4" t="s">
        <v>10209</v>
      </c>
      <c r="K2534" s="6" t="str">
        <f aca="false">HYPERLINK("https://www.google.com/search?q=Webster+Public+Library+Webster+NY+library+website","Search")</f>
        <v>Search</v>
      </c>
      <c r="L2534" s="7"/>
      <c r="M2534" s="7"/>
    </row>
    <row r="2535" customFormat="false" ht="15" hidden="false" customHeight="true" outlineLevel="0" collapsed="false">
      <c r="A2535" s="4" t="s">
        <v>9244</v>
      </c>
      <c r="B2535" s="4" t="s">
        <v>10210</v>
      </c>
      <c r="C2535" s="4" t="s">
        <v>10211</v>
      </c>
      <c r="D2535" s="4" t="s">
        <v>5553</v>
      </c>
      <c r="E2535" s="5" t="n">
        <v>27947</v>
      </c>
      <c r="F2535" s="4" t="n">
        <v>1</v>
      </c>
      <c r="G2535" s="4" t="s">
        <v>10212</v>
      </c>
      <c r="H2535" s="4" t="n">
        <v>40.70903</v>
      </c>
      <c r="I2535" s="4" t="n">
        <v>-73.35404</v>
      </c>
      <c r="J2535" s="4" t="s">
        <v>10213</v>
      </c>
      <c r="K2535" s="6" t="str">
        <f aca="false">HYPERLINK("https://www.google.com/search?q=West+Babylon+Public+Library+West+Babylon+NY+library+website","Search")</f>
        <v>Search</v>
      </c>
      <c r="L2535" s="7"/>
      <c r="M2535" s="7"/>
    </row>
    <row r="2536" customFormat="false" ht="15" hidden="false" customHeight="true" outlineLevel="0" collapsed="false">
      <c r="A2536" s="4" t="s">
        <v>9244</v>
      </c>
      <c r="B2536" s="4" t="s">
        <v>10214</v>
      </c>
      <c r="C2536" s="4" t="s">
        <v>10215</v>
      </c>
      <c r="D2536" s="4" t="s">
        <v>2451</v>
      </c>
      <c r="E2536" s="5" t="n">
        <v>18237</v>
      </c>
      <c r="F2536" s="4" t="n">
        <v>1</v>
      </c>
      <c r="G2536" s="4" t="s">
        <v>10216</v>
      </c>
      <c r="H2536" s="4" t="n">
        <v>40.69599</v>
      </c>
      <c r="I2536" s="4" t="n">
        <v>-73.65413</v>
      </c>
      <c r="J2536" s="4" t="s">
        <v>10217</v>
      </c>
      <c r="K2536" s="6" t="str">
        <f aca="false">HYPERLINK("https://www.google.com/search?q=West+Hempstead+Public+Library+West+Hempstead+NY+library+website","Search")</f>
        <v>Search</v>
      </c>
      <c r="L2536" s="7"/>
      <c r="M2536" s="7"/>
    </row>
    <row r="2537" customFormat="false" ht="15" hidden="false" customHeight="true" outlineLevel="0" collapsed="false">
      <c r="A2537" s="4" t="s">
        <v>9244</v>
      </c>
      <c r="B2537" s="4" t="s">
        <v>10218</v>
      </c>
      <c r="C2537" s="4" t="s">
        <v>10219</v>
      </c>
      <c r="D2537" s="4" t="s">
        <v>5553</v>
      </c>
      <c r="E2537" s="5" t="n">
        <v>27276</v>
      </c>
      <c r="F2537" s="4" t="n">
        <v>1</v>
      </c>
      <c r="G2537" s="4" t="s">
        <v>10220</v>
      </c>
      <c r="H2537" s="4" t="n">
        <v>40.69717</v>
      </c>
      <c r="I2537" s="4" t="n">
        <v>-73.30654</v>
      </c>
      <c r="J2537" s="4" t="s">
        <v>10221</v>
      </c>
      <c r="K2537" s="6" t="str">
        <f aca="false">HYPERLINK("https://www.google.com/search?q=West+Islip+Public+Library+West+Islip+NY+library+website","Search")</f>
        <v>Search</v>
      </c>
      <c r="L2537" s="7"/>
      <c r="M2537" s="7"/>
    </row>
    <row r="2538" customFormat="false" ht="15" hidden="false" customHeight="true" outlineLevel="0" collapsed="false">
      <c r="A2538" s="4" t="s">
        <v>9244</v>
      </c>
      <c r="B2538" s="4" t="s">
        <v>10222</v>
      </c>
      <c r="C2538" s="4" t="s">
        <v>10223</v>
      </c>
      <c r="D2538" s="4" t="s">
        <v>9253</v>
      </c>
      <c r="E2538" s="5" t="n">
        <v>45500</v>
      </c>
      <c r="F2538" s="4" t="n">
        <v>1</v>
      </c>
      <c r="G2538" s="4" t="s">
        <v>10224</v>
      </c>
      <c r="H2538" s="4" t="n">
        <v>42.83554</v>
      </c>
      <c r="I2538" s="4" t="n">
        <v>-78.75394</v>
      </c>
      <c r="J2538" s="4" t="s">
        <v>10225</v>
      </c>
      <c r="K2538" s="6" t="str">
        <f aca="false">HYPERLINK("https://www.google.com/search?q=West+Seneca+Public+Library+West+Seneca+NY+library+website","Search")</f>
        <v>Search</v>
      </c>
      <c r="L2538" s="7"/>
      <c r="M2538" s="7"/>
    </row>
    <row r="2539" customFormat="false" ht="15" hidden="false" customHeight="true" outlineLevel="0" collapsed="false">
      <c r="A2539" s="4" t="s">
        <v>9244</v>
      </c>
      <c r="B2539" s="4" t="s">
        <v>10226</v>
      </c>
      <c r="C2539" s="4" t="s">
        <v>10227</v>
      </c>
      <c r="D2539" s="4" t="s">
        <v>2451</v>
      </c>
      <c r="E2539" s="5" t="n">
        <v>27050</v>
      </c>
      <c r="F2539" s="4" t="n">
        <v>2</v>
      </c>
      <c r="G2539" s="4" t="s">
        <v>10228</v>
      </c>
      <c r="H2539" s="4" t="n">
        <v>40.76222</v>
      </c>
      <c r="I2539" s="4" t="n">
        <v>-73.58329</v>
      </c>
      <c r="J2539" s="4" t="s">
        <v>10229</v>
      </c>
      <c r="K2539" s="6" t="str">
        <f aca="false">HYPERLINK("https://www.google.com/search?q=Westbury+Memorial+Public+Library+Westbury+NY+library+website","Search")</f>
        <v>Search</v>
      </c>
      <c r="L2539" s="7"/>
      <c r="M2539" s="7"/>
    </row>
    <row r="2540" customFormat="false" ht="15" hidden="false" customHeight="true" outlineLevel="0" collapsed="false">
      <c r="A2540" s="4" t="s">
        <v>9244</v>
      </c>
      <c r="B2540" s="4" t="s">
        <v>10230</v>
      </c>
      <c r="C2540" s="4" t="s">
        <v>10231</v>
      </c>
      <c r="D2540" s="4" t="s">
        <v>4182</v>
      </c>
      <c r="E2540" s="5" t="n">
        <v>59559</v>
      </c>
      <c r="F2540" s="4" t="n">
        <v>1</v>
      </c>
      <c r="G2540" s="4" t="s">
        <v>10232</v>
      </c>
      <c r="H2540" s="4" t="n">
        <v>41.03035</v>
      </c>
      <c r="I2540" s="4" t="n">
        <v>-73.76996</v>
      </c>
      <c r="J2540" s="4" t="s">
        <v>10233</v>
      </c>
      <c r="K2540" s="6" t="str">
        <f aca="false">HYPERLINK("https://www.google.com/search?q=White+Plains+Public+Library+White+Plains+NY+library+website","Search")</f>
        <v>Search</v>
      </c>
      <c r="L2540" s="7"/>
      <c r="M2540" s="7"/>
    </row>
    <row r="2541" customFormat="false" ht="15" hidden="false" customHeight="true" outlineLevel="0" collapsed="false">
      <c r="A2541" s="4" t="s">
        <v>9244</v>
      </c>
      <c r="B2541" s="4" t="s">
        <v>10234</v>
      </c>
      <c r="C2541" s="4" t="s">
        <v>10235</v>
      </c>
      <c r="D2541" s="4" t="s">
        <v>2671</v>
      </c>
      <c r="E2541" s="5" t="n">
        <v>85590</v>
      </c>
      <c r="F2541" s="4" t="n">
        <v>1</v>
      </c>
      <c r="G2541" s="4" t="s">
        <v>10236</v>
      </c>
      <c r="H2541" s="4" t="n">
        <v>42.72628</v>
      </c>
      <c r="I2541" s="4" t="n">
        <v>-73.79187</v>
      </c>
      <c r="J2541" s="4" t="s">
        <v>10237</v>
      </c>
      <c r="K2541" s="6" t="str">
        <f aca="false">HYPERLINK("https://www.google.com/search?q=William+K+Sanford+Town+Library+Loudonville+NY+library+website","Search")</f>
        <v>Search</v>
      </c>
      <c r="L2541" s="7"/>
      <c r="M2541" s="7"/>
    </row>
    <row r="2542" customFormat="false" ht="15" hidden="false" customHeight="true" outlineLevel="0" collapsed="false">
      <c r="A2542" s="4" t="s">
        <v>9244</v>
      </c>
      <c r="B2542" s="4" t="s">
        <v>10238</v>
      </c>
      <c r="C2542" s="4" t="s">
        <v>4046</v>
      </c>
      <c r="D2542" s="4" t="s">
        <v>9281</v>
      </c>
      <c r="E2542" s="5" t="n">
        <v>17130</v>
      </c>
      <c r="F2542" s="4" t="n">
        <v>2</v>
      </c>
      <c r="G2542" s="4" t="s">
        <v>10239</v>
      </c>
      <c r="H2542" s="4" t="n">
        <v>42.93647</v>
      </c>
      <c r="I2542" s="4" t="n">
        <v>-73.79456</v>
      </c>
      <c r="J2542" s="4" t="s">
        <v>10240</v>
      </c>
      <c r="K2542" s="6" t="str">
        <f aca="false">HYPERLINK("https://www.google.com/search?q=Woman%27S+Round+Lake+Improvement+Society+Round+Lake+NY+library+website","Search")</f>
        <v>Search</v>
      </c>
      <c r="L2542" s="7"/>
      <c r="M2542" s="7"/>
    </row>
    <row r="2543" customFormat="false" ht="15" hidden="false" customHeight="true" outlineLevel="0" collapsed="false">
      <c r="A2543" s="4" t="s">
        <v>9244</v>
      </c>
      <c r="B2543" s="4" t="s">
        <v>10241</v>
      </c>
      <c r="C2543" s="4" t="s">
        <v>10242</v>
      </c>
      <c r="D2543" s="4" t="s">
        <v>1254</v>
      </c>
      <c r="E2543" s="5" t="n">
        <v>26977</v>
      </c>
      <c r="F2543" s="4" t="n">
        <v>1</v>
      </c>
      <c r="G2543" s="4" t="s">
        <v>10243</v>
      </c>
      <c r="H2543" s="4" t="n">
        <v>42.89183</v>
      </c>
      <c r="I2543" s="4" t="n">
        <v>-77.28503</v>
      </c>
      <c r="J2543" s="4" t="s">
        <v>10244</v>
      </c>
      <c r="K2543" s="6" t="str">
        <f aca="false">HYPERLINK("https://www.google.com/search?q=Wood+Library+Association+Canandaigua+NY+library+website","Search")</f>
        <v>Search</v>
      </c>
      <c r="L2543" s="7"/>
      <c r="M2543" s="7"/>
    </row>
    <row r="2544" customFormat="false" ht="15" hidden="false" customHeight="true" outlineLevel="0" collapsed="false">
      <c r="A2544" s="4" t="s">
        <v>9244</v>
      </c>
      <c r="B2544" s="4" t="s">
        <v>10245</v>
      </c>
      <c r="C2544" s="4" t="s">
        <v>10246</v>
      </c>
      <c r="D2544" s="4" t="s">
        <v>885</v>
      </c>
      <c r="E2544" s="5" t="n">
        <v>12197</v>
      </c>
      <c r="F2544" s="4" t="n">
        <v>2</v>
      </c>
      <c r="G2544" s="4" t="s">
        <v>10247</v>
      </c>
      <c r="H2544" s="4" t="n">
        <v>41.34717</v>
      </c>
      <c r="I2544" s="4" t="n">
        <v>-74.12789</v>
      </c>
      <c r="J2544" s="4" t="s">
        <v>10248</v>
      </c>
      <c r="K2544" s="6" t="str">
        <f aca="false">HYPERLINK("https://www.google.com/search?q=Woodbury+Public+Library+Highland+Mills+NY+library+website","Search")</f>
        <v>Search</v>
      </c>
      <c r="L2544" s="7"/>
      <c r="M2544" s="7"/>
    </row>
    <row r="2545" customFormat="false" ht="15" hidden="false" customHeight="true" outlineLevel="0" collapsed="false">
      <c r="A2545" s="4" t="s">
        <v>9244</v>
      </c>
      <c r="B2545" s="4" t="s">
        <v>10249</v>
      </c>
      <c r="C2545" s="4" t="s">
        <v>10250</v>
      </c>
      <c r="D2545" s="4" t="s">
        <v>5553</v>
      </c>
      <c r="E2545" s="5" t="n">
        <v>13076</v>
      </c>
      <c r="F2545" s="4" t="n">
        <v>1</v>
      </c>
      <c r="G2545" s="4" t="s">
        <v>10251</v>
      </c>
      <c r="H2545" s="4" t="n">
        <v>40.74883</v>
      </c>
      <c r="I2545" s="4" t="n">
        <v>-73.36432</v>
      </c>
      <c r="J2545" s="4" t="s">
        <v>10252</v>
      </c>
      <c r="K2545" s="6" t="str">
        <f aca="false">HYPERLINK("https://www.google.com/search?q=Wyandanch+Public+Library+Wyandanch+NY+library+website","Search")</f>
        <v>Search</v>
      </c>
      <c r="L2545" s="7"/>
      <c r="M2545" s="7"/>
    </row>
    <row r="2546" customFormat="false" ht="15" hidden="false" customHeight="true" outlineLevel="0" collapsed="false">
      <c r="A2546" s="4" t="s">
        <v>9244</v>
      </c>
      <c r="B2546" s="4" t="s">
        <v>10253</v>
      </c>
      <c r="C2546" s="4" t="s">
        <v>10254</v>
      </c>
      <c r="D2546" s="4" t="s">
        <v>4182</v>
      </c>
      <c r="E2546" s="5" t="n">
        <v>211569</v>
      </c>
      <c r="F2546" s="4" t="n">
        <v>3</v>
      </c>
      <c r="G2546" s="4" t="s">
        <v>10255</v>
      </c>
      <c r="H2546" s="4" t="n">
        <v>40.9358</v>
      </c>
      <c r="I2546" s="4" t="n">
        <v>-73.90166</v>
      </c>
      <c r="J2546" s="4" t="s">
        <v>10256</v>
      </c>
      <c r="K2546" s="6" t="str">
        <f aca="false">HYPERLINK("https://www.google.com/search?q=Yonkers+Public+Library+Yonkers+NY+library+website","Search")</f>
        <v>Search</v>
      </c>
      <c r="L2546" s="7"/>
      <c r="M2546" s="7"/>
    </row>
    <row r="2547" customFormat="false" ht="15" hidden="false" customHeight="true" outlineLevel="0" collapsed="false">
      <c r="A2547" s="4" t="s">
        <v>9244</v>
      </c>
      <c r="B2547" s="4" t="s">
        <v>10257</v>
      </c>
      <c r="C2547" s="4" t="s">
        <v>10258</v>
      </c>
      <c r="D2547" s="4" t="s">
        <v>9335</v>
      </c>
      <c r="E2547" s="5" t="n">
        <v>15343</v>
      </c>
      <c r="F2547" s="4" t="n">
        <v>1</v>
      </c>
      <c r="G2547" s="4" t="s">
        <v>10259</v>
      </c>
      <c r="H2547" s="4" t="n">
        <v>42.11328</v>
      </c>
      <c r="I2547" s="4" t="n">
        <v>-75.94926</v>
      </c>
      <c r="J2547" s="4" t="s">
        <v>10260</v>
      </c>
      <c r="K2547" s="6" t="str">
        <f aca="false">HYPERLINK("https://www.google.com/search?q=Your+Home+Public+Library+Johnson+City+NY+library+website","Search")</f>
        <v>Search</v>
      </c>
      <c r="L2547" s="7"/>
      <c r="M2547" s="7"/>
    </row>
    <row r="2548" customFormat="false" ht="15" hidden="false" customHeight="true" outlineLevel="0" collapsed="false">
      <c r="A2548" s="4" t="s">
        <v>10261</v>
      </c>
      <c r="B2548" s="4" t="s">
        <v>10262</v>
      </c>
      <c r="C2548" s="4" t="s">
        <v>10263</v>
      </c>
      <c r="D2548" s="4" t="s">
        <v>1749</v>
      </c>
      <c r="E2548" s="5" t="n">
        <v>27477</v>
      </c>
      <c r="F2548" s="4" t="n">
        <v>4</v>
      </c>
      <c r="G2548" s="4" t="s">
        <v>10264</v>
      </c>
      <c r="H2548" s="4" t="n">
        <v>38.95062</v>
      </c>
      <c r="I2548" s="4" t="n">
        <v>-83.40665</v>
      </c>
      <c r="J2548" s="4" t="s">
        <v>10265</v>
      </c>
      <c r="K2548" s="6" t="str">
        <f aca="false">HYPERLINK("https://www.google.com/search?q=Adams+County+Public+Library+Peebles+OH+library+website","Search")</f>
        <v>Search</v>
      </c>
      <c r="L2548" s="7"/>
      <c r="M2548" s="7"/>
    </row>
    <row r="2549" customFormat="false" ht="15" hidden="false" customHeight="true" outlineLevel="0" collapsed="false">
      <c r="A2549" s="4" t="s">
        <v>10261</v>
      </c>
      <c r="B2549" s="4" t="s">
        <v>10266</v>
      </c>
      <c r="C2549" s="4" t="s">
        <v>10267</v>
      </c>
      <c r="D2549" s="4" t="s">
        <v>1768</v>
      </c>
      <c r="E2549" s="5" t="n">
        <v>381648</v>
      </c>
      <c r="F2549" s="4" t="n">
        <v>19</v>
      </c>
      <c r="G2549" s="4" t="s">
        <v>10268</v>
      </c>
      <c r="H2549" s="4" t="n">
        <v>41.0835</v>
      </c>
      <c r="I2549" s="4" t="n">
        <v>-81.51622</v>
      </c>
      <c r="J2549" s="4" t="s">
        <v>10269</v>
      </c>
      <c r="K2549" s="6" t="str">
        <f aca="false">HYPERLINK("https://www.google.com/search?q=Akron-Summit+Cnty+Public+Library+Akron+OH+library+website","Search")</f>
        <v>Search</v>
      </c>
      <c r="L2549" s="7"/>
      <c r="M2549" s="7"/>
    </row>
    <row r="2550" customFormat="false" ht="15" hidden="false" customHeight="true" outlineLevel="0" collapsed="false">
      <c r="A2550" s="4" t="s">
        <v>10261</v>
      </c>
      <c r="B2550" s="4" t="s">
        <v>9252</v>
      </c>
      <c r="C2550" s="4" t="s">
        <v>5767</v>
      </c>
      <c r="D2550" s="4" t="s">
        <v>10270</v>
      </c>
      <c r="E2550" s="5" t="n">
        <v>31302</v>
      </c>
      <c r="F2550" s="4" t="n">
        <v>1</v>
      </c>
      <c r="G2550" s="4" t="s">
        <v>10271</v>
      </c>
      <c r="H2550" s="4" t="n">
        <v>41.39789</v>
      </c>
      <c r="I2550" s="4" t="n">
        <v>-82.22267</v>
      </c>
      <c r="J2550" s="4" t="s">
        <v>10272</v>
      </c>
      <c r="K2550" s="6" t="str">
        <f aca="false">HYPERLINK("https://www.google.com/search?q=Amherst+Public+Library+Amherst+OH+library+website","Search")</f>
        <v>Search</v>
      </c>
      <c r="L2550" s="7"/>
      <c r="M2550" s="7"/>
    </row>
    <row r="2551" customFormat="false" ht="15" hidden="false" customHeight="true" outlineLevel="0" collapsed="false">
      <c r="A2551" s="4" t="s">
        <v>10261</v>
      </c>
      <c r="B2551" s="4" t="s">
        <v>5500</v>
      </c>
      <c r="C2551" s="4" t="s">
        <v>4835</v>
      </c>
      <c r="D2551" s="4" t="s">
        <v>4835</v>
      </c>
      <c r="E2551" s="5" t="n">
        <v>25315</v>
      </c>
      <c r="F2551" s="4" t="n">
        <v>1</v>
      </c>
      <c r="G2551" s="4" t="s">
        <v>10273</v>
      </c>
      <c r="H2551" s="4" t="n">
        <v>40.86732</v>
      </c>
      <c r="I2551" s="4" t="n">
        <v>-82.31845</v>
      </c>
      <c r="J2551" s="4" t="s">
        <v>10274</v>
      </c>
      <c r="K2551" s="6" t="str">
        <f aca="false">HYPERLINK("https://www.google.com/search?q=Ashland+Public+Library+Ashland+OH+library+website","Search")</f>
        <v>Search</v>
      </c>
      <c r="L2551" s="7"/>
      <c r="M2551" s="7"/>
    </row>
    <row r="2552" customFormat="false" ht="15" hidden="false" customHeight="true" outlineLevel="0" collapsed="false">
      <c r="A2552" s="4" t="s">
        <v>10261</v>
      </c>
      <c r="B2552" s="4" t="s">
        <v>10275</v>
      </c>
      <c r="C2552" s="4" t="s">
        <v>10276</v>
      </c>
      <c r="D2552" s="4" t="s">
        <v>10276</v>
      </c>
      <c r="E2552" s="5" t="n">
        <v>48578</v>
      </c>
      <c r="F2552" s="4" t="n">
        <v>2</v>
      </c>
      <c r="G2552" s="4" t="s">
        <v>10277</v>
      </c>
      <c r="H2552" s="4" t="n">
        <v>41.86731</v>
      </c>
      <c r="I2552" s="4" t="n">
        <v>-80.78324</v>
      </c>
      <c r="J2552" s="4" t="s">
        <v>10278</v>
      </c>
      <c r="K2552" s="6" t="str">
        <f aca="false">HYPERLINK("https://www.google.com/search?q=Ashtabula+County+District+Library+Ashtabula+OH+library+website","Search")</f>
        <v>Search</v>
      </c>
      <c r="L2552" s="7"/>
      <c r="M2552" s="7"/>
    </row>
    <row r="2553" customFormat="false" ht="15" hidden="false" customHeight="true" outlineLevel="0" collapsed="false">
      <c r="A2553" s="4" t="s">
        <v>10261</v>
      </c>
      <c r="B2553" s="4" t="s">
        <v>10279</v>
      </c>
      <c r="C2553" s="4" t="s">
        <v>10280</v>
      </c>
      <c r="D2553" s="4" t="s">
        <v>77</v>
      </c>
      <c r="E2553" s="5" t="n">
        <v>62431</v>
      </c>
      <c r="F2553" s="4" t="n">
        <v>7</v>
      </c>
      <c r="G2553" s="4" t="s">
        <v>10281</v>
      </c>
      <c r="H2553" s="4" t="n">
        <v>39.461</v>
      </c>
      <c r="I2553" s="4" t="n">
        <v>-82.23359</v>
      </c>
      <c r="J2553" s="4" t="s">
        <v>10282</v>
      </c>
      <c r="K2553" s="6" t="str">
        <f aca="false">HYPERLINK("https://www.google.com/search?q=Athens+County+Public+Libraries+Nelsonville+OH+library+website","Search")</f>
        <v>Search</v>
      </c>
      <c r="L2553" s="7"/>
      <c r="M2553" s="7"/>
    </row>
    <row r="2554" customFormat="false" ht="15" hidden="false" customHeight="true" outlineLevel="0" collapsed="false">
      <c r="A2554" s="4" t="s">
        <v>10261</v>
      </c>
      <c r="B2554" s="4" t="s">
        <v>10283</v>
      </c>
      <c r="C2554" s="4" t="s">
        <v>10284</v>
      </c>
      <c r="D2554" s="4" t="s">
        <v>10285</v>
      </c>
      <c r="E2554" s="5" t="n">
        <v>32752</v>
      </c>
      <c r="F2554" s="4" t="n">
        <v>6</v>
      </c>
      <c r="G2554" s="4" t="s">
        <v>10286</v>
      </c>
      <c r="H2554" s="4" t="n">
        <v>40.56868</v>
      </c>
      <c r="I2554" s="4" t="n">
        <v>-84.1949</v>
      </c>
      <c r="J2554" s="4" t="s">
        <v>10287</v>
      </c>
      <c r="K2554" s="6" t="str">
        <f aca="false">HYPERLINK("https://www.google.com/search?q=Auglaize+County+Public+District+Library+Wapakoneta+OH+library+website","Search")</f>
        <v>Search</v>
      </c>
      <c r="L2554" s="7"/>
      <c r="M2554" s="7"/>
    </row>
    <row r="2555" customFormat="false" ht="15" hidden="false" customHeight="true" outlineLevel="0" collapsed="false">
      <c r="A2555" s="4" t="s">
        <v>10261</v>
      </c>
      <c r="B2555" s="4" t="s">
        <v>10288</v>
      </c>
      <c r="C2555" s="4" t="s">
        <v>10289</v>
      </c>
      <c r="D2555" s="4" t="s">
        <v>10270</v>
      </c>
      <c r="E2555" s="5" t="n">
        <v>24824</v>
      </c>
      <c r="F2555" s="4" t="n">
        <v>1</v>
      </c>
      <c r="G2555" s="4" t="s">
        <v>10290</v>
      </c>
      <c r="H2555" s="4" t="n">
        <v>41.51031</v>
      </c>
      <c r="I2555" s="4" t="n">
        <v>-82.01303</v>
      </c>
      <c r="J2555" s="4" t="s">
        <v>10291</v>
      </c>
      <c r="K2555" s="6" t="str">
        <f aca="false">HYPERLINK("https://www.google.com/search?q=Avon+Lake+Public+Library+Avon+Lake+OH+library+website","Search")</f>
        <v>Search</v>
      </c>
      <c r="L2555" s="7"/>
      <c r="M2555" s="7"/>
    </row>
    <row r="2556" customFormat="false" ht="15" hidden="false" customHeight="true" outlineLevel="0" collapsed="false">
      <c r="A2556" s="4" t="s">
        <v>10261</v>
      </c>
      <c r="B2556" s="4" t="s">
        <v>10292</v>
      </c>
      <c r="C2556" s="4" t="s">
        <v>10293</v>
      </c>
      <c r="D2556" s="4" t="s">
        <v>1768</v>
      </c>
      <c r="E2556" s="5" t="n">
        <v>24789</v>
      </c>
      <c r="F2556" s="4" t="n">
        <v>2</v>
      </c>
      <c r="G2556" s="4" t="s">
        <v>10294</v>
      </c>
      <c r="H2556" s="4" t="n">
        <v>41.01374</v>
      </c>
      <c r="I2556" s="4" t="n">
        <v>-81.6118</v>
      </c>
      <c r="J2556" s="4" t="s">
        <v>10295</v>
      </c>
      <c r="K2556" s="6" t="str">
        <f aca="false">HYPERLINK("https://www.google.com/search?q=Barberton+Public+Library+Barberton+OH+library+website","Search")</f>
        <v>Search</v>
      </c>
      <c r="L2556" s="7"/>
      <c r="M2556" s="7"/>
    </row>
    <row r="2557" customFormat="false" ht="15" hidden="false" customHeight="true" outlineLevel="0" collapsed="false">
      <c r="A2557" s="4" t="s">
        <v>10261</v>
      </c>
      <c r="B2557" s="4" t="s">
        <v>10296</v>
      </c>
      <c r="C2557" s="4" t="s">
        <v>10297</v>
      </c>
      <c r="D2557" s="4" t="s">
        <v>1763</v>
      </c>
      <c r="E2557" s="5" t="n">
        <v>11165</v>
      </c>
      <c r="F2557" s="4" t="n">
        <v>1</v>
      </c>
      <c r="G2557" s="4" t="s">
        <v>10298</v>
      </c>
      <c r="H2557" s="4" t="n">
        <v>40.50715</v>
      </c>
      <c r="I2557" s="4" t="n">
        <v>-83.75268</v>
      </c>
      <c r="J2557" s="4" t="s">
        <v>10299</v>
      </c>
      <c r="K2557" s="6" t="str">
        <f aca="false">HYPERLINK("https://www.google.com/search?q=Belle+Center+Free+Public+Library+Belle+Center+OH+library+website","Search")</f>
        <v>Search</v>
      </c>
      <c r="L2557" s="7"/>
      <c r="M2557" s="7"/>
    </row>
    <row r="2558" customFormat="false" ht="15" hidden="false" customHeight="true" outlineLevel="0" collapsed="false">
      <c r="A2558" s="4" t="s">
        <v>10261</v>
      </c>
      <c r="B2558" s="4" t="s">
        <v>8257</v>
      </c>
      <c r="C2558" s="4" t="s">
        <v>8258</v>
      </c>
      <c r="D2558" s="4" t="s">
        <v>10300</v>
      </c>
      <c r="E2558" s="5" t="n">
        <v>13197</v>
      </c>
      <c r="F2558" s="4" t="n">
        <v>1</v>
      </c>
      <c r="G2558" s="4" t="s">
        <v>10301</v>
      </c>
      <c r="H2558" s="4" t="n">
        <v>41.27326</v>
      </c>
      <c r="I2558" s="4" t="n">
        <v>-82.8381</v>
      </c>
      <c r="J2558" s="4" t="s">
        <v>10302</v>
      </c>
      <c r="K2558" s="6" t="str">
        <f aca="false">HYPERLINK("https://www.google.com/search?q=Bellevue+Public+Library+Bellevue+OH+library+website","Search")</f>
        <v>Search</v>
      </c>
      <c r="L2558" s="7"/>
      <c r="M2558" s="7"/>
    </row>
    <row r="2559" customFormat="false" ht="15" hidden="false" customHeight="true" outlineLevel="0" collapsed="false">
      <c r="A2559" s="4" t="s">
        <v>10261</v>
      </c>
      <c r="B2559" s="4" t="s">
        <v>10303</v>
      </c>
      <c r="C2559" s="4" t="s">
        <v>10304</v>
      </c>
      <c r="D2559" s="4" t="s">
        <v>5528</v>
      </c>
      <c r="E2559" s="5" t="n">
        <v>33295</v>
      </c>
      <c r="F2559" s="4" t="n">
        <v>6</v>
      </c>
      <c r="G2559" s="4" t="s">
        <v>10305</v>
      </c>
      <c r="H2559" s="4" t="n">
        <v>40.09635</v>
      </c>
      <c r="I2559" s="4" t="n">
        <v>-80.7246</v>
      </c>
      <c r="J2559" s="4" t="s">
        <v>10306</v>
      </c>
      <c r="K2559" s="6" t="str">
        <f aca="false">HYPERLINK("https://www.google.com/search?q=Belmont+County+District+Library+Martins+Ferry+OH+library+website","Search")</f>
        <v>Search</v>
      </c>
      <c r="L2559" s="7"/>
      <c r="M2559" s="7"/>
    </row>
    <row r="2560" customFormat="false" ht="15" hidden="false" customHeight="true" outlineLevel="0" collapsed="false">
      <c r="A2560" s="4" t="s">
        <v>10261</v>
      </c>
      <c r="B2560" s="4" t="s">
        <v>10307</v>
      </c>
      <c r="C2560" s="4" t="s">
        <v>10308</v>
      </c>
      <c r="D2560" s="4" t="s">
        <v>384</v>
      </c>
      <c r="E2560" s="5" t="n">
        <v>13906</v>
      </c>
      <c r="F2560" s="4" t="n">
        <v>1</v>
      </c>
      <c r="G2560" s="4" t="s">
        <v>10309</v>
      </c>
      <c r="H2560" s="4" t="n">
        <v>39.95707</v>
      </c>
      <c r="I2560" s="4" t="n">
        <v>-82.93433</v>
      </c>
      <c r="J2560" s="4" t="s">
        <v>10310</v>
      </c>
      <c r="K2560" s="6" t="str">
        <f aca="false">HYPERLINK("https://www.google.com/search?q=Bexley+Public+Library+Bexley+OH+library+website","Search")</f>
        <v>Search</v>
      </c>
      <c r="L2560" s="7"/>
      <c r="M2560" s="7"/>
    </row>
    <row r="2561" customFormat="false" ht="15" hidden="false" customHeight="true" outlineLevel="0" collapsed="false">
      <c r="A2561" s="4" t="s">
        <v>10261</v>
      </c>
      <c r="B2561" s="4" t="s">
        <v>10311</v>
      </c>
      <c r="C2561" s="4" t="s">
        <v>863</v>
      </c>
      <c r="D2561" s="4" t="s">
        <v>10312</v>
      </c>
      <c r="E2561" s="5" t="n">
        <v>41427</v>
      </c>
      <c r="F2561" s="4" t="n">
        <v>4</v>
      </c>
      <c r="G2561" s="4" t="s">
        <v>10313</v>
      </c>
      <c r="H2561" s="4" t="n">
        <v>41.34647</v>
      </c>
      <c r="I2561" s="4" t="n">
        <v>-83.11532</v>
      </c>
      <c r="J2561" s="4" t="s">
        <v>10314</v>
      </c>
      <c r="K2561" s="6" t="str">
        <f aca="false">HYPERLINK("https://www.google.com/search?q=Birchard+Public+Library+Of+Sandusky+County+Fremont+OH+library+website","Search")</f>
        <v>Search</v>
      </c>
      <c r="L2561" s="7"/>
      <c r="M2561" s="7"/>
    </row>
    <row r="2562" customFormat="false" ht="15" hidden="false" customHeight="true" outlineLevel="0" collapsed="false">
      <c r="A2562" s="4" t="s">
        <v>10261</v>
      </c>
      <c r="B2562" s="4" t="s">
        <v>10315</v>
      </c>
      <c r="C2562" s="4" t="s">
        <v>7508</v>
      </c>
      <c r="D2562" s="4" t="s">
        <v>279</v>
      </c>
      <c r="E2562" s="5" t="n">
        <v>58066</v>
      </c>
      <c r="F2562" s="4" t="n">
        <v>5</v>
      </c>
      <c r="G2562" s="4" t="s">
        <v>10316</v>
      </c>
      <c r="H2562" s="4" t="n">
        <v>38.53389</v>
      </c>
      <c r="I2562" s="4" t="n">
        <v>-82.68273</v>
      </c>
      <c r="J2562" s="4" t="s">
        <v>10317</v>
      </c>
      <c r="K2562" s="6" t="str">
        <f aca="false">HYPERLINK("https://www.google.com/search?q=Briggs+Lawrence+County+Public+Library+Ironton+OH+library+website","Search")</f>
        <v>Search</v>
      </c>
      <c r="L2562" s="7"/>
      <c r="M2562" s="7"/>
    </row>
    <row r="2563" customFormat="false" ht="15" hidden="false" customHeight="true" outlineLevel="0" collapsed="false">
      <c r="A2563" s="4" t="s">
        <v>10261</v>
      </c>
      <c r="B2563" s="4" t="s">
        <v>4280</v>
      </c>
      <c r="C2563" s="4" t="s">
        <v>2234</v>
      </c>
      <c r="D2563" s="4" t="s">
        <v>4282</v>
      </c>
      <c r="E2563" s="5" t="n">
        <v>29902</v>
      </c>
      <c r="F2563" s="4" t="n">
        <v>4</v>
      </c>
      <c r="G2563" s="4" t="s">
        <v>10318</v>
      </c>
      <c r="H2563" s="4" t="n">
        <v>38.86617</v>
      </c>
      <c r="I2563" s="4" t="n">
        <v>-83.9054</v>
      </c>
      <c r="J2563" s="4" t="s">
        <v>10319</v>
      </c>
      <c r="K2563" s="6" t="str">
        <f aca="false">HYPERLINK("https://www.google.com/search?q=Brown+County+Public+Library+Georgetown+OH+library+website","Search")</f>
        <v>Search</v>
      </c>
      <c r="L2563" s="7"/>
      <c r="M2563" s="7"/>
    </row>
    <row r="2564" customFormat="false" ht="15" hidden="false" customHeight="true" outlineLevel="0" collapsed="false">
      <c r="A2564" s="4" t="s">
        <v>10261</v>
      </c>
      <c r="B2564" s="4" t="s">
        <v>10320</v>
      </c>
      <c r="C2564" s="4" t="s">
        <v>10321</v>
      </c>
      <c r="D2564" s="4" t="s">
        <v>10321</v>
      </c>
      <c r="E2564" s="5" t="n">
        <v>24724</v>
      </c>
      <c r="F2564" s="4" t="n">
        <v>6</v>
      </c>
      <c r="G2564" s="4" t="s">
        <v>10322</v>
      </c>
      <c r="H2564" s="4" t="n">
        <v>40.86963</v>
      </c>
      <c r="I2564" s="4" t="n">
        <v>-84.58493</v>
      </c>
      <c r="J2564" s="4" t="s">
        <v>10323</v>
      </c>
      <c r="K2564" s="6" t="str">
        <f aca="false">HYPERLINK("https://www.google.com/search?q=Brumback+Library+Van+Wert+OH+library+website","Search")</f>
        <v>Search</v>
      </c>
      <c r="L2564" s="7"/>
      <c r="M2564" s="7"/>
    </row>
    <row r="2565" customFormat="false" ht="15" hidden="false" customHeight="true" outlineLevel="0" collapsed="false">
      <c r="A2565" s="4" t="s">
        <v>10261</v>
      </c>
      <c r="B2565" s="4" t="s">
        <v>10324</v>
      </c>
      <c r="C2565" s="4" t="s">
        <v>10325</v>
      </c>
      <c r="D2565" s="4" t="s">
        <v>516</v>
      </c>
      <c r="E2565" s="5" t="n">
        <v>18451</v>
      </c>
      <c r="F2565" s="4" t="n">
        <v>1</v>
      </c>
      <c r="G2565" s="4" t="s">
        <v>10326</v>
      </c>
      <c r="H2565" s="4" t="n">
        <v>40.80873</v>
      </c>
      <c r="I2565" s="4" t="n">
        <v>-82.97385</v>
      </c>
      <c r="J2565" s="4" t="s">
        <v>10327</v>
      </c>
      <c r="K2565" s="6" t="str">
        <f aca="false">HYPERLINK("https://www.google.com/search?q=Bucyrus+Public+Library+Bucyrus+OH+library+website","Search")</f>
        <v>Search</v>
      </c>
      <c r="L2565" s="7"/>
      <c r="M2565" s="7"/>
    </row>
    <row r="2566" customFormat="false" ht="15" hidden="false" customHeight="true" outlineLevel="0" collapsed="false">
      <c r="A2566" s="4" t="s">
        <v>10261</v>
      </c>
      <c r="B2566" s="4" t="s">
        <v>10328</v>
      </c>
      <c r="C2566" s="4" t="s">
        <v>10329</v>
      </c>
      <c r="D2566" s="4" t="s">
        <v>8201</v>
      </c>
      <c r="E2566" s="5" t="n">
        <v>13076</v>
      </c>
      <c r="F2566" s="4" t="n">
        <v>1</v>
      </c>
      <c r="G2566" s="4" t="s">
        <v>10330</v>
      </c>
      <c r="H2566" s="4" t="n">
        <v>40.89075</v>
      </c>
      <c r="I2566" s="4" t="n">
        <v>-81.59772</v>
      </c>
      <c r="J2566" s="4" t="s">
        <v>10331</v>
      </c>
      <c r="K2566" s="6" t="str">
        <f aca="false">HYPERLINK("https://www.google.com/search?q=Canal+Fulton+Public+Library+Canal+Fulton+OH+library+website","Search")</f>
        <v>Search</v>
      </c>
      <c r="L2566" s="7"/>
      <c r="M2566" s="7"/>
    </row>
    <row r="2567" customFormat="false" ht="15" hidden="false" customHeight="true" outlineLevel="0" collapsed="false">
      <c r="A2567" s="4" t="s">
        <v>10261</v>
      </c>
      <c r="B2567" s="4" t="s">
        <v>7611</v>
      </c>
      <c r="C2567" s="4" t="s">
        <v>10332</v>
      </c>
      <c r="D2567" s="4" t="s">
        <v>197</v>
      </c>
      <c r="E2567" s="5" t="n">
        <v>14493</v>
      </c>
      <c r="F2567" s="4" t="n">
        <v>1</v>
      </c>
      <c r="G2567" s="4" t="s">
        <v>10333</v>
      </c>
      <c r="H2567" s="4" t="n">
        <v>39.5365</v>
      </c>
      <c r="I2567" s="4" t="n">
        <v>-83.43699</v>
      </c>
      <c r="J2567" s="4" t="s">
        <v>10334</v>
      </c>
      <c r="K2567" s="6" t="str">
        <f aca="false">HYPERLINK("https://www.google.com/search?q=Carnegie+Public+Library+Washington+Ch+OH+library+website","Search")</f>
        <v>Search</v>
      </c>
      <c r="L2567" s="7"/>
      <c r="M2567" s="7"/>
    </row>
    <row r="2568" customFormat="false" ht="15" hidden="false" customHeight="true" outlineLevel="0" collapsed="false">
      <c r="A2568" s="4" t="s">
        <v>10261</v>
      </c>
      <c r="B2568" s="4" t="s">
        <v>10335</v>
      </c>
      <c r="C2568" s="4" t="s">
        <v>374</v>
      </c>
      <c r="D2568" s="4" t="s">
        <v>491</v>
      </c>
      <c r="E2568" s="5" t="n">
        <v>21721</v>
      </c>
      <c r="F2568" s="4" t="n">
        <v>2</v>
      </c>
      <c r="G2568" s="4" t="s">
        <v>10336</v>
      </c>
      <c r="H2568" s="4" t="n">
        <v>40.57319</v>
      </c>
      <c r="I2568" s="4" t="n">
        <v>-81.08445</v>
      </c>
      <c r="J2568" s="4" t="s">
        <v>10337</v>
      </c>
      <c r="K2568" s="6" t="str">
        <f aca="false">HYPERLINK("https://www.google.com/search?q=Carroll+County+District+Library+Carrollton+OH+library+website","Search")</f>
        <v>Search</v>
      </c>
      <c r="L2568" s="7"/>
      <c r="M2568" s="7"/>
    </row>
    <row r="2569" customFormat="false" ht="15" hidden="false" customHeight="true" outlineLevel="0" collapsed="false">
      <c r="A2569" s="4" t="s">
        <v>10261</v>
      </c>
      <c r="B2569" s="4" t="s">
        <v>10338</v>
      </c>
      <c r="C2569" s="4" t="s">
        <v>4139</v>
      </c>
      <c r="D2569" s="4" t="s">
        <v>3420</v>
      </c>
      <c r="E2569" s="5" t="n">
        <v>28349</v>
      </c>
      <c r="F2569" s="4" t="n">
        <v>2</v>
      </c>
      <c r="G2569" s="4" t="s">
        <v>10339</v>
      </c>
      <c r="H2569" s="4" t="n">
        <v>40.10511</v>
      </c>
      <c r="I2569" s="4" t="n">
        <v>-83.72598</v>
      </c>
      <c r="J2569" s="4" t="s">
        <v>10340</v>
      </c>
      <c r="K2569" s="6" t="str">
        <f aca="false">HYPERLINK("https://www.google.com/search?q=Champaign+County+Library+Urbana+OH+library+website","Search")</f>
        <v>Search</v>
      </c>
      <c r="L2569" s="7"/>
      <c r="M2569" s="7"/>
    </row>
    <row r="2570" customFormat="false" ht="15" hidden="false" customHeight="true" outlineLevel="0" collapsed="false">
      <c r="A2570" s="4" t="s">
        <v>10261</v>
      </c>
      <c r="B2570" s="4" t="s">
        <v>10341</v>
      </c>
      <c r="C2570" s="4" t="s">
        <v>3450</v>
      </c>
      <c r="D2570" s="4" t="s">
        <v>10342</v>
      </c>
      <c r="E2570" s="5" t="n">
        <v>77093</v>
      </c>
      <c r="F2570" s="4" t="n">
        <v>9</v>
      </c>
      <c r="G2570" s="4" t="s">
        <v>10343</v>
      </c>
      <c r="H2570" s="4" t="n">
        <v>39.32987</v>
      </c>
      <c r="I2570" s="4" t="n">
        <v>-82.98129</v>
      </c>
      <c r="J2570" s="4" t="s">
        <v>10344</v>
      </c>
      <c r="K2570" s="6" t="str">
        <f aca="false">HYPERLINK("https://www.google.com/search?q=Chillicothe+And+Ross+County+Public+Library+Chillicothe+OH+library+website","Search")</f>
        <v>Search</v>
      </c>
      <c r="L2570" s="7"/>
      <c r="M2570" s="7"/>
    </row>
    <row r="2571" customFormat="false" ht="15" hidden="false" customHeight="true" outlineLevel="0" collapsed="false">
      <c r="A2571" s="4" t="s">
        <v>10261</v>
      </c>
      <c r="B2571" s="4" t="s">
        <v>10345</v>
      </c>
      <c r="C2571" s="4" t="s">
        <v>10346</v>
      </c>
      <c r="D2571" s="4" t="s">
        <v>3025</v>
      </c>
      <c r="E2571" s="5" t="n">
        <v>830639</v>
      </c>
      <c r="F2571" s="4" t="n">
        <v>41</v>
      </c>
      <c r="G2571" s="4" t="s">
        <v>10347</v>
      </c>
      <c r="H2571" s="4" t="n">
        <v>39.10488</v>
      </c>
      <c r="I2571" s="4" t="n">
        <v>-84.51388</v>
      </c>
      <c r="J2571" s="4" t="s">
        <v>10348</v>
      </c>
      <c r="K2571" s="6" t="str">
        <f aca="false">HYPERLINK("https://www.google.com/search?q=Cincinnati+And+Hamilton+County+Public+Library+Cincinnati+OH+library+website","Search")</f>
        <v>Search</v>
      </c>
      <c r="L2571" s="7"/>
      <c r="M2571" s="8" t="str">
        <f aca="false">HYPERLINK("https://cincinnatilibrary.overdrive.com","https://cincinnatilibrary.overdrive.com")</f>
        <v>https://cincinnatilibrary.overdrive.com</v>
      </c>
    </row>
    <row r="2572" customFormat="false" ht="15" hidden="false" customHeight="true" outlineLevel="0" collapsed="false">
      <c r="A2572" s="4" t="s">
        <v>10261</v>
      </c>
      <c r="B2572" s="4" t="s">
        <v>4883</v>
      </c>
      <c r="C2572" s="4" t="s">
        <v>3770</v>
      </c>
      <c r="D2572" s="4" t="s">
        <v>501</v>
      </c>
      <c r="E2572" s="5" t="n">
        <v>129685</v>
      </c>
      <c r="F2572" s="4" t="n">
        <v>5</v>
      </c>
      <c r="G2572" s="4" t="s">
        <v>10349</v>
      </c>
      <c r="H2572" s="4" t="n">
        <v>39.92214</v>
      </c>
      <c r="I2572" s="4" t="n">
        <v>-83.81052</v>
      </c>
      <c r="J2572" s="4" t="s">
        <v>10350</v>
      </c>
      <c r="K2572" s="6" t="str">
        <f aca="false">HYPERLINK("https://www.google.com/search?q=Clark+County+Public+Library+Springfield+OH+library+website","Search")</f>
        <v>Search</v>
      </c>
      <c r="L2572" s="7"/>
      <c r="M2572" s="7"/>
    </row>
    <row r="2573" customFormat="false" ht="15" hidden="false" customHeight="true" outlineLevel="0" collapsed="false">
      <c r="A2573" s="4" t="s">
        <v>10261</v>
      </c>
      <c r="B2573" s="4" t="s">
        <v>10351</v>
      </c>
      <c r="C2573" s="4" t="s">
        <v>10352</v>
      </c>
      <c r="D2573" s="4" t="s">
        <v>10353</v>
      </c>
      <c r="E2573" s="5" t="n">
        <v>11834</v>
      </c>
      <c r="F2573" s="4" t="n">
        <v>2</v>
      </c>
      <c r="G2573" s="4" t="s">
        <v>10354</v>
      </c>
      <c r="H2573" s="4" t="n">
        <v>40.39136</v>
      </c>
      <c r="I2573" s="4" t="n">
        <v>-81.34445</v>
      </c>
      <c r="J2573" s="4" t="s">
        <v>10355</v>
      </c>
      <c r="K2573" s="6" t="str">
        <f aca="false">HYPERLINK("https://www.google.com/search?q=Claymont+School+District+Public+Library+Uhrichsville+OH+library+website","Search")</f>
        <v>Search</v>
      </c>
      <c r="L2573" s="7"/>
      <c r="M2573" s="7"/>
    </row>
    <row r="2574" customFormat="false" ht="15" hidden="false" customHeight="true" outlineLevel="0" collapsed="false">
      <c r="A2574" s="4" t="s">
        <v>10261</v>
      </c>
      <c r="B2574" s="4" t="s">
        <v>10356</v>
      </c>
      <c r="C2574" s="4" t="s">
        <v>2008</v>
      </c>
      <c r="D2574" s="4" t="s">
        <v>10357</v>
      </c>
      <c r="E2574" s="5" t="n">
        <v>208601</v>
      </c>
      <c r="F2574" s="4" t="n">
        <v>10</v>
      </c>
      <c r="G2574" s="4" t="s">
        <v>10358</v>
      </c>
      <c r="H2574" s="4" t="n">
        <v>39.1928</v>
      </c>
      <c r="I2574" s="4" t="n">
        <v>-84.22056</v>
      </c>
      <c r="J2574" s="4" t="s">
        <v>10359</v>
      </c>
      <c r="K2574" s="6" t="str">
        <f aca="false">HYPERLINK("https://www.google.com/search?q=Clermont+County+Public+Library+Milford+OH+library+website","Search")</f>
        <v>Search</v>
      </c>
      <c r="L2574" s="7"/>
      <c r="M2574" s="7"/>
    </row>
    <row r="2575" customFormat="false" ht="15" hidden="false" customHeight="true" outlineLevel="0" collapsed="false">
      <c r="A2575" s="4" t="s">
        <v>10261</v>
      </c>
      <c r="B2575" s="4" t="s">
        <v>10360</v>
      </c>
      <c r="C2575" s="4" t="s">
        <v>10361</v>
      </c>
      <c r="D2575" s="4" t="s">
        <v>10362</v>
      </c>
      <c r="E2575" s="5" t="n">
        <v>57712</v>
      </c>
      <c r="F2575" s="4" t="n">
        <v>4</v>
      </c>
      <c r="G2575" s="4" t="s">
        <v>10363</v>
      </c>
      <c r="H2575" s="4" t="n">
        <v>41.49594</v>
      </c>
      <c r="I2575" s="4" t="n">
        <v>-81.56511</v>
      </c>
      <c r="J2575" s="4" t="s">
        <v>10364</v>
      </c>
      <c r="K2575" s="6" t="str">
        <f aca="false">HYPERLINK("https://www.google.com/search?q=Cleveland+Heights-University+Heights+Pl+Cleveland+Hts.+OH+library+website","Search")</f>
        <v>Search</v>
      </c>
      <c r="L2575" s="7"/>
      <c r="M2575" s="7"/>
    </row>
    <row r="2576" customFormat="false" ht="15" hidden="false" customHeight="true" outlineLevel="0" collapsed="false">
      <c r="A2576" s="4" t="s">
        <v>10261</v>
      </c>
      <c r="B2576" s="4" t="s">
        <v>10365</v>
      </c>
      <c r="C2576" s="4" t="s">
        <v>7608</v>
      </c>
      <c r="D2576" s="4" t="s">
        <v>10362</v>
      </c>
      <c r="E2576" s="5" t="n">
        <v>374557</v>
      </c>
      <c r="F2576" s="4" t="n">
        <v>28</v>
      </c>
      <c r="G2576" s="4" t="s">
        <v>10366</v>
      </c>
      <c r="H2576" s="4" t="n">
        <v>41.50076</v>
      </c>
      <c r="I2576" s="4" t="n">
        <v>-81.69158</v>
      </c>
      <c r="J2576" s="4" t="s">
        <v>10367</v>
      </c>
      <c r="K2576" s="6" t="str">
        <f aca="false">HYPERLINK("https://www.google.com/search?q=Cleveland+Public+Library+Cleveland+OH+library+website","Search")</f>
        <v>Search</v>
      </c>
      <c r="L2576" s="7"/>
      <c r="M2576" s="7"/>
    </row>
    <row r="2577" customFormat="false" ht="15" hidden="false" customHeight="true" outlineLevel="0" collapsed="false">
      <c r="A2577" s="4" t="s">
        <v>10261</v>
      </c>
      <c r="B2577" s="4" t="s">
        <v>10368</v>
      </c>
      <c r="C2577" s="4" t="s">
        <v>10369</v>
      </c>
      <c r="D2577" s="4" t="s">
        <v>10312</v>
      </c>
      <c r="E2577" s="5" t="n">
        <v>12415</v>
      </c>
      <c r="F2577" s="4" t="n">
        <v>1</v>
      </c>
      <c r="G2577" s="4" t="s">
        <v>10370</v>
      </c>
      <c r="H2577" s="4" t="n">
        <v>41.30406</v>
      </c>
      <c r="I2577" s="4" t="n">
        <v>-82.97778</v>
      </c>
      <c r="J2577" s="4" t="s">
        <v>10371</v>
      </c>
      <c r="K2577" s="6" t="str">
        <f aca="false">HYPERLINK("https://www.google.com/search?q=Clyde+Public+Library+Clyde+OH+library+website","Search")</f>
        <v>Search</v>
      </c>
      <c r="L2577" s="7"/>
      <c r="M2577" s="7"/>
    </row>
    <row r="2578" customFormat="false" ht="15" hidden="false" customHeight="true" outlineLevel="0" collapsed="false">
      <c r="A2578" s="4" t="s">
        <v>10261</v>
      </c>
      <c r="B2578" s="4" t="s">
        <v>10372</v>
      </c>
      <c r="C2578" s="4" t="s">
        <v>2626</v>
      </c>
      <c r="D2578" s="4" t="s">
        <v>384</v>
      </c>
      <c r="E2578" s="5" t="n">
        <v>971930</v>
      </c>
      <c r="F2578" s="4" t="n">
        <v>23</v>
      </c>
      <c r="G2578" s="4" t="s">
        <v>10373</v>
      </c>
      <c r="H2578" s="4" t="n">
        <v>39.96104</v>
      </c>
      <c r="I2578" s="4" t="n">
        <v>-82.9906</v>
      </c>
      <c r="J2578" s="4" t="s">
        <v>10374</v>
      </c>
      <c r="K2578" s="6" t="str">
        <f aca="false">HYPERLINK("https://www.google.com/search?q=Columbus+Metropolitan+Library+Columbus+OH+library+website","Search")</f>
        <v>Search</v>
      </c>
      <c r="L2578" s="7"/>
      <c r="M2578" s="7"/>
    </row>
    <row r="2579" customFormat="false" ht="15" hidden="false" customHeight="true" outlineLevel="0" collapsed="false">
      <c r="A2579" s="4" t="s">
        <v>10261</v>
      </c>
      <c r="B2579" s="4" t="s">
        <v>10375</v>
      </c>
      <c r="C2579" s="4" t="s">
        <v>10376</v>
      </c>
      <c r="D2579" s="4" t="s">
        <v>3041</v>
      </c>
      <c r="E2579" s="5" t="n">
        <v>23045</v>
      </c>
      <c r="F2579" s="4" t="n">
        <v>1</v>
      </c>
      <c r="G2579" s="4" t="s">
        <v>10377</v>
      </c>
      <c r="H2579" s="4" t="n">
        <v>40.24337</v>
      </c>
      <c r="I2579" s="4" t="n">
        <v>-82.86363</v>
      </c>
      <c r="J2579" s="4" t="s">
        <v>10378</v>
      </c>
      <c r="K2579" s="6" t="str">
        <f aca="false">HYPERLINK("https://www.google.com/search?q=Community+Library+Sunbury+OH+library+website","Search")</f>
        <v>Search</v>
      </c>
      <c r="L2579" s="7"/>
      <c r="M2579" s="7"/>
    </row>
    <row r="2580" customFormat="false" ht="15" hidden="false" customHeight="true" outlineLevel="0" collapsed="false">
      <c r="A2580" s="4" t="s">
        <v>10261</v>
      </c>
      <c r="B2580" s="4" t="s">
        <v>10379</v>
      </c>
      <c r="C2580" s="4" t="s">
        <v>10380</v>
      </c>
      <c r="D2580" s="4" t="s">
        <v>10276</v>
      </c>
      <c r="E2580" s="5" t="n">
        <v>13950</v>
      </c>
      <c r="F2580" s="4" t="n">
        <v>1</v>
      </c>
      <c r="G2580" s="4" t="s">
        <v>10381</v>
      </c>
      <c r="H2580" s="4" t="n">
        <v>41.94557</v>
      </c>
      <c r="I2580" s="4" t="n">
        <v>-80.5574</v>
      </c>
      <c r="J2580" s="4" t="s">
        <v>10382</v>
      </c>
      <c r="K2580" s="6" t="str">
        <f aca="false">HYPERLINK("https://www.google.com/search?q=Conneaut+Public+Library+Conneaut+OH+library+website","Search")</f>
        <v>Search</v>
      </c>
      <c r="L2580" s="7"/>
      <c r="M2580" s="7"/>
    </row>
    <row r="2581" customFormat="false" ht="15" hidden="false" customHeight="true" outlineLevel="0" collapsed="false">
      <c r="A2581" s="4" t="s">
        <v>10261</v>
      </c>
      <c r="B2581" s="4" t="s">
        <v>10383</v>
      </c>
      <c r="C2581" s="4" t="s">
        <v>10384</v>
      </c>
      <c r="D2581" s="4" t="s">
        <v>10384</v>
      </c>
      <c r="E2581" s="5" t="n">
        <v>33676</v>
      </c>
      <c r="F2581" s="4" t="n">
        <v>2</v>
      </c>
      <c r="G2581" s="4" t="s">
        <v>10385</v>
      </c>
      <c r="H2581" s="4" t="n">
        <v>40.27339</v>
      </c>
      <c r="I2581" s="4" t="n">
        <v>-81.85979</v>
      </c>
      <c r="J2581" s="4" t="s">
        <v>10386</v>
      </c>
      <c r="K2581" s="6" t="str">
        <f aca="false">HYPERLINK("https://www.google.com/search?q=Coshocton+County+District+Library+Coshocton+OH+library+website","Search")</f>
        <v>Search</v>
      </c>
      <c r="L2581" s="7"/>
      <c r="M2581" s="7"/>
    </row>
    <row r="2582" customFormat="false" ht="15" hidden="false" customHeight="true" outlineLevel="0" collapsed="false">
      <c r="A2582" s="4" t="s">
        <v>10261</v>
      </c>
      <c r="B2582" s="4" t="s">
        <v>10387</v>
      </c>
      <c r="C2582" s="4" t="s">
        <v>10388</v>
      </c>
      <c r="D2582" s="4" t="s">
        <v>10362</v>
      </c>
      <c r="E2582" s="5" t="n">
        <v>626288</v>
      </c>
      <c r="F2582" s="4" t="n">
        <v>27</v>
      </c>
      <c r="G2582" s="4" t="s">
        <v>10389</v>
      </c>
      <c r="H2582" s="4" t="n">
        <v>41.40314</v>
      </c>
      <c r="I2582" s="4" t="n">
        <v>-81.69747</v>
      </c>
      <c r="J2582" s="4" t="s">
        <v>10390</v>
      </c>
      <c r="K2582" s="6" t="str">
        <f aca="false">HYPERLINK("https://www.google.com/search?q=Cuyahoga+County+Public+Library+Parma+OH+library+website","Search")</f>
        <v>Search</v>
      </c>
      <c r="L2582" s="7"/>
      <c r="M2582" s="8" t="str">
        <f aca="false">HYPERLINK("https://ccpl.overdrive.com","https://ccpl.overdrive.com")</f>
        <v>https://ccpl.overdrive.com</v>
      </c>
    </row>
    <row r="2583" customFormat="false" ht="15" hidden="false" customHeight="true" outlineLevel="0" collapsed="false">
      <c r="A2583" s="4" t="s">
        <v>10261</v>
      </c>
      <c r="B2583" s="4" t="s">
        <v>10391</v>
      </c>
      <c r="C2583" s="4" t="s">
        <v>10392</v>
      </c>
      <c r="D2583" s="4" t="s">
        <v>1768</v>
      </c>
      <c r="E2583" s="5" t="n">
        <v>49652</v>
      </c>
      <c r="F2583" s="4" t="n">
        <v>1</v>
      </c>
      <c r="G2583" s="4" t="s">
        <v>10393</v>
      </c>
      <c r="H2583" s="4" t="n">
        <v>41.13485</v>
      </c>
      <c r="I2583" s="4" t="n">
        <v>-81.48593</v>
      </c>
      <c r="J2583" s="4" t="s">
        <v>10394</v>
      </c>
      <c r="K2583" s="6" t="str">
        <f aca="false">HYPERLINK("https://www.google.com/search?q=Cuyahoga+Falls+Library+Cuyahoga+Falls+OH+library+website","Search")</f>
        <v>Search</v>
      </c>
      <c r="L2583" s="7"/>
      <c r="M2583" s="7"/>
    </row>
    <row r="2584" customFormat="false" ht="15" hidden="false" customHeight="true" outlineLevel="0" collapsed="false">
      <c r="A2584" s="4" t="s">
        <v>10261</v>
      </c>
      <c r="B2584" s="4" t="s">
        <v>10395</v>
      </c>
      <c r="C2584" s="4" t="s">
        <v>10396</v>
      </c>
      <c r="D2584" s="4" t="s">
        <v>315</v>
      </c>
      <c r="E2584" s="5" t="n">
        <v>452238</v>
      </c>
      <c r="F2584" s="4" t="n">
        <v>20</v>
      </c>
      <c r="G2584" s="4" t="s">
        <v>10397</v>
      </c>
      <c r="H2584" s="4" t="n">
        <v>39.76021</v>
      </c>
      <c r="I2584" s="4" t="n">
        <v>-84.18776</v>
      </c>
      <c r="J2584" s="4" t="s">
        <v>10398</v>
      </c>
      <c r="K2584" s="6" t="str">
        <f aca="false">HYPERLINK("https://www.google.com/search?q=Dayton+Metro+Library+Dayton+OH+library+website","Search")</f>
        <v>Search</v>
      </c>
      <c r="L2584" s="7"/>
      <c r="M2584" s="8" t="str">
        <f aca="false">HYPERLINK("https://dayton.overdrive.com","https://dayton.overdrive.com")</f>
        <v>https://dayton.overdrive.com</v>
      </c>
    </row>
    <row r="2585" customFormat="false" ht="15" hidden="false" customHeight="true" outlineLevel="0" collapsed="false">
      <c r="A2585" s="4" t="s">
        <v>10261</v>
      </c>
      <c r="B2585" s="4" t="s">
        <v>10399</v>
      </c>
      <c r="C2585" s="4" t="s">
        <v>10400</v>
      </c>
      <c r="D2585" s="4" t="s">
        <v>10400</v>
      </c>
      <c r="E2585" s="5" t="n">
        <v>38286</v>
      </c>
      <c r="F2585" s="4" t="n">
        <v>3</v>
      </c>
      <c r="G2585" s="4" t="s">
        <v>10401</v>
      </c>
      <c r="H2585" s="4" t="n">
        <v>41.28746</v>
      </c>
      <c r="I2585" s="4" t="n">
        <v>-84.35802</v>
      </c>
      <c r="J2585" s="4" t="s">
        <v>10402</v>
      </c>
      <c r="K2585" s="6" t="str">
        <f aca="false">HYPERLINK("https://www.google.com/search?q=Defiance+Public+Library+Defiance+OH+library+website","Search")</f>
        <v>Search</v>
      </c>
      <c r="L2585" s="7"/>
      <c r="M2585" s="7"/>
    </row>
    <row r="2586" customFormat="false" ht="15" hidden="false" customHeight="true" outlineLevel="0" collapsed="false">
      <c r="A2586" s="4" t="s">
        <v>10261</v>
      </c>
      <c r="B2586" s="4" t="s">
        <v>10403</v>
      </c>
      <c r="C2586" s="4" t="s">
        <v>3041</v>
      </c>
      <c r="D2586" s="4" t="s">
        <v>3041</v>
      </c>
      <c r="E2586" s="5" t="n">
        <v>165831</v>
      </c>
      <c r="F2586" s="4" t="n">
        <v>4</v>
      </c>
      <c r="G2586" s="4" t="s">
        <v>10404</v>
      </c>
      <c r="H2586" s="4" t="n">
        <v>40.29999</v>
      </c>
      <c r="I2586" s="4" t="n">
        <v>-83.06469</v>
      </c>
      <c r="J2586" s="4" t="s">
        <v>10405</v>
      </c>
      <c r="K2586" s="6" t="str">
        <f aca="false">HYPERLINK("https://www.google.com/search?q=Delaware+County+District+Library+Delaware+OH+library+website","Search")</f>
        <v>Search</v>
      </c>
      <c r="L2586" s="7"/>
      <c r="M2586" s="7"/>
    </row>
    <row r="2587" customFormat="false" ht="15" hidden="false" customHeight="true" outlineLevel="0" collapsed="false">
      <c r="A2587" s="4" t="s">
        <v>10261</v>
      </c>
      <c r="B2587" s="4" t="s">
        <v>2228</v>
      </c>
      <c r="C2587" s="4" t="s">
        <v>2229</v>
      </c>
      <c r="D2587" s="4" t="s">
        <v>10353</v>
      </c>
      <c r="E2587" s="5" t="n">
        <v>17426</v>
      </c>
      <c r="F2587" s="4" t="n">
        <v>2</v>
      </c>
      <c r="G2587" s="4" t="s">
        <v>10406</v>
      </c>
      <c r="H2587" s="4" t="n">
        <v>40.52406</v>
      </c>
      <c r="I2587" s="4" t="n">
        <v>-81.48099</v>
      </c>
      <c r="J2587" s="4" t="s">
        <v>10407</v>
      </c>
      <c r="K2587" s="6" t="str">
        <f aca="false">HYPERLINK("https://www.google.com/search?q=Dover+Public+Library+Dover+OH+library+website","Search")</f>
        <v>Search</v>
      </c>
      <c r="L2587" s="7"/>
      <c r="M2587" s="7"/>
    </row>
    <row r="2588" customFormat="false" ht="15" hidden="false" customHeight="true" outlineLevel="0" collapsed="false">
      <c r="A2588" s="4" t="s">
        <v>10261</v>
      </c>
      <c r="B2588" s="4" t="s">
        <v>10408</v>
      </c>
      <c r="C2588" s="4" t="s">
        <v>10409</v>
      </c>
      <c r="D2588" s="4" t="s">
        <v>10410</v>
      </c>
      <c r="E2588" s="5" t="n">
        <v>29220</v>
      </c>
      <c r="F2588" s="4" t="n">
        <v>1</v>
      </c>
      <c r="G2588" s="4" t="s">
        <v>10411</v>
      </c>
      <c r="H2588" s="4" t="n">
        <v>38.81148</v>
      </c>
      <c r="I2588" s="4" t="n">
        <v>-82.19869</v>
      </c>
      <c r="J2588" s="4" t="s">
        <v>10412</v>
      </c>
      <c r="K2588" s="6" t="str">
        <f aca="false">HYPERLINK("https://www.google.com/search?q=Dr.+Samuel+L.+Bossard+Memorial+Library+Gallipolis+OH+library+website","Search")</f>
        <v>Search</v>
      </c>
      <c r="L2588" s="7"/>
      <c r="M2588" s="7"/>
    </row>
    <row r="2589" customFormat="false" ht="15" hidden="false" customHeight="true" outlineLevel="0" collapsed="false">
      <c r="A2589" s="4" t="s">
        <v>10261</v>
      </c>
      <c r="B2589" s="4" t="s">
        <v>10413</v>
      </c>
      <c r="C2589" s="4" t="s">
        <v>10414</v>
      </c>
      <c r="D2589" s="4" t="s">
        <v>10362</v>
      </c>
      <c r="E2589" s="5" t="n">
        <v>16884</v>
      </c>
      <c r="F2589" s="4" t="n">
        <v>1</v>
      </c>
      <c r="G2589" s="4" t="s">
        <v>10415</v>
      </c>
      <c r="H2589" s="4" t="n">
        <v>41.52819</v>
      </c>
      <c r="I2589" s="4" t="n">
        <v>-81.58437</v>
      </c>
      <c r="J2589" s="4" t="s">
        <v>10416</v>
      </c>
      <c r="K2589" s="6" t="str">
        <f aca="false">HYPERLINK("https://www.google.com/search?q=East+Cleveland+Public+Library+East+Cleveland+OH+library+website","Search")</f>
        <v>Search</v>
      </c>
      <c r="L2589" s="7"/>
      <c r="M2589" s="7"/>
    </row>
    <row r="2590" customFormat="false" ht="15" hidden="false" customHeight="true" outlineLevel="0" collapsed="false">
      <c r="A2590" s="4" t="s">
        <v>10261</v>
      </c>
      <c r="B2590" s="4" t="s">
        <v>10417</v>
      </c>
      <c r="C2590" s="4" t="s">
        <v>10418</v>
      </c>
      <c r="D2590" s="4" t="s">
        <v>9722</v>
      </c>
      <c r="E2590" s="5" t="n">
        <v>28621</v>
      </c>
      <c r="F2590" s="4" t="n">
        <v>1</v>
      </c>
      <c r="G2590" s="4" t="s">
        <v>10419</v>
      </c>
      <c r="H2590" s="4" t="n">
        <v>41.02551</v>
      </c>
      <c r="I2590" s="4" t="n">
        <v>-81.72823</v>
      </c>
      <c r="J2590" s="4" t="s">
        <v>10420</v>
      </c>
      <c r="K2590" s="6" t="str">
        <f aca="false">HYPERLINK("https://www.google.com/search?q=Ella+M.+Everhard+Public+Library+Wadsworth+OH+library+website","Search")</f>
        <v>Search</v>
      </c>
      <c r="L2590" s="7"/>
      <c r="M2590" s="7"/>
    </row>
    <row r="2591" customFormat="false" ht="15" hidden="false" customHeight="true" outlineLevel="0" collapsed="false">
      <c r="A2591" s="4" t="s">
        <v>10261</v>
      </c>
      <c r="B2591" s="4" t="s">
        <v>10421</v>
      </c>
      <c r="C2591" s="4" t="s">
        <v>10422</v>
      </c>
      <c r="D2591" s="4" t="s">
        <v>10270</v>
      </c>
      <c r="E2591" s="5" t="n">
        <v>62006</v>
      </c>
      <c r="F2591" s="4" t="n">
        <v>4</v>
      </c>
      <c r="G2591" s="4" t="s">
        <v>10423</v>
      </c>
      <c r="H2591" s="4" t="n">
        <v>41.36658</v>
      </c>
      <c r="I2591" s="4" t="n">
        <v>-82.10449</v>
      </c>
      <c r="J2591" s="4" t="s">
        <v>10424</v>
      </c>
      <c r="K2591" s="6" t="str">
        <f aca="false">HYPERLINK("https://www.google.com/search?q=Elyria+Public+Library+Elyria+OH+library+website","Search")</f>
        <v>Search</v>
      </c>
      <c r="L2591" s="7"/>
      <c r="M2591" s="7"/>
    </row>
    <row r="2592" customFormat="false" ht="15" hidden="false" customHeight="true" outlineLevel="0" collapsed="false">
      <c r="A2592" s="4" t="s">
        <v>10261</v>
      </c>
      <c r="B2592" s="4" t="s">
        <v>10425</v>
      </c>
      <c r="C2592" s="4" t="s">
        <v>10426</v>
      </c>
      <c r="D2592" s="4" t="s">
        <v>10362</v>
      </c>
      <c r="E2592" s="5" t="n">
        <v>49708</v>
      </c>
      <c r="F2592" s="4" t="n">
        <v>1</v>
      </c>
      <c r="G2592" s="4" t="s">
        <v>10427</v>
      </c>
      <c r="H2592" s="4" t="n">
        <v>41.59792</v>
      </c>
      <c r="I2592" s="4" t="n">
        <v>-81.52679</v>
      </c>
      <c r="J2592" s="4" t="s">
        <v>10428</v>
      </c>
      <c r="K2592" s="6" t="str">
        <f aca="false">HYPERLINK("https://www.google.com/search?q=Euclid+Public+Library+Euclid+OH+library+website","Search")</f>
        <v>Search</v>
      </c>
      <c r="L2592" s="7"/>
      <c r="M2592" s="7"/>
    </row>
    <row r="2593" customFormat="false" ht="15" hidden="false" customHeight="true" outlineLevel="0" collapsed="false">
      <c r="A2593" s="4" t="s">
        <v>10261</v>
      </c>
      <c r="B2593" s="4" t="s">
        <v>10429</v>
      </c>
      <c r="C2593" s="4" t="s">
        <v>4923</v>
      </c>
      <c r="D2593" s="4" t="s">
        <v>189</v>
      </c>
      <c r="E2593" s="5" t="n">
        <v>103051</v>
      </c>
      <c r="F2593" s="4" t="n">
        <v>5</v>
      </c>
      <c r="G2593" s="4" t="s">
        <v>10430</v>
      </c>
      <c r="H2593" s="4" t="n">
        <v>39.71577</v>
      </c>
      <c r="I2593" s="4" t="n">
        <v>-82.60187</v>
      </c>
      <c r="J2593" s="4" t="s">
        <v>10431</v>
      </c>
      <c r="K2593" s="6" t="str">
        <f aca="false">HYPERLINK("https://www.google.com/search?q=Fairfield+County+District+Library+Lancaster+OH+library+website","Search")</f>
        <v>Search</v>
      </c>
      <c r="L2593" s="7"/>
      <c r="M2593" s="7"/>
    </row>
    <row r="2594" customFormat="false" ht="15" hidden="false" customHeight="true" outlineLevel="0" collapsed="false">
      <c r="A2594" s="4" t="s">
        <v>10261</v>
      </c>
      <c r="B2594" s="4" t="s">
        <v>10432</v>
      </c>
      <c r="C2594" s="4" t="s">
        <v>10433</v>
      </c>
      <c r="D2594" s="4" t="s">
        <v>4339</v>
      </c>
      <c r="E2594" s="5" t="n">
        <v>66478</v>
      </c>
      <c r="F2594" s="4" t="n">
        <v>2</v>
      </c>
      <c r="G2594" s="4" t="s">
        <v>10434</v>
      </c>
      <c r="H2594" s="4" t="n">
        <v>41.0401</v>
      </c>
      <c r="I2594" s="4" t="n">
        <v>-83.65119</v>
      </c>
      <c r="J2594" s="4" t="s">
        <v>10435</v>
      </c>
      <c r="K2594" s="6" t="str">
        <f aca="false">HYPERLINK("https://www.google.com/search?q=Findlay+Hancock+Cnty+Dist+Public+Library+Findlay+OH+library+website","Search")</f>
        <v>Search</v>
      </c>
      <c r="L2594" s="7"/>
      <c r="M2594" s="7"/>
    </row>
    <row r="2595" customFormat="false" ht="15" hidden="false" customHeight="true" outlineLevel="0" collapsed="false">
      <c r="A2595" s="4" t="s">
        <v>10261</v>
      </c>
      <c r="B2595" s="4" t="s">
        <v>5673</v>
      </c>
      <c r="C2595" s="4" t="s">
        <v>384</v>
      </c>
      <c r="D2595" s="4" t="s">
        <v>3012</v>
      </c>
      <c r="E2595" s="5" t="n">
        <v>54450</v>
      </c>
      <c r="F2595" s="4" t="n">
        <v>2</v>
      </c>
      <c r="G2595" s="4" t="s">
        <v>10436</v>
      </c>
      <c r="H2595" s="4" t="n">
        <v>39.55911</v>
      </c>
      <c r="I2595" s="4" t="n">
        <v>-84.30244</v>
      </c>
      <c r="J2595" s="4" t="s">
        <v>10437</v>
      </c>
      <c r="K2595" s="6" t="str">
        <f aca="false">HYPERLINK("https://www.google.com/search?q=Franklin+Public+Library+Franklin+OH+library+website","Search")</f>
        <v>Search</v>
      </c>
      <c r="L2595" s="7"/>
      <c r="M2595" s="7"/>
    </row>
    <row r="2596" customFormat="false" ht="15" hidden="false" customHeight="true" outlineLevel="0" collapsed="false">
      <c r="A2596" s="4" t="s">
        <v>10261</v>
      </c>
      <c r="B2596" s="4" t="s">
        <v>10438</v>
      </c>
      <c r="C2596" s="4" t="s">
        <v>10439</v>
      </c>
      <c r="D2596" s="4" t="s">
        <v>516</v>
      </c>
      <c r="E2596" s="5" t="n">
        <v>10464</v>
      </c>
      <c r="F2596" s="4" t="n">
        <v>1</v>
      </c>
      <c r="G2596" s="4" t="s">
        <v>10440</v>
      </c>
      <c r="H2596" s="4" t="n">
        <v>40.73486</v>
      </c>
      <c r="I2596" s="4" t="n">
        <v>-82.78944</v>
      </c>
      <c r="J2596" s="4" t="s">
        <v>10441</v>
      </c>
      <c r="K2596" s="6" t="str">
        <f aca="false">HYPERLINK("https://www.google.com/search?q=Galion+Public+Library+Association+Galion+OH+library+website","Search")</f>
        <v>Search</v>
      </c>
      <c r="L2596" s="7"/>
      <c r="M2596" s="7"/>
    </row>
    <row r="2597" customFormat="false" ht="15" hidden="false" customHeight="true" outlineLevel="0" collapsed="false">
      <c r="A2597" s="4" t="s">
        <v>10261</v>
      </c>
      <c r="B2597" s="4" t="s">
        <v>10442</v>
      </c>
      <c r="C2597" s="4" t="s">
        <v>3147</v>
      </c>
      <c r="D2597" s="4" t="s">
        <v>415</v>
      </c>
      <c r="E2597" s="5" t="n">
        <v>27088</v>
      </c>
      <c r="F2597" s="4" t="n">
        <v>4</v>
      </c>
      <c r="G2597" s="4" t="s">
        <v>10443</v>
      </c>
      <c r="H2597" s="4" t="n">
        <v>39.12722</v>
      </c>
      <c r="I2597" s="4" t="n">
        <v>-82.98577</v>
      </c>
      <c r="J2597" s="4" t="s">
        <v>10444</v>
      </c>
      <c r="K2597" s="6" t="str">
        <f aca="false">HYPERLINK("https://www.google.com/search?q=Garnet+A.+Wilson+Pl+Of+Pike+Co+Waverly+OH+library+website","Search")</f>
        <v>Search</v>
      </c>
      <c r="L2597" s="7"/>
      <c r="M2597" s="7"/>
    </row>
    <row r="2598" customFormat="false" ht="15" hidden="false" customHeight="true" outlineLevel="0" collapsed="false">
      <c r="A2598" s="4" t="s">
        <v>10261</v>
      </c>
      <c r="B2598" s="4" t="s">
        <v>10445</v>
      </c>
      <c r="C2598" s="4" t="s">
        <v>10446</v>
      </c>
      <c r="D2598" s="4" t="s">
        <v>10447</v>
      </c>
      <c r="E2598" s="5" t="n">
        <v>85791</v>
      </c>
      <c r="F2598" s="4" t="n">
        <v>7</v>
      </c>
      <c r="G2598" s="4" t="s">
        <v>10448</v>
      </c>
      <c r="H2598" s="4" t="n">
        <v>41.50899</v>
      </c>
      <c r="I2598" s="4" t="n">
        <v>-81.18311</v>
      </c>
      <c r="J2598" s="4" t="s">
        <v>10449</v>
      </c>
      <c r="K2598" s="6" t="str">
        <f aca="false">HYPERLINK("https://www.google.com/search?q=Geauga+County+Public+Library+Chardon+OH+library+website","Search")</f>
        <v>Search</v>
      </c>
      <c r="L2598" s="7"/>
      <c r="M2598" s="7"/>
    </row>
    <row r="2599" customFormat="false" ht="15" hidden="false" customHeight="true" outlineLevel="0" collapsed="false">
      <c r="A2599" s="4" t="s">
        <v>10261</v>
      </c>
      <c r="B2599" s="4" t="s">
        <v>10450</v>
      </c>
      <c r="C2599" s="4" t="s">
        <v>10451</v>
      </c>
      <c r="D2599" s="4" t="s">
        <v>315</v>
      </c>
      <c r="E2599" s="5" t="n">
        <v>10975</v>
      </c>
      <c r="F2599" s="4" t="n">
        <v>1</v>
      </c>
      <c r="G2599" s="4" t="s">
        <v>10452</v>
      </c>
      <c r="H2599" s="4" t="n">
        <v>39.62582</v>
      </c>
      <c r="I2599" s="4" t="n">
        <v>-84.37195</v>
      </c>
      <c r="J2599" s="4" t="s">
        <v>10453</v>
      </c>
      <c r="K2599" s="6" t="str">
        <f aca="false">HYPERLINK("https://www.google.com/search?q=Germantown+Public+Library+Germantown+OH+library+website","Search")</f>
        <v>Search</v>
      </c>
      <c r="L2599" s="7"/>
      <c r="M2599" s="7"/>
    </row>
    <row r="2600" customFormat="false" ht="15" hidden="false" customHeight="true" outlineLevel="0" collapsed="false">
      <c r="A2600" s="4" t="s">
        <v>10261</v>
      </c>
      <c r="B2600" s="4" t="s">
        <v>10454</v>
      </c>
      <c r="C2600" s="4" t="s">
        <v>10455</v>
      </c>
      <c r="D2600" s="4" t="s">
        <v>2146</v>
      </c>
      <c r="E2600" s="5" t="n">
        <v>10679</v>
      </c>
      <c r="F2600" s="4" t="n">
        <v>1</v>
      </c>
      <c r="G2600" s="4" t="s">
        <v>10456</v>
      </c>
      <c r="H2600" s="4" t="n">
        <v>41.15784</v>
      </c>
      <c r="I2600" s="4" t="n">
        <v>-80.70022</v>
      </c>
      <c r="J2600" s="4" t="s">
        <v>10457</v>
      </c>
      <c r="K2600" s="6" t="str">
        <f aca="false">HYPERLINK("https://www.google.com/search?q=Girard+Free+Library+Girard+OH+library+website","Search")</f>
        <v>Search</v>
      </c>
      <c r="L2600" s="7"/>
      <c r="M2600" s="7"/>
    </row>
    <row r="2601" customFormat="false" ht="15" hidden="false" customHeight="true" outlineLevel="0" collapsed="false">
      <c r="A2601" s="4" t="s">
        <v>10261</v>
      </c>
      <c r="B2601" s="4" t="s">
        <v>10458</v>
      </c>
      <c r="C2601" s="4" t="s">
        <v>5692</v>
      </c>
      <c r="D2601" s="4" t="s">
        <v>10270</v>
      </c>
      <c r="E2601" s="5" t="n">
        <v>23668</v>
      </c>
      <c r="F2601" s="4" t="n">
        <v>1</v>
      </c>
      <c r="G2601" s="4" t="s">
        <v>10459</v>
      </c>
      <c r="H2601" s="4" t="n">
        <v>41.27289</v>
      </c>
      <c r="I2601" s="4" t="n">
        <v>-82.05515</v>
      </c>
      <c r="J2601" s="4" t="s">
        <v>10460</v>
      </c>
      <c r="K2601" s="6" t="str">
        <f aca="false">HYPERLINK("https://www.google.com/search?q=Grafton%2FMidview+Public+Library+Grafton+OH+library+website","Search")</f>
        <v>Search</v>
      </c>
      <c r="L2601" s="7"/>
      <c r="M2601" s="7"/>
    </row>
    <row r="2602" customFormat="false" ht="15" hidden="false" customHeight="true" outlineLevel="0" collapsed="false">
      <c r="A2602" s="4" t="s">
        <v>10261</v>
      </c>
      <c r="B2602" s="4" t="s">
        <v>10461</v>
      </c>
      <c r="C2602" s="4" t="s">
        <v>10462</v>
      </c>
      <c r="D2602" s="4" t="s">
        <v>10276</v>
      </c>
      <c r="E2602" s="5" t="n">
        <v>10060</v>
      </c>
      <c r="F2602" s="4" t="n">
        <v>1</v>
      </c>
      <c r="G2602" s="4" t="s">
        <v>10463</v>
      </c>
      <c r="H2602" s="4" t="n">
        <v>41.53529</v>
      </c>
      <c r="I2602" s="4" t="n">
        <v>-80.86633</v>
      </c>
      <c r="J2602" s="4" t="s">
        <v>10464</v>
      </c>
      <c r="K2602" s="6" t="str">
        <f aca="false">HYPERLINK("https://www.google.com/search?q=Grand+Valley+Public+Library+Orwell+OH+library+website","Search")</f>
        <v>Search</v>
      </c>
      <c r="L2602" s="7"/>
      <c r="M2602" s="7"/>
    </row>
    <row r="2603" customFormat="false" ht="15" hidden="false" customHeight="true" outlineLevel="0" collapsed="false">
      <c r="A2603" s="4" t="s">
        <v>10261</v>
      </c>
      <c r="B2603" s="4" t="s">
        <v>10465</v>
      </c>
      <c r="C2603" s="4" t="s">
        <v>8011</v>
      </c>
      <c r="D2603" s="4" t="s">
        <v>10466</v>
      </c>
      <c r="E2603" s="5" t="n">
        <v>14524</v>
      </c>
      <c r="F2603" s="4" t="n">
        <v>1</v>
      </c>
      <c r="G2603" s="4" t="s">
        <v>10467</v>
      </c>
      <c r="H2603" s="4" t="n">
        <v>40.06781</v>
      </c>
      <c r="I2603" s="4" t="n">
        <v>-82.51799</v>
      </c>
      <c r="J2603" s="4" t="s">
        <v>10468</v>
      </c>
      <c r="K2603" s="6" t="str">
        <f aca="false">HYPERLINK("https://www.google.com/search?q=Granville+Public+Library+Granville+OH+library+website","Search")</f>
        <v>Search</v>
      </c>
      <c r="L2603" s="7"/>
      <c r="M2603" s="7"/>
    </row>
    <row r="2604" customFormat="false" ht="15" hidden="false" customHeight="true" outlineLevel="0" collapsed="false">
      <c r="A2604" s="4" t="s">
        <v>10261</v>
      </c>
      <c r="B2604" s="4" t="s">
        <v>10469</v>
      </c>
      <c r="C2604" s="4" t="s">
        <v>10470</v>
      </c>
      <c r="D2604" s="4" t="s">
        <v>591</v>
      </c>
      <c r="E2604" s="5" t="n">
        <v>167966</v>
      </c>
      <c r="F2604" s="4" t="n">
        <v>7</v>
      </c>
      <c r="G2604" s="4" t="s">
        <v>10471</v>
      </c>
      <c r="H2604" s="4" t="n">
        <v>39.68632</v>
      </c>
      <c r="I2604" s="4" t="n">
        <v>-83.92874</v>
      </c>
      <c r="J2604" s="4" t="s">
        <v>10472</v>
      </c>
      <c r="K2604" s="6" t="str">
        <f aca="false">HYPERLINK("https://www.google.com/search?q=Greene+County+Public+Library+Xenia+OH+library+website","Search")</f>
        <v>Search</v>
      </c>
      <c r="L2604" s="7"/>
      <c r="M2604" s="7"/>
    </row>
    <row r="2605" customFormat="false" ht="15" hidden="false" customHeight="true" outlineLevel="0" collapsed="false">
      <c r="A2605" s="4" t="s">
        <v>10261</v>
      </c>
      <c r="B2605" s="4" t="s">
        <v>10473</v>
      </c>
      <c r="C2605" s="4" t="s">
        <v>224</v>
      </c>
      <c r="D2605" s="4" t="s">
        <v>10474</v>
      </c>
      <c r="E2605" s="5" t="n">
        <v>21834</v>
      </c>
      <c r="F2605" s="4" t="n">
        <v>1</v>
      </c>
      <c r="G2605" s="4" t="s">
        <v>10475</v>
      </c>
      <c r="H2605" s="4" t="n">
        <v>40.0995</v>
      </c>
      <c r="I2605" s="4" t="n">
        <v>-84.63237</v>
      </c>
      <c r="J2605" s="4" t="s">
        <v>10476</v>
      </c>
      <c r="K2605" s="6" t="str">
        <f aca="false">HYPERLINK("https://www.google.com/search?q=Greenville+Public+Library+Greenville+OH+library+website","Search")</f>
        <v>Search</v>
      </c>
      <c r="L2605" s="7"/>
      <c r="M2605" s="7"/>
    </row>
    <row r="2606" customFormat="false" ht="15" hidden="false" customHeight="true" outlineLevel="0" collapsed="false">
      <c r="A2606" s="4" t="s">
        <v>10261</v>
      </c>
      <c r="B2606" s="4" t="s">
        <v>10477</v>
      </c>
      <c r="C2606" s="4" t="s">
        <v>5584</v>
      </c>
      <c r="D2606" s="4" t="s">
        <v>10478</v>
      </c>
      <c r="E2606" s="5" t="n">
        <v>38438</v>
      </c>
      <c r="F2606" s="4" t="n">
        <v>3</v>
      </c>
      <c r="G2606" s="4" t="s">
        <v>10479</v>
      </c>
      <c r="H2606" s="4" t="n">
        <v>40.0261</v>
      </c>
      <c r="I2606" s="4" t="n">
        <v>-81.58992</v>
      </c>
      <c r="J2606" s="4" t="s">
        <v>10480</v>
      </c>
      <c r="K2606" s="6" t="str">
        <f aca="false">HYPERLINK("https://www.google.com/search?q=Guernsey+County+District+Public+Library+Cambridge+OH+library+website","Search")</f>
        <v>Search</v>
      </c>
      <c r="L2606" s="7"/>
      <c r="M2606" s="7"/>
    </row>
    <row r="2607" customFormat="false" ht="15" hidden="false" customHeight="true" outlineLevel="0" collapsed="false">
      <c r="A2607" s="4" t="s">
        <v>10261</v>
      </c>
      <c r="B2607" s="4" t="s">
        <v>10481</v>
      </c>
      <c r="C2607" s="4" t="s">
        <v>302</v>
      </c>
      <c r="D2607" s="4" t="s">
        <v>4001</v>
      </c>
      <c r="E2607" s="5" t="n">
        <v>11400</v>
      </c>
      <c r="F2607" s="4" t="n">
        <v>2</v>
      </c>
      <c r="G2607" s="4" t="s">
        <v>10482</v>
      </c>
      <c r="H2607" s="4" t="n">
        <v>41.47505</v>
      </c>
      <c r="I2607" s="4" t="n">
        <v>-83.29374</v>
      </c>
      <c r="J2607" s="4" t="s">
        <v>10483</v>
      </c>
      <c r="K2607" s="6" t="str">
        <f aca="false">HYPERLINK("https://www.google.com/search?q=Harris-Elmore+Public+Library+Elmore+OH+library+website","Search")</f>
        <v>Search</v>
      </c>
      <c r="L2607" s="7"/>
      <c r="M2607" s="7"/>
    </row>
    <row r="2608" customFormat="false" ht="15" hidden="false" customHeight="true" outlineLevel="0" collapsed="false">
      <c r="A2608" s="4" t="s">
        <v>10261</v>
      </c>
      <c r="B2608" s="4" t="s">
        <v>10484</v>
      </c>
      <c r="C2608" s="4" t="s">
        <v>10485</v>
      </c>
      <c r="D2608" s="4" t="s">
        <v>10486</v>
      </c>
      <c r="E2608" s="5" t="n">
        <v>12800</v>
      </c>
      <c r="F2608" s="4" t="n">
        <v>1</v>
      </c>
      <c r="G2608" s="4" t="s">
        <v>10487</v>
      </c>
      <c r="H2608" s="4" t="n">
        <v>39.24673</v>
      </c>
      <c r="I2608" s="4" t="n">
        <v>-82.47885</v>
      </c>
      <c r="J2608" s="4" t="s">
        <v>10488</v>
      </c>
      <c r="K2608" s="6" t="str">
        <f aca="false">HYPERLINK("https://www.google.com/search?q=Herbert+Wescoat+Memorial+Library+Mcarthur+OH+library+website","Search")</f>
        <v>Search</v>
      </c>
      <c r="L2608" s="7"/>
      <c r="M2608" s="7"/>
    </row>
    <row r="2609" customFormat="false" ht="15" hidden="false" customHeight="true" outlineLevel="0" collapsed="false">
      <c r="A2609" s="4" t="s">
        <v>10261</v>
      </c>
      <c r="B2609" s="4" t="s">
        <v>10489</v>
      </c>
      <c r="C2609" s="4" t="s">
        <v>3687</v>
      </c>
      <c r="D2609" s="4" t="s">
        <v>6735</v>
      </c>
      <c r="E2609" s="5" t="n">
        <v>42139</v>
      </c>
      <c r="F2609" s="4" t="n">
        <v>5</v>
      </c>
      <c r="G2609" s="4" t="s">
        <v>10490</v>
      </c>
      <c r="H2609" s="4" t="n">
        <v>39.20365</v>
      </c>
      <c r="I2609" s="4" t="n">
        <v>-83.62067</v>
      </c>
      <c r="J2609" s="4" t="s">
        <v>10491</v>
      </c>
      <c r="K2609" s="6" t="str">
        <f aca="false">HYPERLINK("https://www.google.com/search?q=Highland+County+District+Library+Hillsboro+OH+library+website","Search")</f>
        <v>Search</v>
      </c>
      <c r="L2609" s="7"/>
      <c r="M2609" s="7"/>
    </row>
    <row r="2610" customFormat="false" ht="15" hidden="false" customHeight="true" outlineLevel="0" collapsed="false">
      <c r="A2610" s="4" t="s">
        <v>10261</v>
      </c>
      <c r="B2610" s="4" t="s">
        <v>10492</v>
      </c>
      <c r="C2610" s="4" t="s">
        <v>10493</v>
      </c>
      <c r="D2610" s="4" t="s">
        <v>10494</v>
      </c>
      <c r="E2610" s="5" t="n">
        <v>44677</v>
      </c>
      <c r="F2610" s="4" t="n">
        <v>2</v>
      </c>
      <c r="G2610" s="4" t="s">
        <v>10495</v>
      </c>
      <c r="H2610" s="4" t="n">
        <v>40.54533</v>
      </c>
      <c r="I2610" s="4" t="n">
        <v>-81.91086</v>
      </c>
      <c r="J2610" s="4" t="s">
        <v>10496</v>
      </c>
      <c r="K2610" s="6" t="str">
        <f aca="false">HYPERLINK("https://www.google.com/search?q=Holmes+County+District+Public+Library+Millersburg+OH+library+website","Search")</f>
        <v>Search</v>
      </c>
      <c r="L2610" s="7"/>
      <c r="M2610" s="7"/>
    </row>
    <row r="2611" customFormat="false" ht="15" hidden="false" customHeight="true" outlineLevel="0" collapsed="false">
      <c r="A2611" s="4" t="s">
        <v>10261</v>
      </c>
      <c r="B2611" s="4" t="s">
        <v>10497</v>
      </c>
      <c r="C2611" s="4" t="s">
        <v>10498</v>
      </c>
      <c r="D2611" s="4" t="s">
        <v>2146</v>
      </c>
      <c r="E2611" s="5" t="n">
        <v>13022</v>
      </c>
      <c r="F2611" s="4" t="n">
        <v>1</v>
      </c>
      <c r="G2611" s="4" t="s">
        <v>10499</v>
      </c>
      <c r="H2611" s="4" t="n">
        <v>41.15642</v>
      </c>
      <c r="I2611" s="4" t="n">
        <v>-80.57729</v>
      </c>
      <c r="J2611" s="4" t="s">
        <v>10500</v>
      </c>
      <c r="K2611" s="6" t="str">
        <f aca="false">HYPERLINK("https://www.google.com/search?q=Hubbard+Public+Library+Hubbard+OH+library+website","Search")</f>
        <v>Search</v>
      </c>
      <c r="L2611" s="7"/>
      <c r="M2611" s="7"/>
    </row>
    <row r="2612" customFormat="false" ht="15" hidden="false" customHeight="true" outlineLevel="0" collapsed="false">
      <c r="A2612" s="4" t="s">
        <v>10261</v>
      </c>
      <c r="B2612" s="4" t="s">
        <v>10501</v>
      </c>
      <c r="C2612" s="4" t="s">
        <v>2513</v>
      </c>
      <c r="D2612" s="4" t="s">
        <v>1768</v>
      </c>
      <c r="E2612" s="5" t="n">
        <v>25377</v>
      </c>
      <c r="F2612" s="4" t="n">
        <v>1</v>
      </c>
      <c r="G2612" s="4" t="s">
        <v>10502</v>
      </c>
      <c r="H2612" s="4" t="n">
        <v>41.24159</v>
      </c>
      <c r="I2612" s="4" t="n">
        <v>-81.44305</v>
      </c>
      <c r="J2612" s="4" t="s">
        <v>10503</v>
      </c>
      <c r="K2612" s="6" t="str">
        <f aca="false">HYPERLINK("https://www.google.com/search?q=Hudson+Library+And+Historical+Society+Hudson+OH+library+website","Search")</f>
        <v>Search</v>
      </c>
      <c r="L2612" s="7"/>
      <c r="M2612" s="7"/>
    </row>
    <row r="2613" customFormat="false" ht="15" hidden="false" customHeight="true" outlineLevel="0" collapsed="false">
      <c r="A2613" s="4" t="s">
        <v>10261</v>
      </c>
      <c r="B2613" s="4" t="s">
        <v>10504</v>
      </c>
      <c r="C2613" s="4" t="s">
        <v>10505</v>
      </c>
      <c r="D2613" s="4" t="s">
        <v>10300</v>
      </c>
      <c r="E2613" s="5" t="n">
        <v>22945</v>
      </c>
      <c r="F2613" s="4" t="n">
        <v>4</v>
      </c>
      <c r="G2613" s="4" t="s">
        <v>10506</v>
      </c>
      <c r="H2613" s="4" t="n">
        <v>41.05518</v>
      </c>
      <c r="I2613" s="4" t="n">
        <v>-82.72639</v>
      </c>
      <c r="J2613" s="4" t="s">
        <v>10507</v>
      </c>
      <c r="K2613" s="6" t="str">
        <f aca="false">HYPERLINK("https://www.google.com/search?q=Huron+County+Community+Library+Willard+OH+library+website","Search")</f>
        <v>Search</v>
      </c>
      <c r="L2613" s="7"/>
      <c r="M2613" s="7"/>
    </row>
    <row r="2614" customFormat="false" ht="15" hidden="false" customHeight="true" outlineLevel="0" collapsed="false">
      <c r="A2614" s="4" t="s">
        <v>10261</v>
      </c>
      <c r="B2614" s="4" t="s">
        <v>10508</v>
      </c>
      <c r="C2614" s="4" t="s">
        <v>10300</v>
      </c>
      <c r="D2614" s="4" t="s">
        <v>9253</v>
      </c>
      <c r="E2614" s="5" t="n">
        <v>10548</v>
      </c>
      <c r="F2614" s="4" t="n">
        <v>1</v>
      </c>
      <c r="G2614" s="4" t="s">
        <v>10509</v>
      </c>
      <c r="H2614" s="4" t="n">
        <v>41.39442</v>
      </c>
      <c r="I2614" s="4" t="n">
        <v>-82.55617</v>
      </c>
      <c r="J2614" s="4" t="s">
        <v>10510</v>
      </c>
      <c r="K2614" s="6" t="str">
        <f aca="false">HYPERLINK("https://www.google.com/search?q=Huron+Public+Library+Huron+OH+library+website","Search")</f>
        <v>Search</v>
      </c>
      <c r="L2614" s="7"/>
      <c r="M2614" s="7"/>
    </row>
    <row r="2615" customFormat="false" ht="15" hidden="false" customHeight="true" outlineLevel="0" collapsed="false">
      <c r="A2615" s="4" t="s">
        <v>10261</v>
      </c>
      <c r="B2615" s="4" t="s">
        <v>10511</v>
      </c>
      <c r="C2615" s="4" t="s">
        <v>10512</v>
      </c>
      <c r="D2615" s="4" t="s">
        <v>4001</v>
      </c>
      <c r="E2615" s="5" t="n">
        <v>18955</v>
      </c>
      <c r="F2615" s="4" t="n">
        <v>3</v>
      </c>
      <c r="G2615" s="4" t="s">
        <v>10513</v>
      </c>
      <c r="H2615" s="4" t="n">
        <v>41.50999</v>
      </c>
      <c r="I2615" s="4" t="n">
        <v>-82.94114</v>
      </c>
      <c r="J2615" s="4" t="s">
        <v>10514</v>
      </c>
      <c r="K2615" s="6" t="str">
        <f aca="false">HYPERLINK("https://www.google.com/search?q=Ida+Rupp+Public+Library+Port+Clinton+OH+library+website","Search")</f>
        <v>Search</v>
      </c>
      <c r="L2615" s="7"/>
      <c r="M2615" s="7"/>
    </row>
    <row r="2616" customFormat="false" ht="15" hidden="false" customHeight="true" outlineLevel="0" collapsed="false">
      <c r="A2616" s="4" t="s">
        <v>10261</v>
      </c>
      <c r="B2616" s="4" t="s">
        <v>10515</v>
      </c>
      <c r="C2616" s="4" t="s">
        <v>389</v>
      </c>
      <c r="D2616" s="4" t="s">
        <v>389</v>
      </c>
      <c r="E2616" s="5" t="n">
        <v>16053</v>
      </c>
      <c r="F2616" s="4" t="n">
        <v>1</v>
      </c>
      <c r="G2616" s="4" t="s">
        <v>10516</v>
      </c>
      <c r="H2616" s="4" t="n">
        <v>39.04887</v>
      </c>
      <c r="I2616" s="4" t="n">
        <v>-82.64087</v>
      </c>
      <c r="J2616" s="4" t="s">
        <v>10517</v>
      </c>
      <c r="K2616" s="6" t="str">
        <f aca="false">HYPERLINK("https://www.google.com/search?q=Jackson+City+Library+Jackson+OH+library+website","Search")</f>
        <v>Search</v>
      </c>
      <c r="L2616" s="7"/>
      <c r="M2616" s="7"/>
    </row>
    <row r="2617" customFormat="false" ht="15" hidden="false" customHeight="true" outlineLevel="0" collapsed="false">
      <c r="A2617" s="4" t="s">
        <v>10261</v>
      </c>
      <c r="B2617" s="4" t="s">
        <v>10518</v>
      </c>
      <c r="C2617" s="4" t="s">
        <v>10519</v>
      </c>
      <c r="D2617" s="4" t="s">
        <v>156</v>
      </c>
      <c r="E2617" s="5" t="n">
        <v>13802</v>
      </c>
      <c r="F2617" s="4" t="n">
        <v>2</v>
      </c>
      <c r="G2617" s="4" t="s">
        <v>10520</v>
      </c>
      <c r="H2617" s="4" t="n">
        <v>39.64854</v>
      </c>
      <c r="I2617" s="4" t="n">
        <v>-81.84876</v>
      </c>
      <c r="J2617" s="4" t="s">
        <v>10521</v>
      </c>
      <c r="K2617" s="6" t="str">
        <f aca="false">HYPERLINK("https://www.google.com/search?q=Kate+Love+Simpson-Morgan+County+Library+Mcconnelsville+OH+library+website","Search")</f>
        <v>Search</v>
      </c>
      <c r="L2617" s="7"/>
      <c r="M2617" s="7"/>
    </row>
    <row r="2618" customFormat="false" ht="15" hidden="false" customHeight="true" outlineLevel="0" collapsed="false">
      <c r="A2618" s="4" t="s">
        <v>10261</v>
      </c>
      <c r="B2618" s="4" t="s">
        <v>10522</v>
      </c>
      <c r="C2618" s="4" t="s">
        <v>10523</v>
      </c>
      <c r="D2618" s="4" t="s">
        <v>10524</v>
      </c>
      <c r="E2618" s="5" t="n">
        <v>13046</v>
      </c>
      <c r="F2618" s="4" t="n">
        <v>1</v>
      </c>
      <c r="G2618" s="4" t="s">
        <v>10525</v>
      </c>
      <c r="H2618" s="4" t="n">
        <v>41.16116</v>
      </c>
      <c r="I2618" s="4" t="n">
        <v>-83.41595</v>
      </c>
      <c r="J2618" s="4" t="s">
        <v>10526</v>
      </c>
      <c r="K2618" s="6" t="str">
        <f aca="false">HYPERLINK("https://www.google.com/search?q=Kaubisch+Memorial+Public+Library+Fostoria+OH+library+website","Search")</f>
        <v>Search</v>
      </c>
      <c r="L2618" s="7"/>
      <c r="M2618" s="7"/>
    </row>
    <row r="2619" customFormat="false" ht="15" hidden="false" customHeight="true" outlineLevel="0" collapsed="false">
      <c r="A2619" s="4" t="s">
        <v>10261</v>
      </c>
      <c r="B2619" s="4" t="s">
        <v>10527</v>
      </c>
      <c r="C2619" s="4" t="s">
        <v>2230</v>
      </c>
      <c r="D2619" s="4" t="s">
        <v>6931</v>
      </c>
      <c r="E2619" s="5" t="n">
        <v>33725</v>
      </c>
      <c r="F2619" s="4" t="n">
        <v>1</v>
      </c>
      <c r="G2619" s="4" t="s">
        <v>10528</v>
      </c>
      <c r="H2619" s="4" t="n">
        <v>41.15374</v>
      </c>
      <c r="I2619" s="4" t="n">
        <v>-81.36092</v>
      </c>
      <c r="J2619" s="4" t="s">
        <v>10529</v>
      </c>
      <c r="K2619" s="6" t="str">
        <f aca="false">HYPERLINK("https://www.google.com/search?q=Kent+Free+Library+Kent+OH+library+website","Search")</f>
        <v>Search</v>
      </c>
      <c r="L2619" s="7"/>
      <c r="M2619" s="7"/>
    </row>
    <row r="2620" customFormat="false" ht="15" hidden="false" customHeight="true" outlineLevel="0" collapsed="false">
      <c r="A2620" s="4" t="s">
        <v>10261</v>
      </c>
      <c r="B2620" s="4" t="s">
        <v>10530</v>
      </c>
      <c r="C2620" s="4" t="s">
        <v>1678</v>
      </c>
      <c r="D2620" s="4" t="s">
        <v>10362</v>
      </c>
      <c r="E2620" s="5" t="n">
        <v>50852</v>
      </c>
      <c r="F2620" s="4" t="n">
        <v>2</v>
      </c>
      <c r="G2620" s="4" t="s">
        <v>10531</v>
      </c>
      <c r="H2620" s="4" t="n">
        <v>41.48504</v>
      </c>
      <c r="I2620" s="4" t="n">
        <v>-81.80425</v>
      </c>
      <c r="J2620" s="4" t="s">
        <v>10532</v>
      </c>
      <c r="K2620" s="6" t="str">
        <f aca="false">HYPERLINK("https://www.google.com/search?q=Lakewood+Public+Library+Lakewood+OH+library+website","Search")</f>
        <v>Search</v>
      </c>
      <c r="L2620" s="7"/>
      <c r="M2620" s="7"/>
    </row>
    <row r="2621" customFormat="false" ht="15" hidden="false" customHeight="true" outlineLevel="0" collapsed="false">
      <c r="A2621" s="4" t="s">
        <v>10261</v>
      </c>
      <c r="B2621" s="4" t="s">
        <v>10533</v>
      </c>
      <c r="C2621" s="4" t="s">
        <v>3025</v>
      </c>
      <c r="D2621" s="4" t="s">
        <v>138</v>
      </c>
      <c r="E2621" s="5" t="n">
        <v>191234</v>
      </c>
      <c r="F2621" s="4" t="n">
        <v>3</v>
      </c>
      <c r="G2621" s="4" t="s">
        <v>10534</v>
      </c>
      <c r="H2621" s="4" t="n">
        <v>39.40289</v>
      </c>
      <c r="I2621" s="4" t="n">
        <v>-84.55855</v>
      </c>
      <c r="J2621" s="4" t="s">
        <v>10535</v>
      </c>
      <c r="K2621" s="6" t="str">
        <f aca="false">HYPERLINK("https://www.google.com/search?q=Lane+Public+Library+Hamilton+OH+library+website","Search")</f>
        <v>Search</v>
      </c>
      <c r="L2621" s="7"/>
      <c r="M2621" s="7"/>
    </row>
    <row r="2622" customFormat="false" ht="15" hidden="false" customHeight="true" outlineLevel="0" collapsed="false">
      <c r="A2622" s="4" t="s">
        <v>10261</v>
      </c>
      <c r="B2622" s="4" t="s">
        <v>4458</v>
      </c>
      <c r="C2622" s="4" t="s">
        <v>4459</v>
      </c>
      <c r="D2622" s="4" t="s">
        <v>3012</v>
      </c>
      <c r="E2622" s="5" t="n">
        <v>44127</v>
      </c>
      <c r="F2622" s="4" t="n">
        <v>1</v>
      </c>
      <c r="G2622" s="4" t="s">
        <v>10536</v>
      </c>
      <c r="H2622" s="4" t="n">
        <v>39.43309</v>
      </c>
      <c r="I2622" s="4" t="n">
        <v>-84.20845</v>
      </c>
      <c r="J2622" s="4" t="s">
        <v>10537</v>
      </c>
      <c r="K2622" s="6" t="str">
        <f aca="false">HYPERLINK("https://www.google.com/search?q=Lebanon+Public+Library+Lebanon+OH+library+website","Search")</f>
        <v>Search</v>
      </c>
      <c r="L2622" s="7"/>
      <c r="M2622" s="7"/>
    </row>
    <row r="2623" customFormat="false" ht="15" hidden="false" customHeight="true" outlineLevel="0" collapsed="false">
      <c r="A2623" s="4" t="s">
        <v>10261</v>
      </c>
      <c r="B2623" s="4" t="s">
        <v>10538</v>
      </c>
      <c r="C2623" s="4" t="s">
        <v>10539</v>
      </c>
      <c r="D2623" s="4" t="s">
        <v>232</v>
      </c>
      <c r="E2623" s="5" t="n">
        <v>57268</v>
      </c>
      <c r="F2623" s="4" t="n">
        <v>1</v>
      </c>
      <c r="G2623" s="4" t="s">
        <v>10540</v>
      </c>
      <c r="H2623" s="4" t="n">
        <v>40.77218</v>
      </c>
      <c r="I2623" s="4" t="n">
        <v>-80.76428</v>
      </c>
      <c r="J2623" s="4" t="s">
        <v>10541</v>
      </c>
      <c r="K2623" s="6" t="str">
        <f aca="false">HYPERLINK("https://www.google.com/search?q=Lepper+Library+Lisbon+OH+library+website","Search")</f>
        <v>Search</v>
      </c>
      <c r="L2623" s="7"/>
      <c r="M2623" s="7"/>
    </row>
    <row r="2624" customFormat="false" ht="15" hidden="false" customHeight="true" outlineLevel="0" collapsed="false">
      <c r="A2624" s="4" t="s">
        <v>10261</v>
      </c>
      <c r="B2624" s="4" t="s">
        <v>10542</v>
      </c>
      <c r="C2624" s="4" t="s">
        <v>8802</v>
      </c>
      <c r="D2624" s="4" t="s">
        <v>10466</v>
      </c>
      <c r="E2624" s="5" t="n">
        <v>118136</v>
      </c>
      <c r="F2624" s="4" t="n">
        <v>6</v>
      </c>
      <c r="G2624" s="4" t="s">
        <v>10543</v>
      </c>
      <c r="H2624" s="4" t="n">
        <v>40.05669</v>
      </c>
      <c r="I2624" s="4" t="n">
        <v>-82.40617</v>
      </c>
      <c r="J2624" s="4" t="s">
        <v>10544</v>
      </c>
      <c r="K2624" s="6" t="str">
        <f aca="false">HYPERLINK("https://www.google.com/search?q=Licking+County+Library+Newark+OH+library+website","Search")</f>
        <v>Search</v>
      </c>
      <c r="L2624" s="7"/>
      <c r="M2624" s="7"/>
    </row>
    <row r="2625" customFormat="false" ht="15" hidden="false" customHeight="true" outlineLevel="0" collapsed="false">
      <c r="A2625" s="4" t="s">
        <v>10261</v>
      </c>
      <c r="B2625" s="4" t="s">
        <v>10545</v>
      </c>
      <c r="C2625" s="4" t="s">
        <v>10546</v>
      </c>
      <c r="D2625" s="4" t="s">
        <v>4246</v>
      </c>
      <c r="E2625" s="5" t="n">
        <v>90173</v>
      </c>
      <c r="F2625" s="4" t="n">
        <v>6</v>
      </c>
      <c r="G2625" s="4" t="s">
        <v>10547</v>
      </c>
      <c r="H2625" s="4" t="n">
        <v>40.74003</v>
      </c>
      <c r="I2625" s="4" t="n">
        <v>-84.11518</v>
      </c>
      <c r="J2625" s="4" t="s">
        <v>10548</v>
      </c>
      <c r="K2625" s="6" t="str">
        <f aca="false">HYPERLINK("https://www.google.com/search?q=Lima+Public+Library+Lima+OH+library+website","Search")</f>
        <v>Search</v>
      </c>
      <c r="L2625" s="7"/>
      <c r="M2625" s="7"/>
    </row>
    <row r="2626" customFormat="false" ht="15" hidden="false" customHeight="true" outlineLevel="0" collapsed="false">
      <c r="A2626" s="4" t="s">
        <v>10261</v>
      </c>
      <c r="B2626" s="4" t="s">
        <v>10549</v>
      </c>
      <c r="C2626" s="4" t="s">
        <v>10550</v>
      </c>
      <c r="D2626" s="4" t="s">
        <v>1763</v>
      </c>
      <c r="E2626" s="5" t="n">
        <v>31399</v>
      </c>
      <c r="F2626" s="4" t="n">
        <v>6</v>
      </c>
      <c r="G2626" s="4" t="s">
        <v>10551</v>
      </c>
      <c r="H2626" s="4" t="n">
        <v>40.36358</v>
      </c>
      <c r="I2626" s="4" t="n">
        <v>-83.75943</v>
      </c>
      <c r="J2626" s="4" t="s">
        <v>10552</v>
      </c>
      <c r="K2626" s="6" t="str">
        <f aca="false">HYPERLINK("https://www.google.com/search?q=Logan+County+District+Library+Bellefontaine+OH+library+website","Search")</f>
        <v>Search</v>
      </c>
      <c r="L2626" s="7"/>
      <c r="M2626" s="7"/>
    </row>
    <row r="2627" customFormat="false" ht="15" hidden="false" customHeight="true" outlineLevel="0" collapsed="false">
      <c r="A2627" s="4" t="s">
        <v>10261</v>
      </c>
      <c r="B2627" s="4" t="s">
        <v>10553</v>
      </c>
      <c r="C2627" s="4" t="s">
        <v>1763</v>
      </c>
      <c r="D2627" s="4" t="s">
        <v>10554</v>
      </c>
      <c r="E2627" s="5" t="n">
        <v>26795</v>
      </c>
      <c r="F2627" s="4" t="n">
        <v>2</v>
      </c>
      <c r="G2627" s="4" t="s">
        <v>10555</v>
      </c>
      <c r="H2627" s="4" t="n">
        <v>39.53992</v>
      </c>
      <c r="I2627" s="4" t="n">
        <v>-82.40506</v>
      </c>
      <c r="J2627" s="4" t="s">
        <v>10556</v>
      </c>
      <c r="K2627" s="6" t="str">
        <f aca="false">HYPERLINK("https://www.google.com/search?q=Logan-Hocking+County+District+Library+Logan+OH+library+website","Search")</f>
        <v>Search</v>
      </c>
      <c r="L2627" s="7"/>
      <c r="M2627" s="7"/>
    </row>
    <row r="2628" customFormat="false" ht="15" hidden="false" customHeight="true" outlineLevel="0" collapsed="false">
      <c r="A2628" s="4" t="s">
        <v>10261</v>
      </c>
      <c r="B2628" s="4" t="s">
        <v>10557</v>
      </c>
      <c r="C2628" s="4" t="s">
        <v>5020</v>
      </c>
      <c r="D2628" s="4" t="s">
        <v>261</v>
      </c>
      <c r="E2628" s="5" t="n">
        <v>14421</v>
      </c>
      <c r="F2628" s="4" t="n">
        <v>1</v>
      </c>
      <c r="G2628" s="4" t="s">
        <v>10558</v>
      </c>
      <c r="H2628" s="4" t="n">
        <v>39.88568</v>
      </c>
      <c r="I2628" s="4" t="n">
        <v>-83.44563</v>
      </c>
      <c r="J2628" s="4" t="s">
        <v>10559</v>
      </c>
      <c r="K2628" s="6" t="str">
        <f aca="false">HYPERLINK("https://www.google.com/search?q=London+Public+Library+London+OH+library+website","Search")</f>
        <v>Search</v>
      </c>
      <c r="L2628" s="7"/>
      <c r="M2628" s="8" t="str">
        <f aca="false">HYPERLINK("https://lpl.overdrive.com","https://lpl.overdrive.com")</f>
        <v>https://lpl.overdrive.com</v>
      </c>
    </row>
    <row r="2629" customFormat="false" ht="15" hidden="false" customHeight="true" outlineLevel="0" collapsed="false">
      <c r="A2629" s="4" t="s">
        <v>10261</v>
      </c>
      <c r="B2629" s="4" t="s">
        <v>10560</v>
      </c>
      <c r="C2629" s="4" t="s">
        <v>10270</v>
      </c>
      <c r="D2629" s="4" t="s">
        <v>10270</v>
      </c>
      <c r="E2629" s="5" t="n">
        <v>145206</v>
      </c>
      <c r="F2629" s="4" t="n">
        <v>6</v>
      </c>
      <c r="G2629" s="4" t="s">
        <v>10561</v>
      </c>
      <c r="H2629" s="4" t="n">
        <v>41.46438</v>
      </c>
      <c r="I2629" s="4" t="n">
        <v>-82.17714</v>
      </c>
      <c r="J2629" s="4" t="s">
        <v>10562</v>
      </c>
      <c r="K2629" s="6" t="str">
        <f aca="false">HYPERLINK("https://www.google.com/search?q=Lorain+Public+Library+Lorain+OH+library+website","Search")</f>
        <v>Search</v>
      </c>
      <c r="L2629" s="7"/>
      <c r="M2629" s="7"/>
    </row>
    <row r="2630" customFormat="false" ht="15" hidden="false" customHeight="true" outlineLevel="0" collapsed="false">
      <c r="A2630" s="4" t="s">
        <v>10261</v>
      </c>
      <c r="B2630" s="4" t="s">
        <v>1698</v>
      </c>
      <c r="C2630" s="4" t="s">
        <v>1699</v>
      </c>
      <c r="D2630" s="4" t="s">
        <v>8201</v>
      </c>
      <c r="E2630" s="5" t="n">
        <v>18809</v>
      </c>
      <c r="F2630" s="4" t="n">
        <v>1</v>
      </c>
      <c r="G2630" s="4" t="s">
        <v>10563</v>
      </c>
      <c r="H2630" s="4" t="n">
        <v>40.83991</v>
      </c>
      <c r="I2630" s="4" t="n">
        <v>-81.25407</v>
      </c>
      <c r="J2630" s="4" t="s">
        <v>10564</v>
      </c>
      <c r="K2630" s="6" t="str">
        <f aca="false">HYPERLINK("https://www.google.com/search?q=Louisville+Public+Library+Louisville+OH+library+website","Search")</f>
        <v>Search</v>
      </c>
      <c r="L2630" s="7"/>
      <c r="M2630" s="7"/>
    </row>
    <row r="2631" customFormat="false" ht="15" hidden="false" customHeight="true" outlineLevel="0" collapsed="false">
      <c r="A2631" s="4" t="s">
        <v>10261</v>
      </c>
      <c r="B2631" s="4" t="s">
        <v>8701</v>
      </c>
      <c r="C2631" s="4" t="s">
        <v>261</v>
      </c>
      <c r="D2631" s="4" t="s">
        <v>1118</v>
      </c>
      <c r="E2631" s="5" t="n">
        <v>18552</v>
      </c>
      <c r="F2631" s="4" t="n">
        <v>1</v>
      </c>
      <c r="G2631" s="4" t="s">
        <v>10565</v>
      </c>
      <c r="H2631" s="4" t="n">
        <v>41.7886</v>
      </c>
      <c r="I2631" s="4" t="n">
        <v>-81.06934</v>
      </c>
      <c r="J2631" s="4" t="s">
        <v>10566</v>
      </c>
      <c r="K2631" s="6" t="str">
        <f aca="false">HYPERLINK("https://www.google.com/search?q=Madison+Public+Library+Madison+OH+library+website","Search")</f>
        <v>Search</v>
      </c>
      <c r="L2631" s="7"/>
      <c r="M2631" s="7"/>
    </row>
    <row r="2632" customFormat="false" ht="15" hidden="false" customHeight="true" outlineLevel="0" collapsed="false">
      <c r="A2632" s="4" t="s">
        <v>10261</v>
      </c>
      <c r="B2632" s="4" t="s">
        <v>10567</v>
      </c>
      <c r="C2632" s="4" t="s">
        <v>2000</v>
      </c>
      <c r="D2632" s="4" t="s">
        <v>5379</v>
      </c>
      <c r="E2632" s="5" t="n">
        <v>99110</v>
      </c>
      <c r="F2632" s="4" t="n">
        <v>9</v>
      </c>
      <c r="G2632" s="4" t="s">
        <v>10568</v>
      </c>
      <c r="H2632" s="4" t="n">
        <v>40.75985</v>
      </c>
      <c r="I2632" s="4" t="n">
        <v>-82.5172</v>
      </c>
      <c r="J2632" s="4" t="s">
        <v>10569</v>
      </c>
      <c r="K2632" s="6" t="str">
        <f aca="false">HYPERLINK("https://www.google.com/search?q=Mansfield-Richland+County+Public+Library+Mansfield+OH+library+website","Search")</f>
        <v>Search</v>
      </c>
      <c r="L2632" s="7"/>
      <c r="M2632" s="7"/>
    </row>
    <row r="2633" customFormat="false" ht="15" hidden="false" customHeight="true" outlineLevel="0" collapsed="false">
      <c r="A2633" s="4" t="s">
        <v>10261</v>
      </c>
      <c r="B2633" s="4" t="s">
        <v>3048</v>
      </c>
      <c r="C2633" s="4" t="s">
        <v>572</v>
      </c>
      <c r="D2633" s="4" t="s">
        <v>572</v>
      </c>
      <c r="E2633" s="5" t="n">
        <v>64852</v>
      </c>
      <c r="F2633" s="4" t="n">
        <v>1</v>
      </c>
      <c r="G2633" s="4" t="s">
        <v>10570</v>
      </c>
      <c r="H2633" s="4" t="n">
        <v>40.5876</v>
      </c>
      <c r="I2633" s="4" t="n">
        <v>-83.11937</v>
      </c>
      <c r="J2633" s="4" t="s">
        <v>10571</v>
      </c>
      <c r="K2633" s="6" t="str">
        <f aca="false">HYPERLINK("https://www.google.com/search?q=Marion+Public+Library+Marion+OH+library+website","Search")</f>
        <v>Search</v>
      </c>
      <c r="L2633" s="7"/>
      <c r="M2633" s="7"/>
    </row>
    <row r="2634" customFormat="false" ht="15" hidden="false" customHeight="true" outlineLevel="0" collapsed="false">
      <c r="A2634" s="4" t="s">
        <v>10261</v>
      </c>
      <c r="B2634" s="4" t="s">
        <v>10572</v>
      </c>
      <c r="C2634" s="4" t="s">
        <v>53</v>
      </c>
      <c r="D2634" s="4" t="s">
        <v>5379</v>
      </c>
      <c r="E2634" s="5" t="n">
        <v>13114</v>
      </c>
      <c r="F2634" s="4" t="n">
        <v>1</v>
      </c>
      <c r="G2634" s="4" t="s">
        <v>10573</v>
      </c>
      <c r="H2634" s="4" t="n">
        <v>40.88273</v>
      </c>
      <c r="I2634" s="4" t="n">
        <v>-82.66221</v>
      </c>
      <c r="J2634" s="4" t="s">
        <v>10574</v>
      </c>
      <c r="K2634" s="6" t="str">
        <f aca="false">HYPERLINK("https://www.google.com/search?q=Marvin+Memorial+Library+Shelby+OH+library+website","Search")</f>
        <v>Search</v>
      </c>
      <c r="L2634" s="7"/>
      <c r="M2634" s="7"/>
    </row>
    <row r="2635" customFormat="false" ht="15" hidden="false" customHeight="true" outlineLevel="0" collapsed="false">
      <c r="A2635" s="4" t="s">
        <v>10261</v>
      </c>
      <c r="B2635" s="4" t="s">
        <v>10575</v>
      </c>
      <c r="C2635" s="4" t="s">
        <v>7521</v>
      </c>
      <c r="D2635" s="4" t="s">
        <v>3012</v>
      </c>
      <c r="E2635" s="5" t="n">
        <v>24280</v>
      </c>
      <c r="F2635" s="4" t="n">
        <v>2</v>
      </c>
      <c r="G2635" s="4" t="s">
        <v>10576</v>
      </c>
      <c r="H2635" s="4" t="n">
        <v>39.53697</v>
      </c>
      <c r="I2635" s="4" t="n">
        <v>-84.08491</v>
      </c>
      <c r="J2635" s="4" t="s">
        <v>10577</v>
      </c>
      <c r="K2635" s="6" t="str">
        <f aca="false">HYPERLINK("https://www.google.com/search?q=Mary+L.+Cook+Public+Library+Waynesville+OH+library+website","Search")</f>
        <v>Search</v>
      </c>
      <c r="L2635" s="7"/>
      <c r="M2635" s="7"/>
    </row>
    <row r="2636" customFormat="false" ht="15" hidden="false" customHeight="true" outlineLevel="0" collapsed="false">
      <c r="A2636" s="4" t="s">
        <v>10261</v>
      </c>
      <c r="B2636" s="4" t="s">
        <v>10578</v>
      </c>
      <c r="C2636" s="4" t="s">
        <v>5003</v>
      </c>
      <c r="D2636" s="4" t="s">
        <v>4958</v>
      </c>
      <c r="E2636" s="5" t="n">
        <v>11458</v>
      </c>
      <c r="F2636" s="4" t="n">
        <v>1</v>
      </c>
      <c r="G2636" s="4" t="s">
        <v>10579</v>
      </c>
      <c r="H2636" s="4" t="n">
        <v>40.64812</v>
      </c>
      <c r="I2636" s="4" t="n">
        <v>-83.60472</v>
      </c>
      <c r="J2636" s="4" t="s">
        <v>10580</v>
      </c>
      <c r="K2636" s="6" t="str">
        <f aca="false">HYPERLINK("https://www.google.com/search?q=Mary+Lou+Johnson-Hardin+Cnty+Pl+Kenton+OH+library+website","Search")</f>
        <v>Search</v>
      </c>
      <c r="L2636" s="7"/>
      <c r="M2636" s="7"/>
    </row>
    <row r="2637" customFormat="false" ht="15" hidden="false" customHeight="true" outlineLevel="0" collapsed="false">
      <c r="A2637" s="4" t="s">
        <v>10261</v>
      </c>
      <c r="B2637" s="4" t="s">
        <v>10581</v>
      </c>
      <c r="C2637" s="4" t="s">
        <v>1576</v>
      </c>
      <c r="D2637" s="4" t="s">
        <v>467</v>
      </c>
      <c r="E2637" s="5" t="n">
        <v>34636</v>
      </c>
      <c r="F2637" s="4" t="n">
        <v>2</v>
      </c>
      <c r="G2637" s="4" t="s">
        <v>10582</v>
      </c>
      <c r="H2637" s="4" t="n">
        <v>40.23445</v>
      </c>
      <c r="I2637" s="4" t="n">
        <v>-83.3659</v>
      </c>
      <c r="J2637" s="4" t="s">
        <v>10583</v>
      </c>
      <c r="K2637" s="6" t="str">
        <f aca="false">HYPERLINK("https://www.google.com/search?q=Marysville+Public+Library+Marysville+OH+library+website","Search")</f>
        <v>Search</v>
      </c>
      <c r="L2637" s="7"/>
      <c r="M2637" s="7"/>
    </row>
    <row r="2638" customFormat="false" ht="15" hidden="false" customHeight="true" outlineLevel="0" collapsed="false">
      <c r="A2638" s="4" t="s">
        <v>10261</v>
      </c>
      <c r="B2638" s="4" t="s">
        <v>10584</v>
      </c>
      <c r="C2638" s="4" t="s">
        <v>5075</v>
      </c>
      <c r="D2638" s="4" t="s">
        <v>3012</v>
      </c>
      <c r="E2638" s="5" t="n">
        <v>75139</v>
      </c>
      <c r="F2638" s="4" t="n">
        <v>1</v>
      </c>
      <c r="G2638" s="4" t="s">
        <v>10585</v>
      </c>
      <c r="H2638" s="4" t="n">
        <v>39.35968</v>
      </c>
      <c r="I2638" s="4" t="n">
        <v>-84.31292</v>
      </c>
      <c r="J2638" s="4" t="s">
        <v>10586</v>
      </c>
      <c r="K2638" s="6" t="str">
        <f aca="false">HYPERLINK("https://www.google.com/search?q=Mason+Public+Library+Mason+OH+library+website","Search")</f>
        <v>Search</v>
      </c>
      <c r="L2638" s="7"/>
      <c r="M2638" s="7"/>
    </row>
    <row r="2639" customFormat="false" ht="15" hidden="false" customHeight="true" outlineLevel="0" collapsed="false">
      <c r="A2639" s="4" t="s">
        <v>10261</v>
      </c>
      <c r="B2639" s="4" t="s">
        <v>10587</v>
      </c>
      <c r="C2639" s="4" t="s">
        <v>10588</v>
      </c>
      <c r="D2639" s="4" t="s">
        <v>8201</v>
      </c>
      <c r="E2639" s="5" t="n">
        <v>32560</v>
      </c>
      <c r="F2639" s="4" t="n">
        <v>3</v>
      </c>
      <c r="G2639" s="4" t="s">
        <v>10589</v>
      </c>
      <c r="H2639" s="4" t="n">
        <v>40.79739</v>
      </c>
      <c r="I2639" s="4" t="n">
        <v>-81.52005</v>
      </c>
      <c r="J2639" s="4" t="s">
        <v>10590</v>
      </c>
      <c r="K2639" s="6" t="str">
        <f aca="false">HYPERLINK("https://www.google.com/search?q=Massillon+Public+Library+Massillon+OH+library+website","Search")</f>
        <v>Search</v>
      </c>
      <c r="L2639" s="7"/>
      <c r="M2639" s="7"/>
    </row>
    <row r="2640" customFormat="false" ht="15" hidden="false" customHeight="true" outlineLevel="0" collapsed="false">
      <c r="A2640" s="4" t="s">
        <v>10261</v>
      </c>
      <c r="B2640" s="4" t="s">
        <v>10591</v>
      </c>
      <c r="C2640" s="4" t="s">
        <v>3892</v>
      </c>
      <c r="D2640" s="4" t="s">
        <v>2146</v>
      </c>
      <c r="E2640" s="5" t="n">
        <v>18183</v>
      </c>
      <c r="F2640" s="4" t="n">
        <v>2</v>
      </c>
      <c r="G2640" s="4" t="s">
        <v>10592</v>
      </c>
      <c r="H2640" s="4" t="n">
        <v>41.18097</v>
      </c>
      <c r="I2640" s="4" t="n">
        <v>-80.76517</v>
      </c>
      <c r="J2640" s="4" t="s">
        <v>10593</v>
      </c>
      <c r="K2640" s="6" t="str">
        <f aca="false">HYPERLINK("https://www.google.com/search?q=Mckinley+Memorial+Library+Niles+OH+library+website","Search")</f>
        <v>Search</v>
      </c>
      <c r="L2640" s="7"/>
      <c r="M2640" s="7"/>
    </row>
    <row r="2641" customFormat="false" ht="15" hidden="false" customHeight="true" outlineLevel="0" collapsed="false">
      <c r="A2641" s="4" t="s">
        <v>10261</v>
      </c>
      <c r="B2641" s="4" t="s">
        <v>10594</v>
      </c>
      <c r="C2641" s="4" t="s">
        <v>9722</v>
      </c>
      <c r="D2641" s="4" t="s">
        <v>9722</v>
      </c>
      <c r="E2641" s="5" t="n">
        <v>153551</v>
      </c>
      <c r="F2641" s="4" t="n">
        <v>6</v>
      </c>
      <c r="G2641" s="4" t="s">
        <v>10595</v>
      </c>
      <c r="H2641" s="4" t="n">
        <v>41.13776</v>
      </c>
      <c r="I2641" s="4" t="n">
        <v>-81.86258</v>
      </c>
      <c r="J2641" s="4" t="s">
        <v>10596</v>
      </c>
      <c r="K2641" s="6" t="str">
        <f aca="false">HYPERLINK("https://www.google.com/search?q=Medina+County+District+Library+Medina+OH+library+website","Search")</f>
        <v>Search</v>
      </c>
      <c r="L2641" s="7"/>
      <c r="M2641" s="7"/>
    </row>
    <row r="2642" customFormat="false" ht="15" hidden="false" customHeight="true" outlineLevel="0" collapsed="false">
      <c r="A2642" s="4" t="s">
        <v>10261</v>
      </c>
      <c r="B2642" s="4" t="s">
        <v>10597</v>
      </c>
      <c r="C2642" s="4" t="s">
        <v>10598</v>
      </c>
      <c r="D2642" s="4" t="s">
        <v>10599</v>
      </c>
      <c r="E2642" s="5" t="n">
        <v>22210</v>
      </c>
      <c r="F2642" s="4" t="n">
        <v>4</v>
      </c>
      <c r="G2642" s="4" t="s">
        <v>10600</v>
      </c>
      <c r="H2642" s="4" t="n">
        <v>39.02557</v>
      </c>
      <c r="I2642" s="4" t="n">
        <v>-82.03682</v>
      </c>
      <c r="J2642" s="4" t="s">
        <v>10601</v>
      </c>
      <c r="K2642" s="6" t="str">
        <f aca="false">HYPERLINK("https://www.google.com/search?q=Meigs+County+District+Public+Library+Pomeroy+OH+library+website","Search")</f>
        <v>Search</v>
      </c>
      <c r="L2642" s="7"/>
      <c r="M2642" s="7"/>
    </row>
    <row r="2643" customFormat="false" ht="15" hidden="false" customHeight="true" outlineLevel="0" collapsed="false">
      <c r="A2643" s="4" t="s">
        <v>10261</v>
      </c>
      <c r="B2643" s="4" t="s">
        <v>10602</v>
      </c>
      <c r="C2643" s="4" t="s">
        <v>10603</v>
      </c>
      <c r="D2643" s="4" t="s">
        <v>1118</v>
      </c>
      <c r="E2643" s="5" t="n">
        <v>60770</v>
      </c>
      <c r="F2643" s="4" t="n">
        <v>4</v>
      </c>
      <c r="G2643" s="4" t="s">
        <v>10604</v>
      </c>
      <c r="H2643" s="4" t="n">
        <v>41.66484</v>
      </c>
      <c r="I2643" s="4" t="n">
        <v>-81.34643</v>
      </c>
      <c r="J2643" s="4" t="s">
        <v>10605</v>
      </c>
      <c r="K2643" s="6" t="str">
        <f aca="false">HYPERLINK("https://www.google.com/search?q=Mentor+Public+Library+Mentor+OH+library+website","Search")</f>
        <v>Search</v>
      </c>
      <c r="L2643" s="7"/>
      <c r="M2643" s="7"/>
    </row>
    <row r="2644" customFormat="false" ht="15" hidden="false" customHeight="true" outlineLevel="0" collapsed="false">
      <c r="A2644" s="4" t="s">
        <v>10261</v>
      </c>
      <c r="B2644" s="4" t="s">
        <v>10606</v>
      </c>
      <c r="C2644" s="4" t="s">
        <v>10607</v>
      </c>
      <c r="D2644" s="4" t="s">
        <v>5095</v>
      </c>
      <c r="E2644" s="5" t="n">
        <v>29024</v>
      </c>
      <c r="F2644" s="4" t="n">
        <v>4</v>
      </c>
      <c r="G2644" s="4" t="s">
        <v>10608</v>
      </c>
      <c r="H2644" s="4" t="n">
        <v>40.55128</v>
      </c>
      <c r="I2644" s="4" t="n">
        <v>-84.57084</v>
      </c>
      <c r="J2644" s="4" t="s">
        <v>10609</v>
      </c>
      <c r="K2644" s="6" t="str">
        <f aca="false">HYPERLINK("https://www.google.com/search?q=Mercer+County+District+Public+Library+Celina+OH+library+website","Search")</f>
        <v>Search</v>
      </c>
      <c r="L2644" s="7"/>
      <c r="M2644" s="7"/>
    </row>
    <row r="2645" customFormat="false" ht="15" hidden="false" customHeight="true" outlineLevel="0" collapsed="false">
      <c r="A2645" s="4" t="s">
        <v>10261</v>
      </c>
      <c r="B2645" s="4" t="s">
        <v>10610</v>
      </c>
      <c r="C2645" s="4" t="s">
        <v>2087</v>
      </c>
      <c r="D2645" s="4" t="s">
        <v>138</v>
      </c>
      <c r="E2645" s="5" t="n">
        <v>180993</v>
      </c>
      <c r="F2645" s="4" t="n">
        <v>5</v>
      </c>
      <c r="G2645" s="4" t="s">
        <v>10611</v>
      </c>
      <c r="H2645" s="4" t="n">
        <v>39.51416</v>
      </c>
      <c r="I2645" s="4" t="n">
        <v>-84.40527</v>
      </c>
      <c r="J2645" s="4" t="s">
        <v>10612</v>
      </c>
      <c r="K2645" s="6" t="str">
        <f aca="false">HYPERLINK("https://www.google.com/search?q=Midpointe+Library+System+Middletown+OH+library+website","Search")</f>
        <v>Search</v>
      </c>
      <c r="L2645" s="7"/>
      <c r="M2645" s="7"/>
    </row>
    <row r="2646" customFormat="false" ht="15" hidden="false" customHeight="true" outlineLevel="0" collapsed="false">
      <c r="A2646" s="4" t="s">
        <v>10261</v>
      </c>
      <c r="B2646" s="4" t="s">
        <v>10613</v>
      </c>
      <c r="C2646" s="4" t="s">
        <v>10614</v>
      </c>
      <c r="D2646" s="4" t="s">
        <v>8201</v>
      </c>
      <c r="E2646" s="5" t="n">
        <v>11782</v>
      </c>
      <c r="F2646" s="4" t="n">
        <v>1</v>
      </c>
      <c r="G2646" s="4" t="s">
        <v>10615</v>
      </c>
      <c r="H2646" s="4" t="n">
        <v>40.73159</v>
      </c>
      <c r="I2646" s="4" t="n">
        <v>-81.09646</v>
      </c>
      <c r="J2646" s="4" t="s">
        <v>10616</v>
      </c>
      <c r="K2646" s="6" t="str">
        <f aca="false">HYPERLINK("https://www.google.com/search?q=Minerva+Public+Library+Minerva+OH+library+website","Search")</f>
        <v>Search</v>
      </c>
      <c r="L2646" s="7"/>
      <c r="M2646" s="7"/>
    </row>
    <row r="2647" customFormat="false" ht="15" hidden="false" customHeight="true" outlineLevel="0" collapsed="false">
      <c r="A2647" s="4" t="s">
        <v>10261</v>
      </c>
      <c r="B2647" s="4" t="s">
        <v>10617</v>
      </c>
      <c r="C2647" s="4" t="s">
        <v>10618</v>
      </c>
      <c r="D2647" s="4" t="s">
        <v>311</v>
      </c>
      <c r="E2647" s="5" t="n">
        <v>13385</v>
      </c>
      <c r="F2647" s="4" t="n">
        <v>1</v>
      </c>
      <c r="G2647" s="4" t="s">
        <v>10619</v>
      </c>
      <c r="H2647" s="4" t="n">
        <v>39.76086</v>
      </c>
      <c r="I2647" s="4" t="n">
        <v>-81.10882</v>
      </c>
      <c r="J2647" s="4" t="s">
        <v>10620</v>
      </c>
      <c r="K2647" s="6" t="str">
        <f aca="false">HYPERLINK("https://www.google.com/search?q=Monroe+County+District+Library+Woodsfield+OH+library+website","Search")</f>
        <v>Search</v>
      </c>
      <c r="L2647" s="7"/>
      <c r="M2647" s="7"/>
    </row>
    <row r="2648" customFormat="false" ht="15" hidden="false" customHeight="true" outlineLevel="0" collapsed="false">
      <c r="A2648" s="4" t="s">
        <v>10261</v>
      </c>
      <c r="B2648" s="4" t="s">
        <v>10621</v>
      </c>
      <c r="C2648" s="4" t="s">
        <v>10622</v>
      </c>
      <c r="D2648" s="4" t="s">
        <v>1118</v>
      </c>
      <c r="E2648" s="5" t="n">
        <v>54224</v>
      </c>
      <c r="F2648" s="4" t="n">
        <v>1</v>
      </c>
      <c r="G2648" s="4" t="s">
        <v>10623</v>
      </c>
      <c r="H2648" s="4" t="n">
        <v>41.72757</v>
      </c>
      <c r="I2648" s="4" t="n">
        <v>-81.24367</v>
      </c>
      <c r="J2648" s="4" t="s">
        <v>10624</v>
      </c>
      <c r="K2648" s="6" t="str">
        <f aca="false">HYPERLINK("https://www.google.com/search?q=Morley+Library+Painesville+OH+library+website","Search")</f>
        <v>Search</v>
      </c>
      <c r="L2648" s="7"/>
      <c r="M2648" s="7"/>
    </row>
    <row r="2649" customFormat="false" ht="15" hidden="false" customHeight="true" outlineLevel="0" collapsed="false">
      <c r="A2649" s="4" t="s">
        <v>10261</v>
      </c>
      <c r="B2649" s="4" t="s">
        <v>10625</v>
      </c>
      <c r="C2649" s="4" t="s">
        <v>10626</v>
      </c>
      <c r="D2649" s="4" t="s">
        <v>261</v>
      </c>
      <c r="E2649" s="5" t="n">
        <v>13303</v>
      </c>
      <c r="F2649" s="4" t="n">
        <v>1</v>
      </c>
      <c r="G2649" s="4" t="s">
        <v>10627</v>
      </c>
      <c r="H2649" s="4" t="n">
        <v>39.71836</v>
      </c>
      <c r="I2649" s="4" t="n">
        <v>-83.26654</v>
      </c>
      <c r="J2649" s="4" t="s">
        <v>10628</v>
      </c>
      <c r="K2649" s="6" t="str">
        <f aca="false">HYPERLINK("https://www.google.com/search?q=Mt+Sterling+Public+Library+Mt.+Sterling+OH+library+website","Search")</f>
        <v>Search</v>
      </c>
      <c r="L2649" s="7"/>
      <c r="M2649" s="7"/>
    </row>
    <row r="2650" customFormat="false" ht="15" hidden="false" customHeight="true" outlineLevel="0" collapsed="false">
      <c r="A2650" s="4" t="s">
        <v>10261</v>
      </c>
      <c r="B2650" s="4" t="s">
        <v>10629</v>
      </c>
      <c r="C2650" s="4" t="s">
        <v>10630</v>
      </c>
      <c r="D2650" s="4" t="s">
        <v>3618</v>
      </c>
      <c r="E2650" s="5" t="n">
        <v>56248</v>
      </c>
      <c r="F2650" s="4" t="n">
        <v>4</v>
      </c>
      <c r="G2650" s="4" t="s">
        <v>10631</v>
      </c>
      <c r="H2650" s="4" t="n">
        <v>40.39578</v>
      </c>
      <c r="I2650" s="4" t="n">
        <v>-82.48653</v>
      </c>
      <c r="J2650" s="4" t="s">
        <v>10632</v>
      </c>
      <c r="K2650" s="6" t="str">
        <f aca="false">HYPERLINK("https://www.google.com/search?q=Mt+Vernon+%26+Knox+County%2C+Public+Library+Of+Mt.+Vernon+OH+library+website","Search")</f>
        <v>Search</v>
      </c>
      <c r="L2650" s="7"/>
      <c r="M2650" s="7"/>
    </row>
    <row r="2651" customFormat="false" ht="15" hidden="false" customHeight="true" outlineLevel="0" collapsed="false">
      <c r="A2651" s="4" t="s">
        <v>10261</v>
      </c>
      <c r="B2651" s="4" t="s">
        <v>10633</v>
      </c>
      <c r="C2651" s="4" t="s">
        <v>10634</v>
      </c>
      <c r="D2651" s="4" t="s">
        <v>10635</v>
      </c>
      <c r="E2651" s="5" t="n">
        <v>86410</v>
      </c>
      <c r="F2651" s="4" t="n">
        <v>6</v>
      </c>
      <c r="G2651" s="4" t="s">
        <v>10636</v>
      </c>
      <c r="H2651" s="4" t="n">
        <v>39.94395</v>
      </c>
      <c r="I2651" s="4" t="n">
        <v>-82.00622</v>
      </c>
      <c r="J2651" s="4" t="s">
        <v>10637</v>
      </c>
      <c r="K2651" s="6" t="str">
        <f aca="false">HYPERLINK("https://www.google.com/search?q=Muskingum+County+Library+System+Zanesville+OH+library+website","Search")</f>
        <v>Search</v>
      </c>
      <c r="L2651" s="7"/>
      <c r="M2651" s="8" t="str">
        <f aca="false">HYPERLINK("https://muskingum.overdrive.com","https://muskingum.overdrive.com")</f>
        <v>https://muskingum.overdrive.com</v>
      </c>
    </row>
    <row r="2652" customFormat="false" ht="15" hidden="false" customHeight="true" outlineLevel="0" collapsed="false">
      <c r="A2652" s="4" t="s">
        <v>10261</v>
      </c>
      <c r="B2652" s="4" t="s">
        <v>10638</v>
      </c>
      <c r="C2652" s="4" t="s">
        <v>10639</v>
      </c>
      <c r="D2652" s="4" t="s">
        <v>2715</v>
      </c>
      <c r="E2652" s="5" t="n">
        <v>14361</v>
      </c>
      <c r="F2652" s="4" t="n">
        <v>3</v>
      </c>
      <c r="G2652" s="4" t="s">
        <v>10640</v>
      </c>
      <c r="H2652" s="4" t="n">
        <v>41.39089</v>
      </c>
      <c r="I2652" s="4" t="n">
        <v>-84.12876</v>
      </c>
      <c r="J2652" s="4" t="s">
        <v>10641</v>
      </c>
      <c r="K2652" s="6" t="str">
        <f aca="false">HYPERLINK("https://www.google.com/search?q=Napoleon+Public+Library+Napoleon+OH+library+website","Search")</f>
        <v>Search</v>
      </c>
      <c r="L2652" s="7"/>
      <c r="M2652" s="7"/>
    </row>
    <row r="2653" customFormat="false" ht="15" hidden="false" customHeight="true" outlineLevel="0" collapsed="false">
      <c r="A2653" s="4" t="s">
        <v>10261</v>
      </c>
      <c r="B2653" s="4" t="s">
        <v>10642</v>
      </c>
      <c r="C2653" s="4" t="s">
        <v>10643</v>
      </c>
      <c r="D2653" s="4" t="s">
        <v>8201</v>
      </c>
      <c r="E2653" s="5" t="n">
        <v>30106</v>
      </c>
      <c r="F2653" s="4" t="n">
        <v>1</v>
      </c>
      <c r="G2653" s="4" t="s">
        <v>10644</v>
      </c>
      <c r="H2653" s="4" t="n">
        <v>40.87712</v>
      </c>
      <c r="I2653" s="4" t="n">
        <v>-81.40248</v>
      </c>
      <c r="J2653" s="4" t="s">
        <v>10645</v>
      </c>
      <c r="K2653" s="6" t="str">
        <f aca="false">HYPERLINK("https://www.google.com/search?q=North+Canton+Public+Library+North+Canton+OH+library+website","Search")</f>
        <v>Search</v>
      </c>
      <c r="L2653" s="7"/>
      <c r="M2653" s="7"/>
    </row>
    <row r="2654" customFormat="false" ht="15" hidden="false" customHeight="true" outlineLevel="0" collapsed="false">
      <c r="A2654" s="4" t="s">
        <v>10261</v>
      </c>
      <c r="B2654" s="4" t="s">
        <v>2042</v>
      </c>
      <c r="C2654" s="4" t="s">
        <v>2043</v>
      </c>
      <c r="D2654" s="4" t="s">
        <v>10300</v>
      </c>
      <c r="E2654" s="5" t="n">
        <v>18856</v>
      </c>
      <c r="F2654" s="4" t="n">
        <v>1</v>
      </c>
      <c r="G2654" s="4" t="s">
        <v>10646</v>
      </c>
      <c r="H2654" s="4" t="n">
        <v>41.24148</v>
      </c>
      <c r="I2654" s="4" t="n">
        <v>-82.61746</v>
      </c>
      <c r="J2654" s="4" t="s">
        <v>10647</v>
      </c>
      <c r="K2654" s="6" t="str">
        <f aca="false">HYPERLINK("https://www.google.com/search?q=Norwalk+Public+Library+Norwalk+OH+library+website","Search")</f>
        <v>Search</v>
      </c>
      <c r="L2654" s="7"/>
      <c r="M2654" s="7"/>
    </row>
    <row r="2655" customFormat="false" ht="15" hidden="false" customHeight="true" outlineLevel="0" collapsed="false">
      <c r="A2655" s="4" t="s">
        <v>10261</v>
      </c>
      <c r="B2655" s="4" t="s">
        <v>10648</v>
      </c>
      <c r="C2655" s="4" t="s">
        <v>5222</v>
      </c>
      <c r="D2655" s="4" t="s">
        <v>10270</v>
      </c>
      <c r="E2655" s="5" t="n">
        <v>10938</v>
      </c>
      <c r="F2655" s="4" t="n">
        <v>1</v>
      </c>
      <c r="G2655" s="4" t="s">
        <v>10649</v>
      </c>
      <c r="H2655" s="4" t="n">
        <v>41.29007</v>
      </c>
      <c r="I2655" s="4" t="n">
        <v>-82.21743</v>
      </c>
      <c r="J2655" s="4" t="s">
        <v>10650</v>
      </c>
      <c r="K2655" s="6" t="str">
        <f aca="false">HYPERLINK("https://www.google.com/search?q=Oberlin+Public+Library+Oberlin+OH+library+website","Search")</f>
        <v>Search</v>
      </c>
      <c r="L2655" s="7"/>
      <c r="M2655" s="7"/>
    </row>
    <row r="2656" customFormat="false" ht="15" hidden="false" customHeight="true" outlineLevel="0" collapsed="false">
      <c r="A2656" s="4" t="s">
        <v>10261</v>
      </c>
      <c r="B2656" s="4" t="s">
        <v>10651</v>
      </c>
      <c r="C2656" s="4" t="s">
        <v>10652</v>
      </c>
      <c r="D2656" s="4" t="s">
        <v>2849</v>
      </c>
      <c r="E2656" s="5" t="n">
        <v>11040</v>
      </c>
      <c r="F2656" s="4" t="n">
        <v>1</v>
      </c>
      <c r="G2656" s="4" t="s">
        <v>10653</v>
      </c>
      <c r="H2656" s="4" t="n">
        <v>40.84209</v>
      </c>
      <c r="I2656" s="4" t="n">
        <v>-81.7642</v>
      </c>
      <c r="J2656" s="4" t="s">
        <v>10654</v>
      </c>
      <c r="K2656" s="6" t="str">
        <f aca="false">HYPERLINK("https://www.google.com/search?q=Orrville+Public+Library+Orrville+OH+library+website","Search")</f>
        <v>Search</v>
      </c>
      <c r="L2656" s="7"/>
      <c r="M2656" s="7"/>
    </row>
    <row r="2657" customFormat="false" ht="15" hidden="false" customHeight="true" outlineLevel="0" collapsed="false">
      <c r="A2657" s="4" t="s">
        <v>10261</v>
      </c>
      <c r="B2657" s="4" t="s">
        <v>10655</v>
      </c>
      <c r="C2657" s="4" t="s">
        <v>10656</v>
      </c>
      <c r="D2657" s="4" t="s">
        <v>10466</v>
      </c>
      <c r="E2657" s="5" t="n">
        <v>28379</v>
      </c>
      <c r="F2657" s="4" t="n">
        <v>1</v>
      </c>
      <c r="G2657" s="4" t="s">
        <v>10657</v>
      </c>
      <c r="H2657" s="4" t="n">
        <v>39.99992</v>
      </c>
      <c r="I2657" s="4" t="n">
        <v>-82.67805</v>
      </c>
      <c r="J2657" s="4" t="s">
        <v>10658</v>
      </c>
      <c r="K2657" s="6" t="str">
        <f aca="false">HYPERLINK("https://www.google.com/search?q=Pataskala+Public+Library+Pataskala+OH+library+website","Search")</f>
        <v>Search</v>
      </c>
      <c r="L2657" s="7"/>
      <c r="M2657" s="7"/>
    </row>
    <row r="2658" customFormat="false" ht="15" hidden="false" customHeight="true" outlineLevel="0" collapsed="false">
      <c r="A2658" s="4" t="s">
        <v>10261</v>
      </c>
      <c r="B2658" s="4" t="s">
        <v>10659</v>
      </c>
      <c r="C2658" s="4" t="s">
        <v>10660</v>
      </c>
      <c r="D2658" s="4" t="s">
        <v>10660</v>
      </c>
      <c r="E2658" s="5" t="n">
        <v>18806</v>
      </c>
      <c r="F2658" s="4" t="n">
        <v>6</v>
      </c>
      <c r="G2658" s="4" t="s">
        <v>10661</v>
      </c>
      <c r="H2658" s="4" t="n">
        <v>41.13614</v>
      </c>
      <c r="I2658" s="4" t="n">
        <v>-84.57949</v>
      </c>
      <c r="J2658" s="4" t="s">
        <v>10662</v>
      </c>
      <c r="K2658" s="6" t="str">
        <f aca="false">HYPERLINK("https://www.google.com/search?q=Paulding+County+Carnegie+Library+Paulding+OH+library+website","Search")</f>
        <v>Search</v>
      </c>
      <c r="L2658" s="7"/>
      <c r="M2658" s="7"/>
    </row>
    <row r="2659" customFormat="false" ht="15" hidden="false" customHeight="true" outlineLevel="0" collapsed="false">
      <c r="A2659" s="4" t="s">
        <v>10261</v>
      </c>
      <c r="B2659" s="4" t="s">
        <v>10663</v>
      </c>
      <c r="C2659" s="4" t="s">
        <v>10664</v>
      </c>
      <c r="D2659" s="4" t="s">
        <v>2719</v>
      </c>
      <c r="E2659" s="5" t="n">
        <v>34633</v>
      </c>
      <c r="F2659" s="4" t="n">
        <v>6</v>
      </c>
      <c r="G2659" s="4" t="s">
        <v>10665</v>
      </c>
      <c r="H2659" s="4" t="n">
        <v>39.71403</v>
      </c>
      <c r="I2659" s="4" t="n">
        <v>-82.20621</v>
      </c>
      <c r="J2659" s="4" t="s">
        <v>10666</v>
      </c>
      <c r="K2659" s="6" t="str">
        <f aca="false">HYPERLINK("https://www.google.com/search?q=Perry+County+District+Library+New+Lexington+OH+library+website","Search")</f>
        <v>Search</v>
      </c>
      <c r="L2659" s="7"/>
      <c r="M2659" s="7"/>
    </row>
    <row r="2660" customFormat="false" ht="15" hidden="false" customHeight="true" outlineLevel="0" collapsed="false">
      <c r="A2660" s="4" t="s">
        <v>10261</v>
      </c>
      <c r="B2660" s="4" t="s">
        <v>10667</v>
      </c>
      <c r="C2660" s="4" t="s">
        <v>10668</v>
      </c>
      <c r="D2660" s="4" t="s">
        <v>10669</v>
      </c>
      <c r="E2660" s="5" t="n">
        <v>58539</v>
      </c>
      <c r="F2660" s="4" t="n">
        <v>2</v>
      </c>
      <c r="G2660" s="4" t="s">
        <v>10670</v>
      </c>
      <c r="H2660" s="4" t="n">
        <v>39.61895</v>
      </c>
      <c r="I2660" s="4" t="n">
        <v>-82.9397</v>
      </c>
      <c r="J2660" s="4" t="s">
        <v>10671</v>
      </c>
      <c r="K2660" s="6" t="str">
        <f aca="false">HYPERLINK("https://www.google.com/search?q=Pickaway+Cnty+District+Public+Library+Circleville+OH+library+website","Search")</f>
        <v>Search</v>
      </c>
      <c r="L2660" s="7"/>
      <c r="M2660" s="7"/>
    </row>
    <row r="2661" customFormat="false" ht="15" hidden="false" customHeight="true" outlineLevel="0" collapsed="false">
      <c r="A2661" s="4" t="s">
        <v>10261</v>
      </c>
      <c r="B2661" s="4" t="s">
        <v>10672</v>
      </c>
      <c r="C2661" s="4" t="s">
        <v>10673</v>
      </c>
      <c r="D2661" s="4" t="s">
        <v>189</v>
      </c>
      <c r="E2661" s="5" t="n">
        <v>55517</v>
      </c>
      <c r="F2661" s="4" t="n">
        <v>2</v>
      </c>
      <c r="G2661" s="4" t="s">
        <v>10674</v>
      </c>
      <c r="H2661" s="4" t="n">
        <v>39.87587</v>
      </c>
      <c r="I2661" s="4" t="n">
        <v>-82.75795</v>
      </c>
      <c r="J2661" s="4" t="s">
        <v>10675</v>
      </c>
      <c r="K2661" s="6" t="str">
        <f aca="false">HYPERLINK("https://www.google.com/search?q=Pickerington+Public+Library+Pickerington+OH+library+website","Search")</f>
        <v>Search</v>
      </c>
      <c r="L2661" s="7"/>
      <c r="M2661" s="7"/>
    </row>
    <row r="2662" customFormat="false" ht="15" hidden="false" customHeight="true" outlineLevel="0" collapsed="false">
      <c r="A2662" s="4" t="s">
        <v>10261</v>
      </c>
      <c r="B2662" s="4" t="s">
        <v>10676</v>
      </c>
      <c r="C2662" s="4" t="s">
        <v>10677</v>
      </c>
      <c r="D2662" s="4" t="s">
        <v>2442</v>
      </c>
      <c r="E2662" s="5" t="n">
        <v>23760</v>
      </c>
      <c r="F2662" s="4" t="n">
        <v>1</v>
      </c>
      <c r="G2662" s="4" t="s">
        <v>10678</v>
      </c>
      <c r="H2662" s="4" t="n">
        <v>40.1487</v>
      </c>
      <c r="I2662" s="4" t="n">
        <v>-84.24028</v>
      </c>
      <c r="J2662" s="4" t="s">
        <v>10679</v>
      </c>
      <c r="K2662" s="6" t="str">
        <f aca="false">HYPERLINK("https://www.google.com/search?q=Piqua+Public+Library+Piqua+OH+library+website","Search")</f>
        <v>Search</v>
      </c>
      <c r="L2662" s="7"/>
      <c r="M2662" s="7"/>
    </row>
    <row r="2663" customFormat="false" ht="15" hidden="false" customHeight="true" outlineLevel="0" collapsed="false">
      <c r="A2663" s="4" t="s">
        <v>10261</v>
      </c>
      <c r="B2663" s="4" t="s">
        <v>10680</v>
      </c>
      <c r="C2663" s="4" t="s">
        <v>10681</v>
      </c>
      <c r="D2663" s="4" t="s">
        <v>261</v>
      </c>
      <c r="E2663" s="5" t="n">
        <v>12389</v>
      </c>
      <c r="F2663" s="4" t="n">
        <v>1</v>
      </c>
      <c r="G2663" s="4" t="s">
        <v>10682</v>
      </c>
      <c r="H2663" s="4" t="n">
        <v>40.10812</v>
      </c>
      <c r="I2663" s="4" t="n">
        <v>-83.26957</v>
      </c>
      <c r="J2663" s="4" t="s">
        <v>10683</v>
      </c>
      <c r="K2663" s="6" t="str">
        <f aca="false">HYPERLINK("https://www.google.com/search?q=Plain+City+Public+Library+Plain+City+OH+library+website","Search")</f>
        <v>Search</v>
      </c>
      <c r="L2663" s="7"/>
      <c r="M2663" s="7"/>
    </row>
    <row r="2664" customFormat="false" ht="15" hidden="false" customHeight="true" outlineLevel="0" collapsed="false">
      <c r="A2664" s="4" t="s">
        <v>10261</v>
      </c>
      <c r="B2664" s="4" t="s">
        <v>10684</v>
      </c>
      <c r="C2664" s="4" t="s">
        <v>10685</v>
      </c>
      <c r="D2664" s="4" t="s">
        <v>6931</v>
      </c>
      <c r="E2664" s="5" t="n">
        <v>106087</v>
      </c>
      <c r="F2664" s="4" t="n">
        <v>5</v>
      </c>
      <c r="G2664" s="4" t="s">
        <v>10686</v>
      </c>
      <c r="H2664" s="4" t="n">
        <v>41.27822</v>
      </c>
      <c r="I2664" s="4" t="n">
        <v>-81.09518</v>
      </c>
      <c r="J2664" s="4" t="s">
        <v>10687</v>
      </c>
      <c r="K2664" s="6" t="str">
        <f aca="false">HYPERLINK("https://www.google.com/search?q=Portage+County+District+Library+Garrettsville+OH+library+website","Search")</f>
        <v>Search</v>
      </c>
      <c r="L2664" s="7"/>
      <c r="M2664" s="7"/>
    </row>
    <row r="2665" customFormat="false" ht="15" hidden="false" customHeight="true" outlineLevel="0" collapsed="false">
      <c r="A2665" s="4" t="s">
        <v>10261</v>
      </c>
      <c r="B2665" s="4" t="s">
        <v>10688</v>
      </c>
      <c r="C2665" s="4" t="s">
        <v>10689</v>
      </c>
      <c r="D2665" s="4" t="s">
        <v>10362</v>
      </c>
      <c r="E2665" s="5" t="n">
        <v>34228</v>
      </c>
      <c r="F2665" s="4" t="n">
        <v>1</v>
      </c>
      <c r="G2665" s="4" t="s">
        <v>10690</v>
      </c>
      <c r="H2665" s="4" t="n">
        <v>41.4483</v>
      </c>
      <c r="I2665" s="4" t="n">
        <v>-81.92496</v>
      </c>
      <c r="J2665" s="4" t="s">
        <v>10691</v>
      </c>
      <c r="K2665" s="6" t="str">
        <f aca="false">HYPERLINK("https://www.google.com/search?q=Porter+Public+Library+Westlake+OH+library+website","Search")</f>
        <v>Search</v>
      </c>
      <c r="L2665" s="7"/>
      <c r="M2665" s="7"/>
    </row>
    <row r="2666" customFormat="false" ht="15" hidden="false" customHeight="true" outlineLevel="0" collapsed="false">
      <c r="A2666" s="4" t="s">
        <v>10261</v>
      </c>
      <c r="B2666" s="4" t="s">
        <v>8402</v>
      </c>
      <c r="C2666" s="4" t="s">
        <v>8403</v>
      </c>
      <c r="D2666" s="4" t="s">
        <v>10692</v>
      </c>
      <c r="E2666" s="5" t="n">
        <v>74008</v>
      </c>
      <c r="F2666" s="4" t="n">
        <v>5</v>
      </c>
      <c r="G2666" s="4" t="s">
        <v>10693</v>
      </c>
      <c r="H2666" s="4" t="n">
        <v>38.73495</v>
      </c>
      <c r="I2666" s="4" t="n">
        <v>-82.9888</v>
      </c>
      <c r="J2666" s="4" t="s">
        <v>10694</v>
      </c>
      <c r="K2666" s="6" t="str">
        <f aca="false">HYPERLINK("https://www.google.com/search?q=Portsmouth+Public+Library+Portsmouth+OH+library+website","Search")</f>
        <v>Search</v>
      </c>
      <c r="L2666" s="7"/>
      <c r="M2666" s="7"/>
    </row>
    <row r="2667" customFormat="false" ht="15" hidden="false" customHeight="true" outlineLevel="0" collapsed="false">
      <c r="A2667" s="4" t="s">
        <v>10261</v>
      </c>
      <c r="B2667" s="4" t="s">
        <v>10695</v>
      </c>
      <c r="C2667" s="4" t="s">
        <v>6519</v>
      </c>
      <c r="D2667" s="4" t="s">
        <v>10696</v>
      </c>
      <c r="E2667" s="5" t="n">
        <v>38015</v>
      </c>
      <c r="F2667" s="4" t="n">
        <v>9</v>
      </c>
      <c r="G2667" s="4" t="s">
        <v>10697</v>
      </c>
      <c r="H2667" s="4" t="n">
        <v>39.73873</v>
      </c>
      <c r="I2667" s="4" t="n">
        <v>-84.63641</v>
      </c>
      <c r="J2667" s="4" t="s">
        <v>10698</v>
      </c>
      <c r="K2667" s="6" t="str">
        <f aca="false">HYPERLINK("https://www.google.com/search?q=Preble+County+District+Library+Eaton+OH+library+website","Search")</f>
        <v>Search</v>
      </c>
      <c r="L2667" s="7"/>
      <c r="M2667" s="7"/>
    </row>
    <row r="2668" customFormat="false" ht="15" hidden="false" customHeight="true" outlineLevel="0" collapsed="false">
      <c r="A2668" s="4" t="s">
        <v>10261</v>
      </c>
      <c r="B2668" s="4" t="s">
        <v>10699</v>
      </c>
      <c r="C2668" s="4" t="s">
        <v>4994</v>
      </c>
      <c r="D2668" s="4" t="s">
        <v>485</v>
      </c>
      <c r="E2668" s="5" t="n">
        <v>13119</v>
      </c>
      <c r="F2668" s="4" t="n">
        <v>3</v>
      </c>
      <c r="G2668" s="4" t="s">
        <v>10700</v>
      </c>
      <c r="H2668" s="4" t="n">
        <v>40.27179</v>
      </c>
      <c r="I2668" s="4" t="n">
        <v>-80.99549</v>
      </c>
      <c r="J2668" s="4" t="s">
        <v>10701</v>
      </c>
      <c r="K2668" s="6" t="str">
        <f aca="false">HYPERLINK("https://www.google.com/search?q=Puskarich+Public+Library+Cadiz+OH+library+website","Search")</f>
        <v>Search</v>
      </c>
      <c r="L2668" s="7"/>
      <c r="M2668" s="7"/>
    </row>
    <row r="2669" customFormat="false" ht="15" hidden="false" customHeight="true" outlineLevel="0" collapsed="false">
      <c r="A2669" s="4" t="s">
        <v>10261</v>
      </c>
      <c r="B2669" s="4" t="s">
        <v>10702</v>
      </c>
      <c r="C2669" s="4" t="s">
        <v>4001</v>
      </c>
      <c r="D2669" s="4" t="s">
        <v>4589</v>
      </c>
      <c r="E2669" s="5" t="n">
        <v>34378</v>
      </c>
      <c r="F2669" s="4" t="n">
        <v>8</v>
      </c>
      <c r="G2669" s="4" t="s">
        <v>10703</v>
      </c>
      <c r="H2669" s="4" t="n">
        <v>41.03433</v>
      </c>
      <c r="I2669" s="4" t="n">
        <v>-84.04888</v>
      </c>
      <c r="J2669" s="4" t="s">
        <v>10704</v>
      </c>
      <c r="K2669" s="6" t="str">
        <f aca="false">HYPERLINK("https://www.google.com/search?q=Putnam+County+District+Library+Ottawa+OH+library+website","Search")</f>
        <v>Search</v>
      </c>
      <c r="L2669" s="7"/>
      <c r="M2669" s="7"/>
    </row>
    <row r="2670" customFormat="false" ht="15" hidden="false" customHeight="true" outlineLevel="0" collapsed="false">
      <c r="A2670" s="4" t="s">
        <v>10261</v>
      </c>
      <c r="B2670" s="4" t="s">
        <v>10705</v>
      </c>
      <c r="C2670" s="4" t="s">
        <v>10706</v>
      </c>
      <c r="D2670" s="4" t="s">
        <v>6931</v>
      </c>
      <c r="E2670" s="5" t="n">
        <v>20292</v>
      </c>
      <c r="F2670" s="4" t="n">
        <v>1</v>
      </c>
      <c r="G2670" s="4" t="s">
        <v>10707</v>
      </c>
      <c r="H2670" s="4" t="n">
        <v>41.1576</v>
      </c>
      <c r="I2670" s="4" t="n">
        <v>-81.24008</v>
      </c>
      <c r="J2670" s="4" t="s">
        <v>10708</v>
      </c>
      <c r="K2670" s="6" t="str">
        <f aca="false">HYPERLINK("https://www.google.com/search?q=Reed+Memorial+Library+Ravenna+OH+library+website","Search")</f>
        <v>Search</v>
      </c>
      <c r="L2670" s="7"/>
      <c r="M2670" s="7"/>
    </row>
    <row r="2671" customFormat="false" ht="15" hidden="false" customHeight="true" outlineLevel="0" collapsed="false">
      <c r="A2671" s="4" t="s">
        <v>10261</v>
      </c>
      <c r="B2671" s="4" t="s">
        <v>10709</v>
      </c>
      <c r="C2671" s="4" t="s">
        <v>3480</v>
      </c>
      <c r="D2671" s="4" t="s">
        <v>9253</v>
      </c>
      <c r="E2671" s="5" t="n">
        <v>14472</v>
      </c>
      <c r="F2671" s="4" t="n">
        <v>1</v>
      </c>
      <c r="G2671" s="4" t="s">
        <v>10710</v>
      </c>
      <c r="H2671" s="4" t="n">
        <v>41.42207</v>
      </c>
      <c r="I2671" s="4" t="n">
        <v>-82.36771</v>
      </c>
      <c r="J2671" s="4" t="s">
        <v>10711</v>
      </c>
      <c r="K2671" s="6" t="str">
        <f aca="false">HYPERLINK("https://www.google.com/search?q=Ritter+Public+Library+Vermilion+OH+library+website","Search")</f>
        <v>Search</v>
      </c>
      <c r="L2671" s="7"/>
      <c r="M2671" s="7"/>
    </row>
    <row r="2672" customFormat="false" ht="15" hidden="false" customHeight="true" outlineLevel="0" collapsed="false">
      <c r="A2672" s="4" t="s">
        <v>10261</v>
      </c>
      <c r="B2672" s="4" t="s">
        <v>10712</v>
      </c>
      <c r="C2672" s="4" t="s">
        <v>10713</v>
      </c>
      <c r="D2672" s="4" t="s">
        <v>10362</v>
      </c>
      <c r="E2672" s="5" t="n">
        <v>21755</v>
      </c>
      <c r="F2672" s="4" t="n">
        <v>1</v>
      </c>
      <c r="G2672" s="4" t="s">
        <v>10714</v>
      </c>
      <c r="H2672" s="4" t="n">
        <v>41.47689</v>
      </c>
      <c r="I2672" s="4" t="n">
        <v>-81.84097</v>
      </c>
      <c r="J2672" s="4" t="s">
        <v>10715</v>
      </c>
      <c r="K2672" s="6" t="str">
        <f aca="false">HYPERLINK("https://www.google.com/search?q=Rocky+River+Public+Library+Rocky+River+OH+library+website","Search")</f>
        <v>Search</v>
      </c>
      <c r="L2672" s="7"/>
      <c r="M2672" s="7"/>
    </row>
    <row r="2673" customFormat="false" ht="15" hidden="false" customHeight="true" outlineLevel="0" collapsed="false">
      <c r="A2673" s="4" t="s">
        <v>10261</v>
      </c>
      <c r="B2673" s="4" t="s">
        <v>10716</v>
      </c>
      <c r="C2673" s="4" t="s">
        <v>10717</v>
      </c>
      <c r="D2673" s="4" t="s">
        <v>8201</v>
      </c>
      <c r="E2673" s="5" t="n">
        <v>35915</v>
      </c>
      <c r="F2673" s="4" t="n">
        <v>2</v>
      </c>
      <c r="G2673" s="4" t="s">
        <v>10718</v>
      </c>
      <c r="H2673" s="4" t="n">
        <v>40.91918</v>
      </c>
      <c r="I2673" s="4" t="n">
        <v>-81.10233</v>
      </c>
      <c r="J2673" s="4" t="s">
        <v>10719</v>
      </c>
      <c r="K2673" s="6" t="str">
        <f aca="false">HYPERLINK("https://www.google.com/search?q=Rodman+Public+Library+Alliance+OH+library+website","Search")</f>
        <v>Search</v>
      </c>
      <c r="L2673" s="7"/>
      <c r="M2673" s="7"/>
    </row>
    <row r="2674" customFormat="false" ht="15" hidden="false" customHeight="true" outlineLevel="0" collapsed="false">
      <c r="A2674" s="4" t="s">
        <v>10261</v>
      </c>
      <c r="B2674" s="4" t="s">
        <v>10720</v>
      </c>
      <c r="C2674" s="4" t="s">
        <v>10721</v>
      </c>
      <c r="D2674" s="4" t="s">
        <v>10722</v>
      </c>
      <c r="E2674" s="5" t="n">
        <v>13548</v>
      </c>
      <c r="F2674" s="4" t="n">
        <v>1</v>
      </c>
      <c r="G2674" s="4" t="s">
        <v>10723</v>
      </c>
      <c r="H2674" s="4" t="n">
        <v>41.60822</v>
      </c>
      <c r="I2674" s="4" t="n">
        <v>-83.56134</v>
      </c>
      <c r="J2674" s="4" t="s">
        <v>10724</v>
      </c>
      <c r="K2674" s="6" t="str">
        <f aca="false">HYPERLINK("https://www.google.com/search?q=Rossford+Public+Library+Rossford+OH+library+website","Search")</f>
        <v>Search</v>
      </c>
      <c r="L2674" s="7"/>
      <c r="M2674" s="7"/>
    </row>
    <row r="2675" customFormat="false" ht="15" hidden="false" customHeight="true" outlineLevel="0" collapsed="false">
      <c r="A2675" s="4" t="s">
        <v>10261</v>
      </c>
      <c r="B2675" s="4" t="s">
        <v>5977</v>
      </c>
      <c r="C2675" s="4" t="s">
        <v>4598</v>
      </c>
      <c r="D2675" s="4" t="s">
        <v>232</v>
      </c>
      <c r="E2675" s="5" t="n">
        <v>16593</v>
      </c>
      <c r="F2675" s="4" t="n">
        <v>1</v>
      </c>
      <c r="G2675" s="4" t="s">
        <v>10725</v>
      </c>
      <c r="H2675" s="4" t="n">
        <v>40.90094</v>
      </c>
      <c r="I2675" s="4" t="n">
        <v>-80.84938</v>
      </c>
      <c r="J2675" s="4" t="s">
        <v>10726</v>
      </c>
      <c r="K2675" s="6" t="str">
        <f aca="false">HYPERLINK("https://www.google.com/search?q=Salem+Public+Library+Salem+OH+library+website","Search")</f>
        <v>Search</v>
      </c>
      <c r="L2675" s="7"/>
      <c r="M2675" s="7"/>
    </row>
    <row r="2676" customFormat="false" ht="15" hidden="false" customHeight="true" outlineLevel="0" collapsed="false">
      <c r="A2676" s="4" t="s">
        <v>10261</v>
      </c>
      <c r="B2676" s="4" t="s">
        <v>10727</v>
      </c>
      <c r="C2676" s="4" t="s">
        <v>10728</v>
      </c>
      <c r="D2676" s="4" t="s">
        <v>3012</v>
      </c>
      <c r="E2676" s="5" t="n">
        <v>42715</v>
      </c>
      <c r="F2676" s="4" t="n">
        <v>1</v>
      </c>
      <c r="G2676" s="4" t="s">
        <v>10729</v>
      </c>
      <c r="H2676" s="4" t="n">
        <v>39.35596</v>
      </c>
      <c r="I2676" s="4" t="n">
        <v>-84.14191</v>
      </c>
      <c r="J2676" s="4" t="s">
        <v>10730</v>
      </c>
      <c r="K2676" s="6" t="str">
        <f aca="false">HYPERLINK("https://www.google.com/search?q=Salem+Township+Public+Library+Morrow+OH+library+website","Search")</f>
        <v>Search</v>
      </c>
      <c r="L2676" s="7"/>
      <c r="M2676" s="7"/>
    </row>
    <row r="2677" customFormat="false" ht="15" hidden="false" customHeight="true" outlineLevel="0" collapsed="false">
      <c r="A2677" s="4" t="s">
        <v>10261</v>
      </c>
      <c r="B2677" s="4" t="s">
        <v>10731</v>
      </c>
      <c r="C2677" s="4" t="s">
        <v>10312</v>
      </c>
      <c r="D2677" s="4" t="s">
        <v>9253</v>
      </c>
      <c r="E2677" s="5" t="n">
        <v>44878</v>
      </c>
      <c r="F2677" s="4" t="n">
        <v>2</v>
      </c>
      <c r="G2677" s="4" t="s">
        <v>10732</v>
      </c>
      <c r="H2677" s="4" t="n">
        <v>41.45352</v>
      </c>
      <c r="I2677" s="4" t="n">
        <v>-82.71071</v>
      </c>
      <c r="J2677" s="4" t="s">
        <v>10733</v>
      </c>
      <c r="K2677" s="6" t="str">
        <f aca="false">HYPERLINK("https://www.google.com/search?q=Sandusky+Library+Sandusky+OH+library+website","Search")</f>
        <v>Search</v>
      </c>
      <c r="L2677" s="7"/>
      <c r="M2677" s="7"/>
    </row>
    <row r="2678" customFormat="false" ht="15" hidden="false" customHeight="true" outlineLevel="0" collapsed="false">
      <c r="A2678" s="4" t="s">
        <v>10261</v>
      </c>
      <c r="B2678" s="4" t="s">
        <v>10734</v>
      </c>
      <c r="C2678" s="4" t="s">
        <v>10735</v>
      </c>
      <c r="D2678" s="4" t="s">
        <v>10728</v>
      </c>
      <c r="E2678" s="5" t="n">
        <v>10427</v>
      </c>
      <c r="F2678" s="4" t="n">
        <v>1</v>
      </c>
      <c r="G2678" s="4" t="s">
        <v>10736</v>
      </c>
      <c r="H2678" s="4" t="n">
        <v>40.48003</v>
      </c>
      <c r="I2678" s="4" t="n">
        <v>-82.68312</v>
      </c>
      <c r="J2678" s="4" t="s">
        <v>10737</v>
      </c>
      <c r="K2678" s="6" t="str">
        <f aca="false">HYPERLINK("https://www.google.com/search?q=Selover+Public+Library+Chesterville+OH+library+website","Search")</f>
        <v>Search</v>
      </c>
      <c r="L2678" s="7"/>
      <c r="M2678" s="7"/>
    </row>
    <row r="2679" customFormat="false" ht="15" hidden="false" customHeight="true" outlineLevel="0" collapsed="false">
      <c r="A2679" s="4" t="s">
        <v>10261</v>
      </c>
      <c r="B2679" s="4" t="s">
        <v>10738</v>
      </c>
      <c r="C2679" s="4" t="s">
        <v>10739</v>
      </c>
      <c r="D2679" s="4" t="s">
        <v>10362</v>
      </c>
      <c r="E2679" s="5" t="n">
        <v>33188</v>
      </c>
      <c r="F2679" s="4" t="n">
        <v>2</v>
      </c>
      <c r="G2679" s="4" t="s">
        <v>10740</v>
      </c>
      <c r="H2679" s="4" t="n">
        <v>41.46639</v>
      </c>
      <c r="I2679" s="4" t="n">
        <v>-81.56649</v>
      </c>
      <c r="J2679" s="4" t="s">
        <v>10741</v>
      </c>
      <c r="K2679" s="6" t="str">
        <f aca="false">HYPERLINK("https://www.google.com/search?q=Shaker+Heights+Public+Library+Shaker+Heights+OH+library+website","Search")</f>
        <v>Search</v>
      </c>
      <c r="L2679" s="7"/>
      <c r="M2679" s="7"/>
    </row>
    <row r="2680" customFormat="false" ht="15" hidden="false" customHeight="true" outlineLevel="0" collapsed="false">
      <c r="A2680" s="4" t="s">
        <v>10261</v>
      </c>
      <c r="B2680" s="4" t="s">
        <v>10742</v>
      </c>
      <c r="C2680" s="4" t="s">
        <v>7859</v>
      </c>
      <c r="D2680" s="4" t="s">
        <v>53</v>
      </c>
      <c r="E2680" s="5" t="n">
        <v>24714</v>
      </c>
      <c r="F2680" s="4" t="n">
        <v>6</v>
      </c>
      <c r="G2680" s="4" t="s">
        <v>10743</v>
      </c>
      <c r="H2680" s="4" t="n">
        <v>40.28691</v>
      </c>
      <c r="I2680" s="4" t="n">
        <v>-84.15397</v>
      </c>
      <c r="J2680" s="4" t="s">
        <v>10744</v>
      </c>
      <c r="K2680" s="6" t="str">
        <f aca="false">HYPERLINK("https://www.google.com/search?q=Shelby+County+Libraries+-+Amos+Memorial+Sidney+OH+library+website","Search")</f>
        <v>Search</v>
      </c>
      <c r="L2680" s="7"/>
      <c r="M2680" s="7"/>
    </row>
    <row r="2681" customFormat="false" ht="15" hidden="false" customHeight="true" outlineLevel="0" collapsed="false">
      <c r="A2681" s="4" t="s">
        <v>10261</v>
      </c>
      <c r="B2681" s="4" t="s">
        <v>10745</v>
      </c>
      <c r="C2681" s="4" t="s">
        <v>10746</v>
      </c>
      <c r="D2681" s="4" t="s">
        <v>384</v>
      </c>
      <c r="E2681" s="5" t="n">
        <v>147074</v>
      </c>
      <c r="F2681" s="4" t="n">
        <v>2</v>
      </c>
      <c r="G2681" s="4" t="s">
        <v>10747</v>
      </c>
      <c r="H2681" s="4" t="n">
        <v>39.88327</v>
      </c>
      <c r="I2681" s="4" t="n">
        <v>-83.09273</v>
      </c>
      <c r="J2681" s="4" t="s">
        <v>10748</v>
      </c>
      <c r="K2681" s="6" t="str">
        <f aca="false">HYPERLINK("https://www.google.com/search?q=Southwest+Public+Libraries+Grove+City+OH+library+website","Search")</f>
        <v>Search</v>
      </c>
      <c r="L2681" s="7"/>
      <c r="M2681" s="8" t="str">
        <f aca="false">HYPERLINK("https://waggin.overdrive.com","https://waggin.overdrive.com")</f>
        <v>https://waggin.overdrive.com</v>
      </c>
    </row>
    <row r="2682" customFormat="false" ht="15" hidden="false" customHeight="true" outlineLevel="0" collapsed="false">
      <c r="A2682" s="4" t="s">
        <v>10261</v>
      </c>
      <c r="B2682" s="4" t="s">
        <v>10749</v>
      </c>
      <c r="C2682" s="4" t="s">
        <v>10750</v>
      </c>
      <c r="D2682" s="4" t="s">
        <v>5528</v>
      </c>
      <c r="E2682" s="5" t="n">
        <v>16084</v>
      </c>
      <c r="F2682" s="4" t="n">
        <v>1</v>
      </c>
      <c r="G2682" s="4" t="s">
        <v>10751</v>
      </c>
      <c r="H2682" s="4" t="n">
        <v>40.08038</v>
      </c>
      <c r="I2682" s="4" t="n">
        <v>-80.90106</v>
      </c>
      <c r="J2682" s="4" t="s">
        <v>10752</v>
      </c>
      <c r="K2682" s="6" t="str">
        <f aca="false">HYPERLINK("https://www.google.com/search?q=St.+Clairsville+Public+Library+St.+Clairsville+OH+library+website","Search")</f>
        <v>Search</v>
      </c>
      <c r="L2682" s="7"/>
      <c r="M2682" s="7"/>
    </row>
    <row r="2683" customFormat="false" ht="15" hidden="false" customHeight="true" outlineLevel="0" collapsed="false">
      <c r="A2683" s="4" t="s">
        <v>10261</v>
      </c>
      <c r="B2683" s="4" t="s">
        <v>10753</v>
      </c>
      <c r="C2683" s="4" t="s">
        <v>4784</v>
      </c>
      <c r="D2683" s="4" t="s">
        <v>10285</v>
      </c>
      <c r="E2683" s="5" t="n">
        <v>13409</v>
      </c>
      <c r="F2683" s="4" t="n">
        <v>1</v>
      </c>
      <c r="G2683" s="4" t="s">
        <v>10754</v>
      </c>
      <c r="H2683" s="4" t="n">
        <v>40.54294</v>
      </c>
      <c r="I2683" s="4" t="n">
        <v>-84.38578</v>
      </c>
      <c r="J2683" s="4" t="s">
        <v>10755</v>
      </c>
      <c r="K2683" s="6" t="str">
        <f aca="false">HYPERLINK("https://www.google.com/search?q=St.+Marys+Community+Public+Library+St.+Marys+OH+library+website","Search")</f>
        <v>Search</v>
      </c>
      <c r="L2683" s="7"/>
      <c r="M2683" s="7"/>
    </row>
    <row r="2684" customFormat="false" ht="15" hidden="false" customHeight="true" outlineLevel="0" collapsed="false">
      <c r="A2684" s="4" t="s">
        <v>10261</v>
      </c>
      <c r="B2684" s="4" t="s">
        <v>10756</v>
      </c>
      <c r="C2684" s="4" t="s">
        <v>1853</v>
      </c>
      <c r="D2684" s="4" t="s">
        <v>8201</v>
      </c>
      <c r="E2684" s="5" t="n">
        <v>241356</v>
      </c>
      <c r="F2684" s="4" t="n">
        <v>10</v>
      </c>
      <c r="G2684" s="4" t="s">
        <v>10757</v>
      </c>
      <c r="H2684" s="4" t="n">
        <v>40.80321</v>
      </c>
      <c r="I2684" s="4" t="n">
        <v>-81.37318</v>
      </c>
      <c r="J2684" s="4" t="s">
        <v>10758</v>
      </c>
      <c r="K2684" s="6" t="str">
        <f aca="false">HYPERLINK("https://www.google.com/search?q=Stark+County+District+Library+Canton+OH+library+website","Search")</f>
        <v>Search</v>
      </c>
      <c r="L2684" s="7"/>
      <c r="M2684" s="7"/>
    </row>
    <row r="2685" customFormat="false" ht="15" hidden="false" customHeight="true" outlineLevel="0" collapsed="false">
      <c r="A2685" s="4" t="s">
        <v>10261</v>
      </c>
      <c r="B2685" s="4" t="s">
        <v>10759</v>
      </c>
      <c r="C2685" s="4" t="s">
        <v>10760</v>
      </c>
      <c r="D2685" s="4" t="s">
        <v>98</v>
      </c>
      <c r="E2685" s="5" t="n">
        <v>65249</v>
      </c>
      <c r="F2685" s="4" t="n">
        <v>7</v>
      </c>
      <c r="G2685" s="4" t="s">
        <v>10761</v>
      </c>
      <c r="H2685" s="4" t="n">
        <v>40.3555</v>
      </c>
      <c r="I2685" s="4" t="n">
        <v>-80.61751</v>
      </c>
      <c r="J2685" s="4" t="s">
        <v>10762</v>
      </c>
      <c r="K2685" s="6" t="str">
        <f aca="false">HYPERLINK("https://www.google.com/search?q=Steubenville+%26+Jefferson+County%2C+Pl+Of+Steubenville+OH+library+website","Search")</f>
        <v>Search</v>
      </c>
      <c r="L2685" s="7"/>
      <c r="M2685" s="7"/>
    </row>
    <row r="2686" customFormat="false" ht="15" hidden="false" customHeight="true" outlineLevel="0" collapsed="false">
      <c r="A2686" s="4" t="s">
        <v>10261</v>
      </c>
      <c r="B2686" s="4" t="s">
        <v>10763</v>
      </c>
      <c r="C2686" s="4" t="s">
        <v>10764</v>
      </c>
      <c r="D2686" s="4" t="s">
        <v>1768</v>
      </c>
      <c r="E2686" s="5" t="n">
        <v>39905</v>
      </c>
      <c r="F2686" s="4" t="n">
        <v>1</v>
      </c>
      <c r="G2686" s="4" t="s">
        <v>10765</v>
      </c>
      <c r="H2686" s="4" t="n">
        <v>41.16076</v>
      </c>
      <c r="I2686" s="4" t="n">
        <v>-81.44043</v>
      </c>
      <c r="J2686" s="4" t="s">
        <v>10766</v>
      </c>
      <c r="K2686" s="6" t="str">
        <f aca="false">HYPERLINK("https://www.google.com/search?q=Stow-Munroe+Falls+Public+Library+Stow+OH+library+website","Search")</f>
        <v>Search</v>
      </c>
      <c r="L2686" s="7"/>
      <c r="M2686" s="7"/>
    </row>
    <row r="2687" customFormat="false" ht="15" hidden="false" customHeight="true" outlineLevel="0" collapsed="false">
      <c r="A2687" s="4" t="s">
        <v>10261</v>
      </c>
      <c r="B2687" s="4" t="s">
        <v>10767</v>
      </c>
      <c r="C2687" s="4" t="s">
        <v>10768</v>
      </c>
      <c r="D2687" s="4" t="s">
        <v>10524</v>
      </c>
      <c r="E2687" s="5" t="n">
        <v>31634</v>
      </c>
      <c r="F2687" s="4" t="n">
        <v>1</v>
      </c>
      <c r="G2687" s="4" t="s">
        <v>10769</v>
      </c>
      <c r="H2687" s="4" t="n">
        <v>41.11559</v>
      </c>
      <c r="I2687" s="4" t="n">
        <v>-83.17505</v>
      </c>
      <c r="J2687" s="4" t="s">
        <v>10770</v>
      </c>
      <c r="K2687" s="6" t="str">
        <f aca="false">HYPERLINK("https://www.google.com/search?q=Tiffin-Seneca+Public+Library+Tiffin+OH+library+website","Search")</f>
        <v>Search</v>
      </c>
      <c r="L2687" s="7"/>
      <c r="M2687" s="7"/>
    </row>
    <row r="2688" customFormat="false" ht="15" hidden="false" customHeight="true" outlineLevel="0" collapsed="false">
      <c r="A2688" s="4" t="s">
        <v>10261</v>
      </c>
      <c r="B2688" s="4" t="s">
        <v>10771</v>
      </c>
      <c r="C2688" s="4" t="s">
        <v>10772</v>
      </c>
      <c r="D2688" s="4" t="s">
        <v>2442</v>
      </c>
      <c r="E2688" s="5" t="n">
        <v>15296</v>
      </c>
      <c r="F2688" s="4" t="n">
        <v>1</v>
      </c>
      <c r="G2688" s="4" t="s">
        <v>10773</v>
      </c>
      <c r="H2688" s="4" t="n">
        <v>39.96124</v>
      </c>
      <c r="I2688" s="4" t="n">
        <v>-84.1709</v>
      </c>
      <c r="J2688" s="4" t="s">
        <v>10774</v>
      </c>
      <c r="K2688" s="6" t="str">
        <f aca="false">HYPERLINK("https://www.google.com/search?q=Tipp+City+Public+Library+Tipp+City+OH+library+website","Search")</f>
        <v>Search</v>
      </c>
      <c r="L2688" s="7"/>
      <c r="M2688" s="7"/>
    </row>
    <row r="2689" customFormat="false" ht="15" hidden="false" customHeight="true" outlineLevel="0" collapsed="false">
      <c r="A2689" s="4" t="s">
        <v>10261</v>
      </c>
      <c r="B2689" s="4" t="s">
        <v>10775</v>
      </c>
      <c r="C2689" s="4" t="s">
        <v>10776</v>
      </c>
      <c r="D2689" s="4" t="s">
        <v>10777</v>
      </c>
      <c r="E2689" s="5" t="n">
        <v>428505</v>
      </c>
      <c r="F2689" s="4" t="n">
        <v>20</v>
      </c>
      <c r="G2689" s="4" t="s">
        <v>10778</v>
      </c>
      <c r="H2689" s="4" t="n">
        <v>41.65412</v>
      </c>
      <c r="I2689" s="4" t="n">
        <v>-83.5394</v>
      </c>
      <c r="J2689" s="4" t="s">
        <v>10779</v>
      </c>
      <c r="K2689" s="6" t="str">
        <f aca="false">HYPERLINK("https://www.google.com/search?q=Toledo-Lucas+County+Public+Library+Toledo+OH+library+website","Search")</f>
        <v>Search</v>
      </c>
      <c r="L2689" s="7"/>
      <c r="M2689" s="8" t="str">
        <f aca="false">HYPERLINK("https://toledo.overdrive.com","https://toledo.overdrive.com")</f>
        <v>https://toledo.overdrive.com</v>
      </c>
    </row>
    <row r="2690" customFormat="false" ht="15" hidden="false" customHeight="true" outlineLevel="0" collapsed="false">
      <c r="A2690" s="4" t="s">
        <v>10261</v>
      </c>
      <c r="B2690" s="4" t="s">
        <v>10780</v>
      </c>
      <c r="C2690" s="4" t="s">
        <v>414</v>
      </c>
      <c r="D2690" s="4" t="s">
        <v>2442</v>
      </c>
      <c r="E2690" s="5" t="n">
        <v>53293</v>
      </c>
      <c r="F2690" s="4" t="n">
        <v>3</v>
      </c>
      <c r="G2690" s="4" t="s">
        <v>10781</v>
      </c>
      <c r="H2690" s="4" t="n">
        <v>40.04148</v>
      </c>
      <c r="I2690" s="4" t="n">
        <v>-84.20748</v>
      </c>
      <c r="J2690" s="4" t="s">
        <v>10782</v>
      </c>
      <c r="K2690" s="6" t="str">
        <f aca="false">HYPERLINK("https://www.google.com/search?q=Troy-Miami+County+Public+Library+Troy+OH+library+website","Search")</f>
        <v>Search</v>
      </c>
      <c r="L2690" s="7"/>
      <c r="M2690" s="7"/>
    </row>
    <row r="2691" customFormat="false" ht="15" hidden="false" customHeight="true" outlineLevel="0" collapsed="false">
      <c r="A2691" s="4" t="s">
        <v>10261</v>
      </c>
      <c r="B2691" s="4" t="s">
        <v>10783</v>
      </c>
      <c r="C2691" s="4" t="s">
        <v>10784</v>
      </c>
      <c r="D2691" s="4" t="s">
        <v>10353</v>
      </c>
      <c r="E2691" s="5" t="n">
        <v>55515</v>
      </c>
      <c r="F2691" s="4" t="n">
        <v>5</v>
      </c>
      <c r="G2691" s="4" t="s">
        <v>10785</v>
      </c>
      <c r="H2691" s="4" t="n">
        <v>40.49146</v>
      </c>
      <c r="I2691" s="4" t="n">
        <v>-81.44592</v>
      </c>
      <c r="J2691" s="4" t="s">
        <v>10786</v>
      </c>
      <c r="K2691" s="6" t="str">
        <f aca="false">HYPERLINK("https://www.google.com/search?q=Tuscarawas+County+Public+Library+New+Philadelphia+OH+library+website","Search")</f>
        <v>Search</v>
      </c>
      <c r="L2691" s="7"/>
      <c r="M2691" s="7"/>
    </row>
    <row r="2692" customFormat="false" ht="15" hidden="false" customHeight="true" outlineLevel="0" collapsed="false">
      <c r="A2692" s="4" t="s">
        <v>10261</v>
      </c>
      <c r="B2692" s="4" t="s">
        <v>10787</v>
      </c>
      <c r="C2692" s="4" t="s">
        <v>10788</v>
      </c>
      <c r="D2692" s="4" t="s">
        <v>1768</v>
      </c>
      <c r="E2692" s="5" t="n">
        <v>27452</v>
      </c>
      <c r="F2692" s="4" t="n">
        <v>1</v>
      </c>
      <c r="G2692" s="4" t="s">
        <v>10789</v>
      </c>
      <c r="H2692" s="4" t="n">
        <v>41.31785</v>
      </c>
      <c r="I2692" s="4" t="n">
        <v>-81.44817</v>
      </c>
      <c r="J2692" s="4" t="s">
        <v>10790</v>
      </c>
      <c r="K2692" s="6" t="str">
        <f aca="false">HYPERLINK("https://www.google.com/search?q=Twinsburg+Public+Library+Twinsburg+OH+library+website","Search")</f>
        <v>Search</v>
      </c>
      <c r="L2692" s="7"/>
      <c r="M2692" s="7"/>
    </row>
    <row r="2693" customFormat="false" ht="15" hidden="false" customHeight="true" outlineLevel="0" collapsed="false">
      <c r="A2693" s="4" t="s">
        <v>10261</v>
      </c>
      <c r="B2693" s="4" t="s">
        <v>10791</v>
      </c>
      <c r="C2693" s="4" t="s">
        <v>4265</v>
      </c>
      <c r="D2693" s="4" t="s">
        <v>4282</v>
      </c>
      <c r="E2693" s="5" t="n">
        <v>13774</v>
      </c>
      <c r="F2693" s="4" t="n">
        <v>3</v>
      </c>
      <c r="G2693" s="4" t="s">
        <v>10792</v>
      </c>
      <c r="H2693" s="4" t="n">
        <v>38.74544</v>
      </c>
      <c r="I2693" s="4" t="n">
        <v>-83.84557</v>
      </c>
      <c r="J2693" s="4" t="s">
        <v>10793</v>
      </c>
      <c r="K2693" s="6" t="str">
        <f aca="false">HYPERLINK("https://www.google.com/search?q=Union+Township+Public+Library+Ripley+OH+library+website","Search")</f>
        <v>Search</v>
      </c>
      <c r="L2693" s="7"/>
      <c r="M2693" s="7"/>
    </row>
    <row r="2694" customFormat="false" ht="15" hidden="false" customHeight="true" outlineLevel="0" collapsed="false">
      <c r="A2694" s="4" t="s">
        <v>10261</v>
      </c>
      <c r="B2694" s="4" t="s">
        <v>10794</v>
      </c>
      <c r="C2694" s="4" t="s">
        <v>10795</v>
      </c>
      <c r="D2694" s="4" t="s">
        <v>384</v>
      </c>
      <c r="E2694" s="5" t="n">
        <v>36298</v>
      </c>
      <c r="F2694" s="4" t="n">
        <v>3</v>
      </c>
      <c r="G2694" s="4" t="s">
        <v>10796</v>
      </c>
      <c r="H2694" s="4" t="n">
        <v>40.01316</v>
      </c>
      <c r="I2694" s="4" t="n">
        <v>-83.068</v>
      </c>
      <c r="J2694" s="4" t="s">
        <v>10797</v>
      </c>
      <c r="K2694" s="6" t="str">
        <f aca="false">HYPERLINK("https://www.google.com/search?q=Upper+Arlington+Public+Library+Upper+Arlington+OH+library+website","Search")</f>
        <v>Search</v>
      </c>
      <c r="L2694" s="7"/>
      <c r="M2694" s="7"/>
    </row>
    <row r="2695" customFormat="false" ht="15" hidden="false" customHeight="true" outlineLevel="0" collapsed="false">
      <c r="A2695" s="4" t="s">
        <v>10261</v>
      </c>
      <c r="B2695" s="4" t="s">
        <v>10798</v>
      </c>
      <c r="C2695" s="4" t="s">
        <v>10799</v>
      </c>
      <c r="D2695" s="4" t="s">
        <v>10800</v>
      </c>
      <c r="E2695" s="5" t="n">
        <v>11376</v>
      </c>
      <c r="F2695" s="4" t="n">
        <v>1</v>
      </c>
      <c r="G2695" s="4" t="s">
        <v>10801</v>
      </c>
      <c r="H2695" s="4" t="n">
        <v>40.83068</v>
      </c>
      <c r="I2695" s="4" t="n">
        <v>-83.28132</v>
      </c>
      <c r="J2695" s="4" t="s">
        <v>10802</v>
      </c>
      <c r="K2695" s="6" t="str">
        <f aca="false">HYPERLINK("https://www.google.com/search?q=Upper+Sandusky+Community+Library+Upper+Sandusky+OH+library+website","Search")</f>
        <v>Search</v>
      </c>
      <c r="L2695" s="7"/>
      <c r="M2695" s="7"/>
    </row>
    <row r="2696" customFormat="false" ht="15" hidden="false" customHeight="true" outlineLevel="0" collapsed="false">
      <c r="A2696" s="4" t="s">
        <v>10261</v>
      </c>
      <c r="B2696" s="4" t="s">
        <v>10803</v>
      </c>
      <c r="C2696" s="4" t="s">
        <v>3012</v>
      </c>
      <c r="D2696" s="4" t="s">
        <v>2146</v>
      </c>
      <c r="E2696" s="5" t="n">
        <v>142591</v>
      </c>
      <c r="F2696" s="4" t="n">
        <v>6</v>
      </c>
      <c r="G2696" s="4" t="s">
        <v>10804</v>
      </c>
      <c r="H2696" s="4" t="n">
        <v>41.23998</v>
      </c>
      <c r="I2696" s="4" t="n">
        <v>-80.82316</v>
      </c>
      <c r="J2696" s="4" t="s">
        <v>10805</v>
      </c>
      <c r="K2696" s="6" t="str">
        <f aca="false">HYPERLINK("https://www.google.com/search?q=Warren-Trumbull+County+Public+Library+Warren+OH+library+website","Search")</f>
        <v>Search</v>
      </c>
      <c r="L2696" s="7"/>
      <c r="M2696" s="8" t="str">
        <f aca="false">HYPERLINK("https://wtcpl.overdrive.com","https://wtcpl.overdrive.com")</f>
        <v>https://wtcpl.overdrive.com</v>
      </c>
    </row>
    <row r="2697" customFormat="false" ht="15" hidden="false" customHeight="true" outlineLevel="0" collapsed="false">
      <c r="A2697" s="4" t="s">
        <v>10261</v>
      </c>
      <c r="B2697" s="4" t="s">
        <v>439</v>
      </c>
      <c r="C2697" s="4" t="s">
        <v>2648</v>
      </c>
      <c r="D2697" s="4" t="s">
        <v>441</v>
      </c>
      <c r="E2697" s="5" t="n">
        <v>59711</v>
      </c>
      <c r="F2697" s="4" t="n">
        <v>7</v>
      </c>
      <c r="G2697" s="4" t="s">
        <v>10806</v>
      </c>
      <c r="H2697" s="4" t="n">
        <v>39.42444</v>
      </c>
      <c r="I2697" s="4" t="n">
        <v>-81.45758</v>
      </c>
      <c r="J2697" s="4" t="s">
        <v>10807</v>
      </c>
      <c r="K2697" s="6" t="str">
        <f aca="false">HYPERLINK("https://www.google.com/search?q=Washington+County+Public+Library+Marietta+OH+library+website","Search")</f>
        <v>Search</v>
      </c>
      <c r="L2697" s="7"/>
      <c r="M2697" s="7"/>
    </row>
    <row r="2698" customFormat="false" ht="15" hidden="false" customHeight="true" outlineLevel="0" collapsed="false">
      <c r="A2698" s="4" t="s">
        <v>10261</v>
      </c>
      <c r="B2698" s="4" t="s">
        <v>10808</v>
      </c>
      <c r="C2698" s="4" t="s">
        <v>10809</v>
      </c>
      <c r="D2698" s="4" t="s">
        <v>315</v>
      </c>
      <c r="E2698" s="5" t="n">
        <v>59771</v>
      </c>
      <c r="F2698" s="4" t="n">
        <v>3</v>
      </c>
      <c r="G2698" s="4" t="s">
        <v>10810</v>
      </c>
      <c r="H2698" s="4" t="n">
        <v>39.61362</v>
      </c>
      <c r="I2698" s="4" t="n">
        <v>-84.16356</v>
      </c>
      <c r="J2698" s="4" t="s">
        <v>10811</v>
      </c>
      <c r="K2698" s="6" t="str">
        <f aca="false">HYPERLINK("https://www.google.com/search?q=Washington-Centerville+Public+Library+Centerville+OH+library+website","Search")</f>
        <v>Search</v>
      </c>
      <c r="L2698" s="7"/>
      <c r="M2698" s="7"/>
    </row>
    <row r="2699" customFormat="false" ht="15" hidden="false" customHeight="true" outlineLevel="0" collapsed="false">
      <c r="A2699" s="4" t="s">
        <v>10261</v>
      </c>
      <c r="B2699" s="4" t="s">
        <v>10812</v>
      </c>
      <c r="C2699" s="4" t="s">
        <v>10813</v>
      </c>
      <c r="D2699" s="4" t="s">
        <v>2691</v>
      </c>
      <c r="E2699" s="5" t="n">
        <v>10457</v>
      </c>
      <c r="F2699" s="4" t="n">
        <v>1</v>
      </c>
      <c r="G2699" s="4" t="s">
        <v>10814</v>
      </c>
      <c r="H2699" s="4" t="n">
        <v>41.54933</v>
      </c>
      <c r="I2699" s="4" t="n">
        <v>-84.14077</v>
      </c>
      <c r="J2699" s="4" t="s">
        <v>10815</v>
      </c>
      <c r="K2699" s="6" t="str">
        <f aca="false">HYPERLINK("https://www.google.com/search?q=Wauseon+Public+Library+Wauseon+OH+library+website","Search")</f>
        <v>Search</v>
      </c>
      <c r="L2699" s="7"/>
      <c r="M2699" s="7"/>
    </row>
    <row r="2700" customFormat="false" ht="15" hidden="false" customHeight="true" outlineLevel="0" collapsed="false">
      <c r="A2700" s="4" t="s">
        <v>10261</v>
      </c>
      <c r="B2700" s="4" t="s">
        <v>10816</v>
      </c>
      <c r="C2700" s="4" t="s">
        <v>10817</v>
      </c>
      <c r="D2700" s="4" t="s">
        <v>10722</v>
      </c>
      <c r="E2700" s="5" t="n">
        <v>24972</v>
      </c>
      <c r="F2700" s="4" t="n">
        <v>1</v>
      </c>
      <c r="G2700" s="4" t="s">
        <v>10818</v>
      </c>
      <c r="H2700" s="4" t="n">
        <v>41.5573</v>
      </c>
      <c r="I2700" s="4" t="n">
        <v>-83.62741</v>
      </c>
      <c r="J2700" s="4" t="s">
        <v>10819</v>
      </c>
      <c r="K2700" s="6" t="str">
        <f aca="false">HYPERLINK("https://www.google.com/search?q=Way+Public+Library+Perrysburg+OH+library+website","Search")</f>
        <v>Search</v>
      </c>
      <c r="L2700" s="7"/>
      <c r="M2700" s="7"/>
    </row>
    <row r="2701" customFormat="false" ht="15" hidden="false" customHeight="true" outlineLevel="0" collapsed="false">
      <c r="A2701" s="4" t="s">
        <v>10261</v>
      </c>
      <c r="B2701" s="4" t="s">
        <v>5197</v>
      </c>
      <c r="C2701" s="4" t="s">
        <v>10820</v>
      </c>
      <c r="D2701" s="4" t="s">
        <v>2849</v>
      </c>
      <c r="E2701" s="5" t="n">
        <v>105271</v>
      </c>
      <c r="F2701" s="4" t="n">
        <v>7</v>
      </c>
      <c r="G2701" s="4" t="s">
        <v>10821</v>
      </c>
      <c r="H2701" s="4" t="n">
        <v>40.80085</v>
      </c>
      <c r="I2701" s="4" t="n">
        <v>-81.94069</v>
      </c>
      <c r="J2701" s="4" t="s">
        <v>10822</v>
      </c>
      <c r="K2701" s="6" t="str">
        <f aca="false">HYPERLINK("https://www.google.com/search?q=Wayne+County+Public+Library+Wooster+OH+library+website","Search")</f>
        <v>Search</v>
      </c>
      <c r="L2701" s="7"/>
      <c r="M2701" s="7"/>
    </row>
    <row r="2702" customFormat="false" ht="15" hidden="false" customHeight="true" outlineLevel="0" collapsed="false">
      <c r="A2702" s="4" t="s">
        <v>10261</v>
      </c>
      <c r="B2702" s="4" t="s">
        <v>10823</v>
      </c>
      <c r="C2702" s="4" t="s">
        <v>10824</v>
      </c>
      <c r="D2702" s="4" t="s">
        <v>384</v>
      </c>
      <c r="E2702" s="5" t="n">
        <v>100042</v>
      </c>
      <c r="F2702" s="4" t="n">
        <v>1</v>
      </c>
      <c r="G2702" s="4" t="s">
        <v>10825</v>
      </c>
      <c r="H2702" s="4" t="n">
        <v>40.12283</v>
      </c>
      <c r="I2702" s="4" t="n">
        <v>-82.93045</v>
      </c>
      <c r="J2702" s="4" t="s">
        <v>10826</v>
      </c>
      <c r="K2702" s="6" t="str">
        <f aca="false">HYPERLINK("https://www.google.com/search?q=Westerville+Public+Library+Westerville+OH+library+website","Search")</f>
        <v>Search</v>
      </c>
      <c r="L2702" s="7"/>
      <c r="M2702" s="7"/>
    </row>
    <row r="2703" customFormat="false" ht="15" hidden="false" customHeight="true" outlineLevel="0" collapsed="false">
      <c r="A2703" s="4" t="s">
        <v>10261</v>
      </c>
      <c r="B2703" s="4" t="s">
        <v>10827</v>
      </c>
      <c r="C2703" s="4" t="s">
        <v>4817</v>
      </c>
      <c r="D2703" s="4" t="s">
        <v>1118</v>
      </c>
      <c r="E2703" s="5" t="n">
        <v>12652</v>
      </c>
      <c r="F2703" s="4" t="n">
        <v>1</v>
      </c>
      <c r="G2703" s="4" t="s">
        <v>10828</v>
      </c>
      <c r="H2703" s="4" t="n">
        <v>41.60378</v>
      </c>
      <c r="I2703" s="4" t="n">
        <v>-81.47408</v>
      </c>
      <c r="J2703" s="4" t="s">
        <v>10829</v>
      </c>
      <c r="K2703" s="6" t="str">
        <f aca="false">HYPERLINK("https://www.google.com/search?q=Wickliffe+Public+Library+Wickliffe+OH+library+website","Search")</f>
        <v>Search</v>
      </c>
      <c r="L2703" s="7"/>
      <c r="M2703" s="7"/>
    </row>
    <row r="2704" customFormat="false" ht="15" hidden="false" customHeight="true" outlineLevel="0" collapsed="false">
      <c r="A2704" s="4" t="s">
        <v>10261</v>
      </c>
      <c r="B2704" s="4" t="s">
        <v>10830</v>
      </c>
      <c r="C2704" s="4" t="s">
        <v>10831</v>
      </c>
      <c r="D2704" s="4" t="s">
        <v>8248</v>
      </c>
      <c r="E2704" s="5" t="n">
        <v>31533</v>
      </c>
      <c r="F2704" s="4" t="n">
        <v>6</v>
      </c>
      <c r="G2704" s="4" t="s">
        <v>10832</v>
      </c>
      <c r="H2704" s="4" t="n">
        <v>41.47463</v>
      </c>
      <c r="I2704" s="4" t="n">
        <v>-84.55009</v>
      </c>
      <c r="J2704" s="4" t="s">
        <v>10833</v>
      </c>
      <c r="K2704" s="6" t="str">
        <f aca="false">HYPERLINK("https://www.google.com/search?q=Williams+Co+Public+Library+Bryan+OH+library+website","Search")</f>
        <v>Search</v>
      </c>
      <c r="L2704" s="7"/>
      <c r="M2704" s="7"/>
    </row>
    <row r="2705" customFormat="false" ht="15" hidden="false" customHeight="true" outlineLevel="0" collapsed="false">
      <c r="A2705" s="4" t="s">
        <v>10261</v>
      </c>
      <c r="B2705" s="4" t="s">
        <v>10834</v>
      </c>
      <c r="C2705" s="4" t="s">
        <v>10835</v>
      </c>
      <c r="D2705" s="4" t="s">
        <v>1118</v>
      </c>
      <c r="E2705" s="5" t="n">
        <v>66639</v>
      </c>
      <c r="F2705" s="4" t="n">
        <v>4</v>
      </c>
      <c r="G2705" s="4" t="s">
        <v>10836</v>
      </c>
      <c r="H2705" s="4" t="n">
        <v>41.63743</v>
      </c>
      <c r="I2705" s="4" t="n">
        <v>-81.47281</v>
      </c>
      <c r="J2705" s="4" t="s">
        <v>10837</v>
      </c>
      <c r="K2705" s="6" t="str">
        <f aca="false">HYPERLINK("https://www.google.com/search?q=Willoughby-Eastlake+Public+Library+Willowick+OH+library+website","Search")</f>
        <v>Search</v>
      </c>
      <c r="L2705" s="7"/>
      <c r="M2705" s="7"/>
    </row>
    <row r="2706" customFormat="false" ht="15" hidden="false" customHeight="true" outlineLevel="0" collapsed="false">
      <c r="A2706" s="4" t="s">
        <v>10261</v>
      </c>
      <c r="B2706" s="4" t="s">
        <v>10838</v>
      </c>
      <c r="C2706" s="4" t="s">
        <v>2278</v>
      </c>
      <c r="D2706" s="4" t="s">
        <v>1964</v>
      </c>
      <c r="E2706" s="5" t="n">
        <v>28434</v>
      </c>
      <c r="F2706" s="4" t="n">
        <v>2</v>
      </c>
      <c r="G2706" s="4" t="s">
        <v>10839</v>
      </c>
      <c r="H2706" s="4" t="n">
        <v>39.44909</v>
      </c>
      <c r="I2706" s="4" t="n">
        <v>-83.82837</v>
      </c>
      <c r="J2706" s="4" t="s">
        <v>10840</v>
      </c>
      <c r="K2706" s="6" t="str">
        <f aca="false">HYPERLINK("https://www.google.com/search?q=Wilmington+Public+Library+Of+Clinton+County+Wilmington+OH+library+website","Search")</f>
        <v>Search</v>
      </c>
      <c r="L2706" s="7"/>
      <c r="M2706" s="7"/>
    </row>
    <row r="2707" customFormat="false" ht="15" hidden="false" customHeight="true" outlineLevel="0" collapsed="false">
      <c r="A2707" s="4" t="s">
        <v>10261</v>
      </c>
      <c r="B2707" s="4" t="s">
        <v>10841</v>
      </c>
      <c r="C2707" s="4" t="s">
        <v>5192</v>
      </c>
      <c r="D2707" s="4" t="s">
        <v>10722</v>
      </c>
      <c r="E2707" s="5" t="n">
        <v>60312</v>
      </c>
      <c r="F2707" s="4" t="n">
        <v>2</v>
      </c>
      <c r="G2707" s="4" t="s">
        <v>10842</v>
      </c>
      <c r="H2707" s="4" t="n">
        <v>41.37629</v>
      </c>
      <c r="I2707" s="4" t="n">
        <v>-83.65049</v>
      </c>
      <c r="J2707" s="4" t="s">
        <v>10843</v>
      </c>
      <c r="K2707" s="6" t="str">
        <f aca="false">HYPERLINK("https://www.google.com/search?q=Wood+County+District+Public+Library+Bowling+Green+OH+library+website","Search")</f>
        <v>Search</v>
      </c>
      <c r="L2707" s="7"/>
      <c r="M2707" s="8" t="str">
        <f aca="false">HYPERLINK("https://wcdpl.overdrive.com","https://wcdpl.overdrive.com")</f>
        <v>https://wcdpl.overdrive.com</v>
      </c>
    </row>
    <row r="2708" customFormat="false" ht="15" hidden="false" customHeight="true" outlineLevel="0" collapsed="false">
      <c r="A2708" s="4" t="s">
        <v>10261</v>
      </c>
      <c r="B2708" s="4" t="s">
        <v>10844</v>
      </c>
      <c r="C2708" s="4" t="s">
        <v>7240</v>
      </c>
      <c r="D2708" s="4" t="s">
        <v>384</v>
      </c>
      <c r="E2708" s="5" t="n">
        <v>66832</v>
      </c>
      <c r="F2708" s="4" t="n">
        <v>3</v>
      </c>
      <c r="G2708" s="4" t="s">
        <v>10845</v>
      </c>
      <c r="H2708" s="4" t="n">
        <v>40.09064</v>
      </c>
      <c r="I2708" s="4" t="n">
        <v>-83.01798</v>
      </c>
      <c r="J2708" s="4" t="s">
        <v>10846</v>
      </c>
      <c r="K2708" s="6" t="str">
        <f aca="false">HYPERLINK("https://www.google.com/search?q=Worthington+Public+Library+Worthington+OH+library+website","Search")</f>
        <v>Search</v>
      </c>
      <c r="L2708" s="7"/>
      <c r="M2708" s="7"/>
    </row>
    <row r="2709" customFormat="false" ht="15" hidden="false" customHeight="true" outlineLevel="0" collapsed="false">
      <c r="A2709" s="4" t="s">
        <v>10261</v>
      </c>
      <c r="B2709" s="4" t="s">
        <v>10847</v>
      </c>
      <c r="C2709" s="4" t="s">
        <v>10848</v>
      </c>
      <c r="D2709" s="4" t="s">
        <v>10849</v>
      </c>
      <c r="E2709" s="5" t="n">
        <v>226005</v>
      </c>
      <c r="F2709" s="4" t="n">
        <v>15</v>
      </c>
      <c r="G2709" s="4" t="s">
        <v>10850</v>
      </c>
      <c r="H2709" s="4" t="n">
        <v>41.10329</v>
      </c>
      <c r="I2709" s="4" t="n">
        <v>-80.64677</v>
      </c>
      <c r="J2709" s="4" t="s">
        <v>10851</v>
      </c>
      <c r="K2709" s="6" t="str">
        <f aca="false">HYPERLINK("https://www.google.com/search?q=Youngstown+And+Mahoning+County%2C+Pl+Of+Youngstown+OH+library+website","Search")</f>
        <v>Search</v>
      </c>
      <c r="L2709" s="7"/>
      <c r="M2709" s="7"/>
    </row>
    <row r="2710" customFormat="false" ht="15" hidden="false" customHeight="true" outlineLevel="0" collapsed="false">
      <c r="A2710" s="4" t="s">
        <v>10852</v>
      </c>
      <c r="B2710" s="4" t="s">
        <v>10853</v>
      </c>
      <c r="C2710" s="4" t="s">
        <v>3166</v>
      </c>
      <c r="D2710" s="4" t="s">
        <v>7634</v>
      </c>
      <c r="E2710" s="5" t="n">
        <v>16842</v>
      </c>
      <c r="F2710" s="4" t="n">
        <v>1</v>
      </c>
      <c r="G2710" s="4" t="s">
        <v>10854</v>
      </c>
      <c r="H2710" s="4" t="n">
        <v>34.77482</v>
      </c>
      <c r="I2710" s="4" t="n">
        <v>-96.67698</v>
      </c>
      <c r="J2710" s="4" t="s">
        <v>10855</v>
      </c>
      <c r="K2710" s="6" t="str">
        <f aca="false">HYPERLINK("https://www.google.com/search?q=Ada+Public+Library+Ada+OK+library+website","Search")</f>
        <v>Search</v>
      </c>
      <c r="L2710" s="7"/>
      <c r="M2710" s="7"/>
    </row>
    <row r="2711" customFormat="false" ht="15" hidden="false" customHeight="true" outlineLevel="0" collapsed="false">
      <c r="A2711" s="4" t="s">
        <v>10852</v>
      </c>
      <c r="B2711" s="4" t="s">
        <v>10856</v>
      </c>
      <c r="C2711" s="4" t="s">
        <v>10857</v>
      </c>
      <c r="D2711" s="4" t="s">
        <v>4875</v>
      </c>
      <c r="E2711" s="5" t="n">
        <v>24893</v>
      </c>
      <c r="F2711" s="4" t="n">
        <v>1</v>
      </c>
      <c r="G2711" s="4" t="s">
        <v>10858</v>
      </c>
      <c r="H2711" s="4" t="n">
        <v>34.17792</v>
      </c>
      <c r="I2711" s="4" t="n">
        <v>-97.13327</v>
      </c>
      <c r="J2711" s="4" t="s">
        <v>10859</v>
      </c>
      <c r="K2711" s="6" t="str">
        <f aca="false">HYPERLINK("https://www.google.com/search?q=Ardmore+Public+Library+Ardmore+OK+library+website","Search")</f>
        <v>Search</v>
      </c>
      <c r="L2711" s="7"/>
      <c r="M2711" s="7"/>
    </row>
    <row r="2712" customFormat="false" ht="15" hidden="false" customHeight="true" outlineLevel="0" collapsed="false">
      <c r="A2712" s="4" t="s">
        <v>10852</v>
      </c>
      <c r="B2712" s="4" t="s">
        <v>10860</v>
      </c>
      <c r="C2712" s="4" t="s">
        <v>10861</v>
      </c>
      <c r="D2712" s="4" t="s">
        <v>441</v>
      </c>
      <c r="E2712" s="5" t="n">
        <v>37384</v>
      </c>
      <c r="F2712" s="4" t="n">
        <v>1</v>
      </c>
      <c r="G2712" s="4" t="s">
        <v>10862</v>
      </c>
      <c r="H2712" s="4" t="n">
        <v>36.74712</v>
      </c>
      <c r="I2712" s="4" t="n">
        <v>-95.97823</v>
      </c>
      <c r="J2712" s="4" t="s">
        <v>10863</v>
      </c>
      <c r="K2712" s="6" t="str">
        <f aca="false">HYPERLINK("https://www.google.com/search?q=Bartlesville+Public+Library+Bartlesville+OK+library+website","Search")</f>
        <v>Search</v>
      </c>
      <c r="L2712" s="7"/>
      <c r="M2712" s="7"/>
    </row>
    <row r="2713" customFormat="false" ht="15" hidden="false" customHeight="true" outlineLevel="0" collapsed="false">
      <c r="A2713" s="4" t="s">
        <v>10852</v>
      </c>
      <c r="B2713" s="4" t="s">
        <v>10864</v>
      </c>
      <c r="C2713" s="4" t="s">
        <v>10865</v>
      </c>
      <c r="D2713" s="4" t="s">
        <v>2809</v>
      </c>
      <c r="E2713" s="5" t="n">
        <v>15786</v>
      </c>
      <c r="F2713" s="4" t="n">
        <v>1</v>
      </c>
      <c r="G2713" s="4" t="s">
        <v>10866</v>
      </c>
      <c r="H2713" s="4" t="n">
        <v>35.04757</v>
      </c>
      <c r="I2713" s="4" t="n">
        <v>-97.93928</v>
      </c>
      <c r="J2713" s="4" t="s">
        <v>10867</v>
      </c>
      <c r="K2713" s="6" t="str">
        <f aca="false">HYPERLINK("https://www.google.com/search?q=Chickasha+Public+Library+Chickasha+OK+library+website","Search")</f>
        <v>Search</v>
      </c>
      <c r="L2713" s="7"/>
      <c r="M2713" s="7"/>
    </row>
    <row r="2714" customFormat="false" ht="15" hidden="false" customHeight="true" outlineLevel="0" collapsed="false">
      <c r="A2714" s="4" t="s">
        <v>10852</v>
      </c>
      <c r="B2714" s="4" t="s">
        <v>10868</v>
      </c>
      <c r="C2714" s="4" t="s">
        <v>10869</v>
      </c>
      <c r="D2714" s="4" t="s">
        <v>615</v>
      </c>
      <c r="E2714" s="5" t="n">
        <v>19419</v>
      </c>
      <c r="F2714" s="4" t="n">
        <v>1</v>
      </c>
      <c r="G2714" s="4" t="s">
        <v>10870</v>
      </c>
      <c r="H2714" s="4" t="n">
        <v>36.32384</v>
      </c>
      <c r="I2714" s="4" t="n">
        <v>-95.60378</v>
      </c>
      <c r="J2714" s="4" t="s">
        <v>10871</v>
      </c>
      <c r="K2714" s="6" t="str">
        <f aca="false">HYPERLINK("https://www.google.com/search?q=Claremore+-+Will+Rogers+Library+Claremore+OK+library+website","Search")</f>
        <v>Search</v>
      </c>
      <c r="L2714" s="7"/>
      <c r="M2714" s="7"/>
    </row>
    <row r="2715" customFormat="false" ht="15" hidden="false" customHeight="true" outlineLevel="0" collapsed="false">
      <c r="A2715" s="4" t="s">
        <v>10852</v>
      </c>
      <c r="B2715" s="4" t="s">
        <v>10872</v>
      </c>
      <c r="C2715" s="4" t="s">
        <v>2659</v>
      </c>
      <c r="D2715" s="4" t="s">
        <v>10873</v>
      </c>
      <c r="E2715" s="5" t="n">
        <v>10149</v>
      </c>
      <c r="F2715" s="4" t="n">
        <v>1</v>
      </c>
      <c r="G2715" s="4" t="s">
        <v>10874</v>
      </c>
      <c r="H2715" s="4" t="n">
        <v>35.95089</v>
      </c>
      <c r="I2715" s="4" t="n">
        <v>-95.65026</v>
      </c>
      <c r="J2715" s="4" t="s">
        <v>10875</v>
      </c>
      <c r="K2715" s="6" t="str">
        <f aca="false">HYPERLINK("https://www.google.com/search?q=Coweta+Public+Library+Coweta+OK+library+website","Search")</f>
        <v>Search</v>
      </c>
      <c r="L2715" s="7"/>
      <c r="M2715" s="8" t="str">
        <f aca="false">HYPERLINK("https://cpls.overdrive.com","https://cpls.overdrive.com")</f>
        <v>https://cpls.overdrive.com</v>
      </c>
    </row>
    <row r="2716" customFormat="false" ht="15" hidden="false" customHeight="true" outlineLevel="0" collapsed="false">
      <c r="A2716" s="4" t="s">
        <v>10852</v>
      </c>
      <c r="B2716" s="4" t="s">
        <v>10876</v>
      </c>
      <c r="C2716" s="4" t="s">
        <v>10877</v>
      </c>
      <c r="D2716" s="4" t="s">
        <v>10878</v>
      </c>
      <c r="E2716" s="5" t="n">
        <v>22745</v>
      </c>
      <c r="F2716" s="4" t="n">
        <v>2</v>
      </c>
      <c r="G2716" s="4" t="s">
        <v>10879</v>
      </c>
      <c r="H2716" s="4" t="n">
        <v>34.54862</v>
      </c>
      <c r="I2716" s="4" t="n">
        <v>-97.967</v>
      </c>
      <c r="J2716" s="4" t="s">
        <v>10880</v>
      </c>
      <c r="K2716" s="6" t="str">
        <f aca="false">HYPERLINK("https://www.google.com/search?q=Duncan+Public+Library+Duncan+OK+library+website","Search")</f>
        <v>Search</v>
      </c>
      <c r="L2716" s="7"/>
      <c r="M2716" s="7"/>
    </row>
    <row r="2717" customFormat="false" ht="15" hidden="false" customHeight="true" outlineLevel="0" collapsed="false">
      <c r="A2717" s="4" t="s">
        <v>10852</v>
      </c>
      <c r="B2717" s="4" t="s">
        <v>10881</v>
      </c>
      <c r="C2717" s="4" t="s">
        <v>10882</v>
      </c>
      <c r="D2717" s="4" t="s">
        <v>10831</v>
      </c>
      <c r="E2717" s="5" t="n">
        <v>19088</v>
      </c>
      <c r="F2717" s="4" t="n">
        <v>1</v>
      </c>
      <c r="G2717" s="4" t="s">
        <v>10883</v>
      </c>
      <c r="H2717" s="4" t="n">
        <v>33.99497</v>
      </c>
      <c r="I2717" s="4" t="n">
        <v>-96.39315</v>
      </c>
      <c r="J2717" s="4" t="s">
        <v>10884</v>
      </c>
      <c r="K2717" s="6" t="str">
        <f aca="false">HYPERLINK("https://www.google.com/search?q=Durant-Donald+Reynolds+Community+Ct+%26+Library+Durant+OK+library+website","Search")</f>
        <v>Search</v>
      </c>
      <c r="L2717" s="7"/>
      <c r="M2717" s="7"/>
    </row>
    <row r="2718" customFormat="false" ht="15" hidden="false" customHeight="true" outlineLevel="0" collapsed="false">
      <c r="A2718" s="4" t="s">
        <v>10852</v>
      </c>
      <c r="B2718" s="4" t="s">
        <v>10885</v>
      </c>
      <c r="C2718" s="4" t="s">
        <v>10886</v>
      </c>
      <c r="D2718" s="4" t="s">
        <v>10886</v>
      </c>
      <c r="E2718" s="5" t="n">
        <v>232940</v>
      </c>
      <c r="F2718" s="4" t="n">
        <v>15</v>
      </c>
      <c r="G2718" s="4" t="s">
        <v>10887</v>
      </c>
      <c r="H2718" s="4" t="n">
        <v>35.77041</v>
      </c>
      <c r="I2718" s="4" t="n">
        <v>-95.35424</v>
      </c>
      <c r="J2718" s="4" t="s">
        <v>10888</v>
      </c>
      <c r="K2718" s="6" t="str">
        <f aca="false">HYPERLINK("https://www.google.com/search?q=Eastern+Oklahoma+Library+System+Muskogee+OK+library+website","Search")</f>
        <v>Search</v>
      </c>
      <c r="L2718" s="7"/>
      <c r="M2718" s="8" t="str">
        <f aca="false">HYPERLINK("https://eodls.overdrive.com","https://eodls.overdrive.com")</f>
        <v>https://eodls.overdrive.com</v>
      </c>
    </row>
    <row r="2719" customFormat="false" ht="15" hidden="false" customHeight="true" outlineLevel="0" collapsed="false">
      <c r="A2719" s="4" t="s">
        <v>10852</v>
      </c>
      <c r="B2719" s="4" t="s">
        <v>10889</v>
      </c>
      <c r="C2719" s="4" t="s">
        <v>10890</v>
      </c>
      <c r="D2719" s="4" t="s">
        <v>10891</v>
      </c>
      <c r="E2719" s="5" t="n">
        <v>17774</v>
      </c>
      <c r="F2719" s="4" t="n">
        <v>1</v>
      </c>
      <c r="G2719" s="4" t="s">
        <v>10892</v>
      </c>
      <c r="H2719" s="4" t="n">
        <v>35.53142</v>
      </c>
      <c r="I2719" s="4" t="n">
        <v>-97.95191</v>
      </c>
      <c r="J2719" s="4" t="s">
        <v>10893</v>
      </c>
      <c r="K2719" s="6" t="str">
        <f aca="false">HYPERLINK("https://www.google.com/search?q=El+Reno+Carnegie+Library+El+Reno+OK+library+website","Search")</f>
        <v>Search</v>
      </c>
      <c r="L2719" s="7"/>
      <c r="M2719" s="7"/>
    </row>
    <row r="2720" customFormat="false" ht="15" hidden="false" customHeight="true" outlineLevel="0" collapsed="false">
      <c r="A2720" s="4" t="s">
        <v>10852</v>
      </c>
      <c r="B2720" s="4" t="s">
        <v>10894</v>
      </c>
      <c r="C2720" s="4" t="s">
        <v>10895</v>
      </c>
      <c r="D2720" s="4" t="s">
        <v>10896</v>
      </c>
      <c r="E2720" s="5" t="n">
        <v>11570</v>
      </c>
      <c r="F2720" s="4" t="n">
        <v>1</v>
      </c>
      <c r="G2720" s="4" t="s">
        <v>10897</v>
      </c>
      <c r="H2720" s="4" t="n">
        <v>35.41076</v>
      </c>
      <c r="I2720" s="4" t="n">
        <v>-99.40689</v>
      </c>
      <c r="J2720" s="4" t="s">
        <v>10898</v>
      </c>
      <c r="K2720" s="6" t="str">
        <f aca="false">HYPERLINK("https://www.google.com/search?q=Elk+City+Carnegie+Library+Elk+City+OK+library+website","Search")</f>
        <v>Search</v>
      </c>
      <c r="L2720" s="7"/>
      <c r="M2720" s="7"/>
    </row>
    <row r="2721" customFormat="false" ht="15" hidden="false" customHeight="true" outlineLevel="0" collapsed="false">
      <c r="A2721" s="4" t="s">
        <v>10852</v>
      </c>
      <c r="B2721" s="4" t="s">
        <v>10899</v>
      </c>
      <c r="C2721" s="4" t="s">
        <v>10900</v>
      </c>
      <c r="D2721" s="4" t="s">
        <v>1661</v>
      </c>
      <c r="E2721" s="5" t="n">
        <v>61926</v>
      </c>
      <c r="F2721" s="4" t="n">
        <v>1</v>
      </c>
      <c r="G2721" s="4" t="s">
        <v>10901</v>
      </c>
      <c r="H2721" s="4" t="n">
        <v>36.39551</v>
      </c>
      <c r="I2721" s="4" t="n">
        <v>-97.87914</v>
      </c>
      <c r="J2721" s="4" t="s">
        <v>10902</v>
      </c>
      <c r="K2721" s="6" t="str">
        <f aca="false">HYPERLINK("https://www.google.com/search?q=Enid-Public+Library+Of+Enid+And+Garfield+Co+Enid+OK+library+website","Search")</f>
        <v>Search</v>
      </c>
      <c r="L2721" s="7"/>
      <c r="M2721" s="7"/>
    </row>
    <row r="2722" customFormat="false" ht="15" hidden="false" customHeight="true" outlineLevel="0" collapsed="false">
      <c r="A2722" s="4" t="s">
        <v>10852</v>
      </c>
      <c r="B2722" s="4" t="s">
        <v>10903</v>
      </c>
      <c r="C2722" s="4" t="s">
        <v>10904</v>
      </c>
      <c r="D2722" s="4" t="s">
        <v>1763</v>
      </c>
      <c r="E2722" s="5" t="n">
        <v>11029</v>
      </c>
      <c r="F2722" s="4" t="n">
        <v>1</v>
      </c>
      <c r="G2722" s="4" t="s">
        <v>10905</v>
      </c>
      <c r="H2722" s="4" t="n">
        <v>35.87913</v>
      </c>
      <c r="I2722" s="4" t="n">
        <v>-97.42542</v>
      </c>
      <c r="J2722" s="4" t="s">
        <v>10906</v>
      </c>
      <c r="K2722" s="6" t="str">
        <f aca="false">HYPERLINK("https://www.google.com/search?q=Guthrie+Public+Library+Guthrie+OK+library+website","Search")</f>
        <v>Search</v>
      </c>
      <c r="L2722" s="7"/>
      <c r="M2722" s="7"/>
    </row>
    <row r="2723" customFormat="false" ht="15" hidden="false" customHeight="true" outlineLevel="0" collapsed="false">
      <c r="A2723" s="4" t="s">
        <v>10852</v>
      </c>
      <c r="B2723" s="4" t="s">
        <v>10907</v>
      </c>
      <c r="C2723" s="4" t="s">
        <v>10908</v>
      </c>
      <c r="D2723" s="4" t="s">
        <v>7572</v>
      </c>
      <c r="E2723" s="5" t="n">
        <v>12561</v>
      </c>
      <c r="F2723" s="4" t="n">
        <v>1</v>
      </c>
      <c r="G2723" s="4" t="s">
        <v>10909</v>
      </c>
      <c r="H2723" s="4" t="n">
        <v>36.69723</v>
      </c>
      <c r="I2723" s="4" t="n">
        <v>-101.48939</v>
      </c>
      <c r="J2723" s="4" t="s">
        <v>10910</v>
      </c>
      <c r="K2723" s="6" t="str">
        <f aca="false">HYPERLINK("https://www.google.com/search?q=Guymon+Public+Library+%26+Arts+Center+Guymon+OK+library+website","Search")</f>
        <v>Search</v>
      </c>
      <c r="L2723" s="7"/>
      <c r="M2723" s="7"/>
    </row>
    <row r="2724" customFormat="false" ht="15" hidden="false" customHeight="true" outlineLevel="0" collapsed="false">
      <c r="A2724" s="4" t="s">
        <v>10852</v>
      </c>
      <c r="B2724" s="4" t="s">
        <v>10911</v>
      </c>
      <c r="C2724" s="4" t="s">
        <v>10912</v>
      </c>
      <c r="D2724" s="4" t="s">
        <v>10913</v>
      </c>
      <c r="E2724" s="5" t="n">
        <v>91055</v>
      </c>
      <c r="F2724" s="4" t="n">
        <v>2</v>
      </c>
      <c r="G2724" s="4" t="s">
        <v>10914</v>
      </c>
      <c r="H2724" s="4" t="n">
        <v>34.60726</v>
      </c>
      <c r="I2724" s="4" t="n">
        <v>-98.39361</v>
      </c>
      <c r="J2724" s="4" t="s">
        <v>10915</v>
      </c>
      <c r="K2724" s="6" t="str">
        <f aca="false">HYPERLINK("https://www.google.com/search?q=Lawton+Public+Library+Lawton+OK+library+website","Search")</f>
        <v>Search</v>
      </c>
      <c r="L2724" s="7"/>
      <c r="M2724" s="7"/>
    </row>
    <row r="2725" customFormat="false" ht="15" hidden="false" customHeight="true" outlineLevel="0" collapsed="false">
      <c r="A2725" s="4" t="s">
        <v>10852</v>
      </c>
      <c r="B2725" s="4" t="s">
        <v>10916</v>
      </c>
      <c r="C2725" s="4" t="s">
        <v>10917</v>
      </c>
      <c r="D2725" s="4" t="s">
        <v>58</v>
      </c>
      <c r="E2725" s="5" t="n">
        <v>15594</v>
      </c>
      <c r="F2725" s="4" t="n">
        <v>1</v>
      </c>
      <c r="G2725" s="4" t="s">
        <v>10918</v>
      </c>
      <c r="H2725" s="4" t="n">
        <v>34.09218</v>
      </c>
      <c r="I2725" s="4" t="n">
        <v>-96.77528</v>
      </c>
      <c r="J2725" s="4" t="s">
        <v>10919</v>
      </c>
      <c r="K2725" s="6" t="str">
        <f aca="false">HYPERLINK("https://www.google.com/search?q=Madill+City-County+Library+Madill+OK+library+website","Search")</f>
        <v>Search</v>
      </c>
      <c r="L2725" s="7"/>
      <c r="M2725" s="7"/>
    </row>
    <row r="2726" customFormat="false" ht="15" hidden="false" customHeight="true" outlineLevel="0" collapsed="false">
      <c r="A2726" s="4" t="s">
        <v>10852</v>
      </c>
      <c r="B2726" s="4" t="s">
        <v>10920</v>
      </c>
      <c r="C2726" s="4" t="s">
        <v>10921</v>
      </c>
      <c r="D2726" s="4" t="s">
        <v>10922</v>
      </c>
      <c r="E2726" s="5" t="n">
        <v>798575</v>
      </c>
      <c r="F2726" s="4" t="n">
        <v>19</v>
      </c>
      <c r="G2726" s="4" t="s">
        <v>10923</v>
      </c>
      <c r="H2726" s="4" t="n">
        <v>35.46883</v>
      </c>
      <c r="I2726" s="4" t="n">
        <v>-97.5187</v>
      </c>
      <c r="J2726" s="4" t="s">
        <v>10924</v>
      </c>
      <c r="K2726" s="6" t="str">
        <f aca="false">HYPERLINK("https://www.google.com/search?q=Metropolitan+Library+System+Oklahoma+City+OK+library+website","Search")</f>
        <v>Search</v>
      </c>
      <c r="L2726" s="7"/>
      <c r="M2726" s="8" t="str">
        <f aca="false">HYPERLINK("https://metrolibrary.overdrive.com","https://metrolibrary.overdrive.com")</f>
        <v>https://metrolibrary.overdrive.com</v>
      </c>
    </row>
    <row r="2727" customFormat="false" ht="15" hidden="false" customHeight="true" outlineLevel="0" collapsed="false">
      <c r="A2727" s="4" t="s">
        <v>10852</v>
      </c>
      <c r="B2727" s="4" t="s">
        <v>10925</v>
      </c>
      <c r="C2727" s="4" t="s">
        <v>2442</v>
      </c>
      <c r="D2727" s="4" t="s">
        <v>4001</v>
      </c>
      <c r="E2727" s="5" t="n">
        <v>12885</v>
      </c>
      <c r="F2727" s="4" t="n">
        <v>1</v>
      </c>
      <c r="G2727" s="4" t="s">
        <v>10926</v>
      </c>
      <c r="H2727" s="4" t="n">
        <v>36.87795</v>
      </c>
      <c r="I2727" s="4" t="n">
        <v>-94.87753</v>
      </c>
      <c r="J2727" s="4" t="s">
        <v>10927</v>
      </c>
      <c r="K2727" s="6" t="str">
        <f aca="false">HYPERLINK("https://www.google.com/search?q=Miami+Public+Library+Miami+OK+library+website","Search")</f>
        <v>Search</v>
      </c>
      <c r="L2727" s="7"/>
      <c r="M2727" s="7"/>
    </row>
    <row r="2728" customFormat="false" ht="15" hidden="false" customHeight="true" outlineLevel="0" collapsed="false">
      <c r="A2728" s="4" t="s">
        <v>10852</v>
      </c>
      <c r="B2728" s="4" t="s">
        <v>10928</v>
      </c>
      <c r="C2728" s="4" t="s">
        <v>10929</v>
      </c>
      <c r="D2728" s="4" t="s">
        <v>10891</v>
      </c>
      <c r="E2728" s="5" t="n">
        <v>21037</v>
      </c>
      <c r="F2728" s="4" t="n">
        <v>1</v>
      </c>
      <c r="G2728" s="4" t="s">
        <v>10930</v>
      </c>
      <c r="H2728" s="4" t="n">
        <v>35.40244</v>
      </c>
      <c r="I2728" s="4" t="n">
        <v>-97.72466</v>
      </c>
      <c r="J2728" s="4" t="s">
        <v>10931</v>
      </c>
      <c r="K2728" s="6" t="str">
        <f aca="false">HYPERLINK("https://www.google.com/search?q=Mustang+Public+Library+Mustang+OK+library+website","Search")</f>
        <v>Search</v>
      </c>
      <c r="L2728" s="7"/>
      <c r="M2728" s="7"/>
    </row>
    <row r="2729" customFormat="false" ht="15" hidden="false" customHeight="true" outlineLevel="0" collapsed="false">
      <c r="A2729" s="4" t="s">
        <v>10852</v>
      </c>
      <c r="B2729" s="4" t="s">
        <v>10932</v>
      </c>
      <c r="C2729" s="4" t="s">
        <v>10933</v>
      </c>
      <c r="D2729" s="4" t="s">
        <v>10933</v>
      </c>
      <c r="E2729" s="5" t="n">
        <v>11298</v>
      </c>
      <c r="F2729" s="4" t="n">
        <v>1</v>
      </c>
      <c r="G2729" s="4" t="s">
        <v>10934</v>
      </c>
      <c r="H2729" s="4" t="n">
        <v>35.6223</v>
      </c>
      <c r="I2729" s="4" t="n">
        <v>-95.97529</v>
      </c>
      <c r="J2729" s="4" t="s">
        <v>10935</v>
      </c>
      <c r="K2729" s="6" t="str">
        <f aca="false">HYPERLINK("https://www.google.com/search?q=Okmulgee+Public+Library+Okmulgee+OK+library+website","Search")</f>
        <v>Search</v>
      </c>
      <c r="L2729" s="7"/>
      <c r="M2729" s="7"/>
    </row>
    <row r="2730" customFormat="false" ht="15" hidden="false" customHeight="true" outlineLevel="0" collapsed="false">
      <c r="A2730" s="4" t="s">
        <v>10852</v>
      </c>
      <c r="B2730" s="4" t="s">
        <v>10936</v>
      </c>
      <c r="C2730" s="4" t="s">
        <v>10937</v>
      </c>
      <c r="D2730" s="4" t="s">
        <v>7608</v>
      </c>
      <c r="E2730" s="5" t="n">
        <v>414132</v>
      </c>
      <c r="F2730" s="4" t="n">
        <v>12</v>
      </c>
      <c r="G2730" s="4" t="s">
        <v>10938</v>
      </c>
      <c r="H2730" s="4" t="n">
        <v>35.21562</v>
      </c>
      <c r="I2730" s="4" t="n">
        <v>-97.48983</v>
      </c>
      <c r="J2730" s="4" t="s">
        <v>10939</v>
      </c>
      <c r="K2730" s="6" t="str">
        <f aca="false">HYPERLINK("https://www.google.com/search?q=Pioneer+Library+System+Norman+OK+library+website","Search")</f>
        <v>Search</v>
      </c>
      <c r="L2730" s="7"/>
      <c r="M2730" s="7"/>
    </row>
    <row r="2731" customFormat="false" ht="15" hidden="false" customHeight="true" outlineLevel="0" collapsed="false">
      <c r="A2731" s="4" t="s">
        <v>10852</v>
      </c>
      <c r="B2731" s="4" t="s">
        <v>10940</v>
      </c>
      <c r="C2731" s="4" t="s">
        <v>10941</v>
      </c>
      <c r="D2731" s="4" t="s">
        <v>10942</v>
      </c>
      <c r="E2731" s="5" t="n">
        <v>24398</v>
      </c>
      <c r="F2731" s="4" t="n">
        <v>1</v>
      </c>
      <c r="G2731" s="4" t="s">
        <v>10943</v>
      </c>
      <c r="H2731" s="4" t="n">
        <v>36.70361</v>
      </c>
      <c r="I2731" s="4" t="n">
        <v>-97.07839</v>
      </c>
      <c r="J2731" s="4" t="s">
        <v>10944</v>
      </c>
      <c r="K2731" s="6" t="str">
        <f aca="false">HYPERLINK("https://www.google.com/search?q=Ponca+City+Library+Ponca+City+OK+library+website","Search")</f>
        <v>Search</v>
      </c>
      <c r="L2731" s="7"/>
      <c r="M2731" s="7"/>
    </row>
    <row r="2732" customFormat="false" ht="15" hidden="false" customHeight="true" outlineLevel="0" collapsed="false">
      <c r="A2732" s="4" t="s">
        <v>10852</v>
      </c>
      <c r="B2732" s="4" t="s">
        <v>10945</v>
      </c>
      <c r="C2732" s="4" t="s">
        <v>10946</v>
      </c>
      <c r="D2732" s="4" t="s">
        <v>10947</v>
      </c>
      <c r="E2732" s="5" t="n">
        <v>22213</v>
      </c>
      <c r="F2732" s="4" t="n">
        <v>1</v>
      </c>
      <c r="G2732" s="4" t="s">
        <v>10948</v>
      </c>
      <c r="H2732" s="4" t="n">
        <v>35.99864</v>
      </c>
      <c r="I2732" s="4" t="n">
        <v>-96.11464</v>
      </c>
      <c r="J2732" s="4" t="s">
        <v>10949</v>
      </c>
      <c r="K2732" s="6" t="str">
        <f aca="false">HYPERLINK("https://www.google.com/search?q=Sapulpa+-+Bartlett+Carnegie+Public+Library+Sapulpa+OK+library+website","Search")</f>
        <v>Search</v>
      </c>
      <c r="L2732" s="7"/>
      <c r="M2732" s="7"/>
    </row>
    <row r="2733" customFormat="false" ht="15" hidden="false" customHeight="true" outlineLevel="0" collapsed="false">
      <c r="A2733" s="4" t="s">
        <v>10852</v>
      </c>
      <c r="B2733" s="4" t="s">
        <v>10950</v>
      </c>
      <c r="C2733" s="4" t="s">
        <v>10951</v>
      </c>
      <c r="D2733" s="4" t="s">
        <v>4780</v>
      </c>
      <c r="E2733" s="5" t="n">
        <v>163605</v>
      </c>
      <c r="F2733" s="4" t="n">
        <v>16</v>
      </c>
      <c r="G2733" s="4" t="s">
        <v>10952</v>
      </c>
      <c r="H2733" s="4" t="n">
        <v>34.93521</v>
      </c>
      <c r="I2733" s="4" t="n">
        <v>-95.76604</v>
      </c>
      <c r="J2733" s="4" t="s">
        <v>10953</v>
      </c>
      <c r="K2733" s="6" t="str">
        <f aca="false">HYPERLINK("https://www.google.com/search?q=Southeast+Oklahoma+Library+System+Mcalester+OK+library+website","Search")</f>
        <v>Search</v>
      </c>
      <c r="L2733" s="7"/>
      <c r="M2733" s="8" t="str">
        <f aca="false">HYPERLINK("https://southeasternok.overdrive.com","https://southeasternok.overdrive.com")</f>
        <v>https://southeasternok.overdrive.com</v>
      </c>
    </row>
    <row r="2734" customFormat="false" ht="15" hidden="false" customHeight="true" outlineLevel="0" collapsed="false">
      <c r="A2734" s="4" t="s">
        <v>10852</v>
      </c>
      <c r="B2734" s="4" t="s">
        <v>10954</v>
      </c>
      <c r="C2734" s="4" t="s">
        <v>10857</v>
      </c>
      <c r="D2734" s="4" t="s">
        <v>4875</v>
      </c>
      <c r="E2734" s="5" t="n">
        <v>96850</v>
      </c>
      <c r="F2734" s="4" t="n">
        <v>8</v>
      </c>
      <c r="G2734" s="4" t="s">
        <v>10955</v>
      </c>
      <c r="H2734" s="4" t="n">
        <v>34.17038</v>
      </c>
      <c r="I2734" s="4" t="n">
        <v>-97.16356</v>
      </c>
      <c r="J2734" s="4" t="s">
        <v>10956</v>
      </c>
      <c r="K2734" s="6" t="str">
        <f aca="false">HYPERLINK("https://www.google.com/search?q=Southern+Oklahoma+Library+System+Ardmore+OK+library+website","Search")</f>
        <v>Search</v>
      </c>
      <c r="L2734" s="7"/>
      <c r="M2734" s="7"/>
    </row>
    <row r="2735" customFormat="false" ht="15" hidden="false" customHeight="true" outlineLevel="0" collapsed="false">
      <c r="A2735" s="4" t="s">
        <v>10852</v>
      </c>
      <c r="B2735" s="4" t="s">
        <v>10957</v>
      </c>
      <c r="C2735" s="4" t="s">
        <v>10958</v>
      </c>
      <c r="D2735" s="4" t="s">
        <v>389</v>
      </c>
      <c r="E2735" s="5" t="n">
        <v>27183</v>
      </c>
      <c r="F2735" s="4" t="n">
        <v>2</v>
      </c>
      <c r="G2735" s="4" t="s">
        <v>10959</v>
      </c>
      <c r="H2735" s="4" t="n">
        <v>34.64138</v>
      </c>
      <c r="I2735" s="4" t="n">
        <v>-99.33531</v>
      </c>
      <c r="J2735" s="4" t="s">
        <v>10960</v>
      </c>
      <c r="K2735" s="6" t="str">
        <f aca="false">HYPERLINK("https://www.google.com/search?q=Southern+Prairie+Library+System+Altus+OK+library+website","Search")</f>
        <v>Search</v>
      </c>
      <c r="L2735" s="7"/>
      <c r="M2735" s="7"/>
    </row>
    <row r="2736" customFormat="false" ht="15" hidden="false" customHeight="true" outlineLevel="0" collapsed="false">
      <c r="A2736" s="4" t="s">
        <v>10852</v>
      </c>
      <c r="B2736" s="4" t="s">
        <v>7309</v>
      </c>
      <c r="C2736" s="4" t="s">
        <v>7310</v>
      </c>
      <c r="D2736" s="4" t="s">
        <v>10961</v>
      </c>
      <c r="E2736" s="5" t="n">
        <v>48134</v>
      </c>
      <c r="F2736" s="4" t="n">
        <v>1</v>
      </c>
      <c r="G2736" s="4" t="s">
        <v>10962</v>
      </c>
      <c r="H2736" s="4" t="n">
        <v>36.10982</v>
      </c>
      <c r="I2736" s="4" t="n">
        <v>-97.06265</v>
      </c>
      <c r="J2736" s="4" t="s">
        <v>10963</v>
      </c>
      <c r="K2736" s="6" t="str">
        <f aca="false">HYPERLINK("https://www.google.com/search?q=Stillwater+Public+Library+Stillwater+OK+library+website","Search")</f>
        <v>Search</v>
      </c>
      <c r="L2736" s="7"/>
      <c r="M2736" s="7"/>
    </row>
    <row r="2737" customFormat="false" ht="15" hidden="false" customHeight="true" outlineLevel="0" collapsed="false">
      <c r="A2737" s="4" t="s">
        <v>10852</v>
      </c>
      <c r="B2737" s="4" t="s">
        <v>10964</v>
      </c>
      <c r="C2737" s="4" t="s">
        <v>10965</v>
      </c>
      <c r="D2737" s="4" t="s">
        <v>10965</v>
      </c>
      <c r="E2737" s="5" t="n">
        <v>672858</v>
      </c>
      <c r="F2737" s="4" t="n">
        <v>24</v>
      </c>
      <c r="G2737" s="4" t="s">
        <v>10966</v>
      </c>
      <c r="H2737" s="4" t="n">
        <v>36.15009</v>
      </c>
      <c r="I2737" s="4" t="n">
        <v>-95.99417</v>
      </c>
      <c r="J2737" s="4" t="s">
        <v>10967</v>
      </c>
      <c r="K2737" s="6" t="str">
        <f aca="false">HYPERLINK("https://www.google.com/search?q=Tulsa+City-County+Library+System+Tulsa+OK+library+website","Search")</f>
        <v>Search</v>
      </c>
      <c r="L2737" s="7"/>
      <c r="M2737" s="8" t="str">
        <f aca="false">HYPERLINK("https://tulsa.overdrive.com","https://tulsa.overdrive.com")</f>
        <v>https://tulsa.overdrive.com</v>
      </c>
    </row>
    <row r="2738" customFormat="false" ht="15" hidden="false" customHeight="true" outlineLevel="0" collapsed="false">
      <c r="A2738" s="4" t="s">
        <v>10852</v>
      </c>
      <c r="B2738" s="4" t="s">
        <v>10968</v>
      </c>
      <c r="C2738" s="4" t="s">
        <v>1964</v>
      </c>
      <c r="D2738" s="4" t="s">
        <v>7839</v>
      </c>
      <c r="E2738" s="5" t="n">
        <v>46881</v>
      </c>
      <c r="F2738" s="4" t="n">
        <v>7</v>
      </c>
      <c r="G2738" s="4" t="s">
        <v>10969</v>
      </c>
      <c r="H2738" s="4" t="n">
        <v>35.50807</v>
      </c>
      <c r="I2738" s="4" t="n">
        <v>-98.99372</v>
      </c>
      <c r="J2738" s="4" t="s">
        <v>10970</v>
      </c>
      <c r="K2738" s="6" t="str">
        <f aca="false">HYPERLINK("https://www.google.com/search?q=Western+Plains+Library+System+Clinton+OK+library+website","Search")</f>
        <v>Search</v>
      </c>
      <c r="L2738" s="7"/>
      <c r="M2738" s="8" t="str">
        <f aca="false">HYPERLINK("https://wplibs.overdrive.com","https://wplibs.overdrive.com")</f>
        <v>https://wplibs.overdrive.com</v>
      </c>
    </row>
    <row r="2739" customFormat="false" ht="15" hidden="false" customHeight="true" outlineLevel="0" collapsed="false">
      <c r="A2739" s="4" t="s">
        <v>10852</v>
      </c>
      <c r="B2739" s="4" t="s">
        <v>10971</v>
      </c>
      <c r="C2739" s="4" t="s">
        <v>10972</v>
      </c>
      <c r="D2739" s="4" t="s">
        <v>10972</v>
      </c>
      <c r="E2739" s="5" t="n">
        <v>11998</v>
      </c>
      <c r="F2739" s="4" t="n">
        <v>1</v>
      </c>
      <c r="G2739" s="4" t="s">
        <v>10973</v>
      </c>
      <c r="H2739" s="4" t="n">
        <v>36.43604</v>
      </c>
      <c r="I2739" s="4" t="n">
        <v>-99.39847</v>
      </c>
      <c r="J2739" s="4" t="s">
        <v>10974</v>
      </c>
      <c r="K2739" s="6" t="str">
        <f aca="false">HYPERLINK("https://www.google.com/search?q=Woodward+Public+Library+Woodward+OK+library+website","Search")</f>
        <v>Search</v>
      </c>
      <c r="L2739" s="7"/>
      <c r="M2739" s="7"/>
    </row>
    <row r="2740" customFormat="false" ht="15" hidden="false" customHeight="true" outlineLevel="0" collapsed="false">
      <c r="A2740" s="4" t="s">
        <v>10852</v>
      </c>
      <c r="B2740" s="4" t="s">
        <v>10975</v>
      </c>
      <c r="C2740" s="4" t="s">
        <v>10976</v>
      </c>
      <c r="D2740" s="4" t="s">
        <v>10891</v>
      </c>
      <c r="E2740" s="5" t="n">
        <v>24623</v>
      </c>
      <c r="F2740" s="4" t="n">
        <v>1</v>
      </c>
      <c r="G2740" s="4" t="s">
        <v>10977</v>
      </c>
      <c r="H2740" s="4" t="n">
        <v>35.50776</v>
      </c>
      <c r="I2740" s="4" t="n">
        <v>-97.72405</v>
      </c>
      <c r="J2740" s="4" t="s">
        <v>10978</v>
      </c>
      <c r="K2740" s="6" t="str">
        <f aca="false">HYPERLINK("https://www.google.com/search?q=Yukon+-+Mabel+C.+Fry+Public+Library+Yukon+OK+library+website","Search")</f>
        <v>Search</v>
      </c>
      <c r="L2740" s="7"/>
      <c r="M2740" s="7"/>
    </row>
    <row r="2741" customFormat="false" ht="15" hidden="false" customHeight="true" outlineLevel="0" collapsed="false">
      <c r="A2741" s="4" t="s">
        <v>10979</v>
      </c>
      <c r="B2741" s="4" t="s">
        <v>9245</v>
      </c>
      <c r="C2741" s="4" t="s">
        <v>2671</v>
      </c>
      <c r="D2741" s="4" t="s">
        <v>2921</v>
      </c>
      <c r="E2741" s="5" t="n">
        <v>57199</v>
      </c>
      <c r="F2741" s="4" t="n">
        <v>2</v>
      </c>
      <c r="G2741" s="4" t="s">
        <v>10980</v>
      </c>
      <c r="H2741" s="4" t="n">
        <v>44.62861</v>
      </c>
      <c r="I2741" s="4" t="n">
        <v>-123.07517</v>
      </c>
      <c r="J2741" s="4" t="s">
        <v>10981</v>
      </c>
      <c r="K2741" s="6" t="str">
        <f aca="false">HYPERLINK("https://www.google.com/search?q=Albany+Public+Library+Albany+OR+library+website","Search")</f>
        <v>Search</v>
      </c>
      <c r="L2741" s="7"/>
      <c r="M2741" s="7"/>
    </row>
    <row r="2742" customFormat="false" ht="15" hidden="false" customHeight="true" outlineLevel="0" collapsed="false">
      <c r="A2742" s="4" t="s">
        <v>10979</v>
      </c>
      <c r="B2742" s="4" t="s">
        <v>10982</v>
      </c>
      <c r="C2742" s="4" t="s">
        <v>10983</v>
      </c>
      <c r="D2742" s="4" t="s">
        <v>441</v>
      </c>
      <c r="E2742" s="5" t="n">
        <v>21528</v>
      </c>
      <c r="F2742" s="4" t="n">
        <v>1</v>
      </c>
      <c r="G2742" s="4" t="s">
        <v>10984</v>
      </c>
      <c r="H2742" s="4" t="n">
        <v>45.48022</v>
      </c>
      <c r="I2742" s="4" t="n">
        <v>-122.85663</v>
      </c>
      <c r="J2742" s="4" t="s">
        <v>10985</v>
      </c>
      <c r="K2742" s="6" t="str">
        <f aca="false">HYPERLINK("https://www.google.com/search?q=Aloha+Community+Library+Aloha+OR+library+website","Search")</f>
        <v>Search</v>
      </c>
      <c r="L2742" s="7"/>
      <c r="M2742" s="7"/>
    </row>
    <row r="2743" customFormat="false" ht="15" hidden="false" customHeight="true" outlineLevel="0" collapsed="false">
      <c r="A2743" s="4" t="s">
        <v>10979</v>
      </c>
      <c r="B2743" s="4" t="s">
        <v>10986</v>
      </c>
      <c r="C2743" s="4" t="s">
        <v>10987</v>
      </c>
      <c r="D2743" s="4" t="s">
        <v>10988</v>
      </c>
      <c r="E2743" s="5" t="n">
        <v>10197</v>
      </c>
      <c r="F2743" s="4" t="n">
        <v>1</v>
      </c>
      <c r="G2743" s="4" t="s">
        <v>10989</v>
      </c>
      <c r="H2743" s="4" t="n">
        <v>46.18811</v>
      </c>
      <c r="I2743" s="4" t="n">
        <v>-123.83273</v>
      </c>
      <c r="J2743" s="4" t="s">
        <v>10990</v>
      </c>
      <c r="K2743" s="6" t="str">
        <f aca="false">HYPERLINK("https://www.google.com/search?q=Astoria+Public+Library+Astoria+OR+library+website","Search")</f>
        <v>Search</v>
      </c>
      <c r="L2743" s="7"/>
      <c r="M2743" s="7"/>
    </row>
    <row r="2744" customFormat="false" ht="15" hidden="false" customHeight="true" outlineLevel="0" collapsed="false">
      <c r="A2744" s="4" t="s">
        <v>10979</v>
      </c>
      <c r="B2744" s="4" t="s">
        <v>10991</v>
      </c>
      <c r="C2744" s="4" t="s">
        <v>10992</v>
      </c>
      <c r="D2744" s="4" t="s">
        <v>10993</v>
      </c>
      <c r="E2744" s="5" t="n">
        <v>16860</v>
      </c>
      <c r="F2744" s="4" t="n">
        <v>6</v>
      </c>
      <c r="G2744" s="4" t="s">
        <v>10994</v>
      </c>
      <c r="H2744" s="4" t="n">
        <v>44.78091</v>
      </c>
      <c r="I2744" s="4" t="n">
        <v>-117.82897</v>
      </c>
      <c r="J2744" s="4" t="s">
        <v>10995</v>
      </c>
      <c r="K2744" s="6" t="str">
        <f aca="false">HYPERLINK("https://www.google.com/search?q=Baker+County+Library+District+Baker+City+OR+library+website","Search")</f>
        <v>Search</v>
      </c>
      <c r="L2744" s="7"/>
      <c r="M2744" s="7"/>
    </row>
    <row r="2745" customFormat="false" ht="15" hidden="false" customHeight="true" outlineLevel="0" collapsed="false">
      <c r="A2745" s="4" t="s">
        <v>10979</v>
      </c>
      <c r="B2745" s="4" t="s">
        <v>10996</v>
      </c>
      <c r="C2745" s="4" t="s">
        <v>10997</v>
      </c>
      <c r="D2745" s="4" t="s">
        <v>441</v>
      </c>
      <c r="E2745" s="5" t="n">
        <v>147352</v>
      </c>
      <c r="F2745" s="4" t="n">
        <v>2</v>
      </c>
      <c r="G2745" s="4" t="s">
        <v>10998</v>
      </c>
      <c r="H2745" s="4" t="n">
        <v>45.48335</v>
      </c>
      <c r="I2745" s="4" t="n">
        <v>-122.80416</v>
      </c>
      <c r="J2745" s="4" t="s">
        <v>10999</v>
      </c>
      <c r="K2745" s="6" t="str">
        <f aca="false">HYPERLINK("https://www.google.com/search?q=Beaverton+City+Library+Beaverton+OR+library+website","Search")</f>
        <v>Search</v>
      </c>
      <c r="L2745" s="7"/>
      <c r="M2745" s="7"/>
    </row>
    <row r="2746" customFormat="false" ht="15" hidden="false" customHeight="true" outlineLevel="0" collapsed="false">
      <c r="A2746" s="4" t="s">
        <v>10979</v>
      </c>
      <c r="B2746" s="4" t="s">
        <v>11000</v>
      </c>
      <c r="C2746" s="4" t="s">
        <v>11001</v>
      </c>
      <c r="D2746" s="4" t="s">
        <v>11002</v>
      </c>
      <c r="E2746" s="5" t="n">
        <v>25329</v>
      </c>
      <c r="F2746" s="4" t="n">
        <v>1</v>
      </c>
      <c r="G2746" s="4" t="s">
        <v>11003</v>
      </c>
      <c r="H2746" s="4" t="n">
        <v>45.26402</v>
      </c>
      <c r="I2746" s="4" t="n">
        <v>-122.69206</v>
      </c>
      <c r="J2746" s="4" t="s">
        <v>11004</v>
      </c>
      <c r="K2746" s="6" t="str">
        <f aca="false">HYPERLINK("https://www.google.com/search?q=Canby+Public+Library+Canby+OR+library+website","Search")</f>
        <v>Search</v>
      </c>
      <c r="L2746" s="7"/>
      <c r="M2746" s="7"/>
    </row>
    <row r="2747" customFormat="false" ht="15" hidden="false" customHeight="true" outlineLevel="0" collapsed="false">
      <c r="A2747" s="4" t="s">
        <v>10979</v>
      </c>
      <c r="B2747" s="4" t="s">
        <v>11005</v>
      </c>
      <c r="C2747" s="4" t="s">
        <v>4411</v>
      </c>
      <c r="D2747" s="4" t="s">
        <v>441</v>
      </c>
      <c r="E2747" s="5" t="n">
        <v>80787</v>
      </c>
      <c r="F2747" s="4" t="n">
        <v>2</v>
      </c>
      <c r="G2747" s="4" t="s">
        <v>11006</v>
      </c>
      <c r="H2747" s="4" t="n">
        <v>45.52726</v>
      </c>
      <c r="I2747" s="4" t="n">
        <v>-122.80661</v>
      </c>
      <c r="J2747" s="4" t="s">
        <v>11007</v>
      </c>
      <c r="K2747" s="6" t="str">
        <f aca="false">HYPERLINK("https://www.google.com/search?q=Cedar+Mill+Community+Library+Portland+OR+library+website","Search")</f>
        <v>Search</v>
      </c>
      <c r="L2747" s="7"/>
      <c r="M2747" s="7"/>
    </row>
    <row r="2748" customFormat="false" ht="15" hidden="false" customHeight="true" outlineLevel="0" collapsed="false">
      <c r="A2748" s="4" t="s">
        <v>10979</v>
      </c>
      <c r="B2748" s="4" t="s">
        <v>11008</v>
      </c>
      <c r="C2748" s="4" t="s">
        <v>11009</v>
      </c>
      <c r="D2748" s="4" t="s">
        <v>9124</v>
      </c>
      <c r="E2748" s="5" t="n">
        <v>14566</v>
      </c>
      <c r="F2748" s="4" t="n">
        <v>1</v>
      </c>
      <c r="G2748" s="4" t="s">
        <v>11010</v>
      </c>
      <c r="H2748" s="4" t="n">
        <v>42.05236</v>
      </c>
      <c r="I2748" s="4" t="n">
        <v>-124.27598</v>
      </c>
      <c r="J2748" s="4" t="s">
        <v>11011</v>
      </c>
      <c r="K2748" s="6" t="str">
        <f aca="false">HYPERLINK("https://www.google.com/search?q=Chetco+Community+Public+Library+Brookings+OR+library+website","Search")</f>
        <v>Search</v>
      </c>
      <c r="L2748" s="7"/>
      <c r="M2748" s="7"/>
    </row>
    <row r="2749" customFormat="false" ht="15" hidden="false" customHeight="true" outlineLevel="0" collapsed="false">
      <c r="A2749" s="4" t="s">
        <v>10979</v>
      </c>
      <c r="B2749" s="4" t="s">
        <v>11012</v>
      </c>
      <c r="C2749" s="4" t="s">
        <v>11013</v>
      </c>
      <c r="D2749" s="4" t="s">
        <v>11002</v>
      </c>
      <c r="E2749" s="5" t="n">
        <v>31707</v>
      </c>
      <c r="F2749" s="4" t="n">
        <v>1</v>
      </c>
      <c r="G2749" s="4" t="s">
        <v>11014</v>
      </c>
      <c r="H2749" s="4" t="n">
        <v>45.4061</v>
      </c>
      <c r="I2749" s="4" t="n">
        <v>-122.62434</v>
      </c>
      <c r="J2749" s="4" t="s">
        <v>11015</v>
      </c>
      <c r="K2749" s="6" t="str">
        <f aca="false">HYPERLINK("https://www.google.com/search?q=Clackamas+County+-+Oak+Lodge+Public+Library+Oak+Grove+OR+library+website","Search")</f>
        <v>Search</v>
      </c>
      <c r="L2749" s="7"/>
      <c r="M2749" s="7"/>
    </row>
    <row r="2750" customFormat="false" ht="15" hidden="false" customHeight="true" outlineLevel="0" collapsed="false">
      <c r="A2750" s="4" t="s">
        <v>10979</v>
      </c>
      <c r="B2750" s="4" t="s">
        <v>11016</v>
      </c>
      <c r="C2750" s="4" t="s">
        <v>11017</v>
      </c>
      <c r="D2750" s="4" t="s">
        <v>11018</v>
      </c>
      <c r="E2750" s="5" t="n">
        <v>28817</v>
      </c>
      <c r="F2750" s="4" t="n">
        <v>1</v>
      </c>
      <c r="G2750" s="4" t="s">
        <v>11019</v>
      </c>
      <c r="H2750" s="4" t="n">
        <v>43.36722</v>
      </c>
      <c r="I2750" s="4" t="n">
        <v>-124.21753</v>
      </c>
      <c r="J2750" s="4" t="s">
        <v>11020</v>
      </c>
      <c r="K2750" s="6" t="str">
        <f aca="false">HYPERLINK("https://www.google.com/search?q=Coos+Bay+Public+Library+Coos+Bay+OR+library+website","Search")</f>
        <v>Search</v>
      </c>
      <c r="L2750" s="7"/>
      <c r="M2750" s="7"/>
    </row>
    <row r="2751" customFormat="false" ht="15" hidden="false" customHeight="true" outlineLevel="0" collapsed="false">
      <c r="A2751" s="4" t="s">
        <v>10979</v>
      </c>
      <c r="B2751" s="4" t="s">
        <v>11021</v>
      </c>
      <c r="C2751" s="4" t="s">
        <v>11022</v>
      </c>
      <c r="D2751" s="4" t="s">
        <v>441</v>
      </c>
      <c r="E2751" s="5" t="n">
        <v>15865</v>
      </c>
      <c r="F2751" s="4" t="n">
        <v>1</v>
      </c>
      <c r="G2751" s="4" t="s">
        <v>11023</v>
      </c>
      <c r="H2751" s="4" t="n">
        <v>45.52095</v>
      </c>
      <c r="I2751" s="4" t="n">
        <v>-123.05534</v>
      </c>
      <c r="J2751" s="4" t="s">
        <v>11024</v>
      </c>
      <c r="K2751" s="6" t="str">
        <f aca="false">HYPERLINK("https://www.google.com/search?q=Cornelius+Public+Library+Cornelius+OR+library+website","Search")</f>
        <v>Search</v>
      </c>
      <c r="L2751" s="7"/>
      <c r="M2751" s="7"/>
    </row>
    <row r="2752" customFormat="false" ht="15" hidden="false" customHeight="true" outlineLevel="0" collapsed="false">
      <c r="A2752" s="4" t="s">
        <v>10979</v>
      </c>
      <c r="B2752" s="4" t="s">
        <v>11025</v>
      </c>
      <c r="C2752" s="4" t="s">
        <v>11026</v>
      </c>
      <c r="D2752" s="4" t="s">
        <v>477</v>
      </c>
      <c r="E2752" s="5" t="n">
        <v>84654</v>
      </c>
      <c r="F2752" s="4" t="n">
        <v>4</v>
      </c>
      <c r="G2752" s="4" t="s">
        <v>11027</v>
      </c>
      <c r="H2752" s="4" t="n">
        <v>44.56529</v>
      </c>
      <c r="I2752" s="4" t="n">
        <v>-123.26445</v>
      </c>
      <c r="J2752" s="4" t="s">
        <v>11028</v>
      </c>
      <c r="K2752" s="6" t="str">
        <f aca="false">HYPERLINK("https://www.google.com/search?q=Corvallis-Benton+County+Public+Library+Corvallis+OR+library+website","Search")</f>
        <v>Search</v>
      </c>
      <c r="L2752" s="7"/>
      <c r="M2752" s="7"/>
    </row>
    <row r="2753" customFormat="false" ht="15" hidden="false" customHeight="true" outlineLevel="0" collapsed="false">
      <c r="A2753" s="4" t="s">
        <v>10979</v>
      </c>
      <c r="B2753" s="4" t="s">
        <v>11029</v>
      </c>
      <c r="C2753" s="4" t="s">
        <v>11030</v>
      </c>
      <c r="D2753" s="4" t="s">
        <v>11031</v>
      </c>
      <c r="E2753" s="5" t="n">
        <v>10792</v>
      </c>
      <c r="F2753" s="4" t="n">
        <v>1</v>
      </c>
      <c r="G2753" s="4" t="s">
        <v>11032</v>
      </c>
      <c r="H2753" s="4" t="n">
        <v>43.79874</v>
      </c>
      <c r="I2753" s="4" t="n">
        <v>-123.0609</v>
      </c>
      <c r="J2753" s="4" t="s">
        <v>11033</v>
      </c>
      <c r="K2753" s="6" t="str">
        <f aca="false">HYPERLINK("https://www.google.com/search?q=Cottage+Grove+Public+Library+Cottage+Grove+OR+library+website","Search")</f>
        <v>Search</v>
      </c>
      <c r="L2753" s="7"/>
      <c r="M2753" s="7"/>
    </row>
    <row r="2754" customFormat="false" ht="15" hidden="false" customHeight="true" outlineLevel="0" collapsed="false">
      <c r="A2754" s="4" t="s">
        <v>10979</v>
      </c>
      <c r="B2754" s="4" t="s">
        <v>11034</v>
      </c>
      <c r="C2754" s="4" t="s">
        <v>11035</v>
      </c>
      <c r="D2754" s="4" t="s">
        <v>11036</v>
      </c>
      <c r="E2754" s="5" t="n">
        <v>25482</v>
      </c>
      <c r="F2754" s="4" t="n">
        <v>1</v>
      </c>
      <c r="G2754" s="4" t="s">
        <v>11037</v>
      </c>
      <c r="H2754" s="4" t="n">
        <v>44.30165</v>
      </c>
      <c r="I2754" s="4" t="n">
        <v>-120.857</v>
      </c>
      <c r="J2754" s="4" t="s">
        <v>11038</v>
      </c>
      <c r="K2754" s="6" t="str">
        <f aca="false">HYPERLINK("https://www.google.com/search?q=Crook+County+Library+Prineville+OR+library+website","Search")</f>
        <v>Search</v>
      </c>
      <c r="L2754" s="7"/>
      <c r="M2754" s="7"/>
    </row>
    <row r="2755" customFormat="false" ht="15" hidden="false" customHeight="true" outlineLevel="0" collapsed="false">
      <c r="A2755" s="4" t="s">
        <v>10979</v>
      </c>
      <c r="B2755" s="4" t="s">
        <v>11039</v>
      </c>
      <c r="C2755" s="4" t="s">
        <v>394</v>
      </c>
      <c r="D2755" s="4" t="s">
        <v>2523</v>
      </c>
      <c r="E2755" s="5" t="n">
        <v>17320</v>
      </c>
      <c r="F2755" s="4" t="n">
        <v>1</v>
      </c>
      <c r="G2755" s="4" t="s">
        <v>11040</v>
      </c>
      <c r="H2755" s="4" t="n">
        <v>44.91997</v>
      </c>
      <c r="I2755" s="4" t="n">
        <v>-123.31667</v>
      </c>
      <c r="J2755" s="4" t="s">
        <v>11041</v>
      </c>
      <c r="K2755" s="6" t="str">
        <f aca="false">HYPERLINK("https://www.google.com/search?q=Dallas+Public+Library+Dallas+OR+library+website","Search")</f>
        <v>Search</v>
      </c>
      <c r="L2755" s="7"/>
      <c r="M2755" s="7"/>
    </row>
    <row r="2756" customFormat="false" ht="15" hidden="false" customHeight="true" outlineLevel="0" collapsed="false">
      <c r="A2756" s="4" t="s">
        <v>10979</v>
      </c>
      <c r="B2756" s="4" t="s">
        <v>11042</v>
      </c>
      <c r="C2756" s="4" t="s">
        <v>11043</v>
      </c>
      <c r="D2756" s="4" t="s">
        <v>11044</v>
      </c>
      <c r="E2756" s="5" t="n">
        <v>203390</v>
      </c>
      <c r="F2756" s="4" t="n">
        <v>6</v>
      </c>
      <c r="G2756" s="4" t="s">
        <v>11045</v>
      </c>
      <c r="H2756" s="4" t="n">
        <v>44.05609</v>
      </c>
      <c r="I2756" s="4" t="n">
        <v>-121.31733</v>
      </c>
      <c r="J2756" s="4" t="s">
        <v>11046</v>
      </c>
      <c r="K2756" s="6" t="str">
        <f aca="false">HYPERLINK("https://www.google.com/search?q=Deschutes+Public+Library+District+Bend+OR+library+website","Search")</f>
        <v>Search</v>
      </c>
      <c r="L2756" s="7"/>
      <c r="M2756" s="8" t="str">
        <f aca="false">HYPERLINK("https://dpls.overdrive.com","https://dpls.overdrive.com")</f>
        <v>https://dpls.overdrive.com</v>
      </c>
    </row>
    <row r="2757" customFormat="false" ht="15" hidden="false" customHeight="true" outlineLevel="0" collapsed="false">
      <c r="A2757" s="4" t="s">
        <v>10979</v>
      </c>
      <c r="B2757" s="4" t="s">
        <v>11047</v>
      </c>
      <c r="C2757" s="4" t="s">
        <v>11048</v>
      </c>
      <c r="D2757" s="4" t="s">
        <v>1131</v>
      </c>
      <c r="E2757" s="5" t="n">
        <v>16340</v>
      </c>
      <c r="F2757" s="4" t="n">
        <v>1</v>
      </c>
      <c r="G2757" s="4" t="s">
        <v>11049</v>
      </c>
      <c r="H2757" s="4" t="n">
        <v>44.96118</v>
      </c>
      <c r="I2757" s="4" t="n">
        <v>-124.01497</v>
      </c>
      <c r="J2757" s="4" t="s">
        <v>11050</v>
      </c>
      <c r="K2757" s="6" t="str">
        <f aca="false">HYPERLINK("https://www.google.com/search?q=Driftwood+Public+Library+Lincoln+City+OR+library+website","Search")</f>
        <v>Search</v>
      </c>
      <c r="L2757" s="7"/>
      <c r="M2757" s="7"/>
    </row>
    <row r="2758" customFormat="false" ht="15" hidden="false" customHeight="true" outlineLevel="0" collapsed="false">
      <c r="A2758" s="4" t="s">
        <v>10979</v>
      </c>
      <c r="B2758" s="4" t="s">
        <v>11051</v>
      </c>
      <c r="C2758" s="4" t="s">
        <v>11052</v>
      </c>
      <c r="D2758" s="4" t="s">
        <v>11002</v>
      </c>
      <c r="E2758" s="5" t="n">
        <v>19475</v>
      </c>
      <c r="F2758" s="4" t="n">
        <v>1</v>
      </c>
      <c r="G2758" s="4" t="s">
        <v>11053</v>
      </c>
      <c r="H2758" s="4" t="n">
        <v>45.29696</v>
      </c>
      <c r="I2758" s="4" t="n">
        <v>-122.33797</v>
      </c>
      <c r="J2758" s="4" t="s">
        <v>11054</v>
      </c>
      <c r="K2758" s="6" t="str">
        <f aca="false">HYPERLINK("https://www.google.com/search?q=Estacada+Public+Library+Estacada+OR+library+website","Search")</f>
        <v>Search</v>
      </c>
      <c r="L2758" s="7"/>
      <c r="M2758" s="7"/>
    </row>
    <row r="2759" customFormat="false" ht="15" hidden="false" customHeight="true" outlineLevel="0" collapsed="false">
      <c r="A2759" s="4" t="s">
        <v>10979</v>
      </c>
      <c r="B2759" s="4" t="s">
        <v>11055</v>
      </c>
      <c r="C2759" s="4" t="s">
        <v>11056</v>
      </c>
      <c r="D2759" s="4" t="s">
        <v>11031</v>
      </c>
      <c r="E2759" s="5" t="n">
        <v>175626</v>
      </c>
      <c r="F2759" s="4" t="n">
        <v>3</v>
      </c>
      <c r="G2759" s="4" t="s">
        <v>11057</v>
      </c>
      <c r="H2759" s="4" t="n">
        <v>44.0483</v>
      </c>
      <c r="I2759" s="4" t="n">
        <v>-123.09492</v>
      </c>
      <c r="J2759" s="4" t="s">
        <v>11058</v>
      </c>
      <c r="K2759" s="6" t="str">
        <f aca="false">HYPERLINK("https://www.google.com/search?q=Eugene+Public+Library+Eugene+OR+library+website","Search")</f>
        <v>Search</v>
      </c>
      <c r="L2759" s="7"/>
      <c r="M2759" s="7"/>
    </row>
    <row r="2760" customFormat="false" ht="15" hidden="false" customHeight="true" outlineLevel="0" collapsed="false">
      <c r="A2760" s="4" t="s">
        <v>10979</v>
      </c>
      <c r="B2760" s="4" t="s">
        <v>11059</v>
      </c>
      <c r="C2760" s="4" t="s">
        <v>11060</v>
      </c>
      <c r="D2760" s="4" t="s">
        <v>467</v>
      </c>
      <c r="E2760" s="5" t="n">
        <v>18657</v>
      </c>
      <c r="F2760" s="4" t="n">
        <v>1</v>
      </c>
      <c r="G2760" s="4" t="s">
        <v>11061</v>
      </c>
      <c r="H2760" s="4" t="n">
        <v>45.32989</v>
      </c>
      <c r="I2760" s="4" t="n">
        <v>-118.0965</v>
      </c>
      <c r="J2760" s="4" t="s">
        <v>11062</v>
      </c>
      <c r="K2760" s="6" t="str">
        <f aca="false">HYPERLINK("https://www.google.com/search?q=F.+Maxine+And+Thomas+W.+Cook+Memorial+Library+La+Grande+OR+library+website","Search")</f>
        <v>Search</v>
      </c>
      <c r="L2760" s="7"/>
      <c r="M2760" s="7"/>
    </row>
    <row r="2761" customFormat="false" ht="15" hidden="false" customHeight="true" outlineLevel="0" collapsed="false">
      <c r="A2761" s="4" t="s">
        <v>10979</v>
      </c>
      <c r="B2761" s="4" t="s">
        <v>11063</v>
      </c>
      <c r="C2761" s="4" t="s">
        <v>11064</v>
      </c>
      <c r="D2761" s="4" t="s">
        <v>11031</v>
      </c>
      <c r="E2761" s="5" t="n">
        <v>14132</v>
      </c>
      <c r="F2761" s="4" t="n">
        <v>1</v>
      </c>
      <c r="G2761" s="4" t="s">
        <v>11065</v>
      </c>
      <c r="H2761" s="4" t="n">
        <v>44.04661</v>
      </c>
      <c r="I2761" s="4" t="n">
        <v>-123.35163</v>
      </c>
      <c r="J2761" s="4" t="s">
        <v>11066</v>
      </c>
      <c r="K2761" s="6" t="str">
        <f aca="false">HYPERLINK("https://www.google.com/search?q=Fern+Ridge+Library+District+Veneta+OR+library+website","Search")</f>
        <v>Search</v>
      </c>
      <c r="L2761" s="7"/>
      <c r="M2761" s="7"/>
    </row>
    <row r="2762" customFormat="false" ht="15" hidden="false" customHeight="true" outlineLevel="0" collapsed="false">
      <c r="A2762" s="4" t="s">
        <v>10979</v>
      </c>
      <c r="B2762" s="4" t="s">
        <v>11067</v>
      </c>
      <c r="C2762" s="4" t="s">
        <v>11068</v>
      </c>
      <c r="D2762" s="4" t="s">
        <v>441</v>
      </c>
      <c r="E2762" s="5" t="n">
        <v>29578</v>
      </c>
      <c r="F2762" s="4" t="n">
        <v>1</v>
      </c>
      <c r="G2762" s="4" t="s">
        <v>11069</v>
      </c>
      <c r="H2762" s="4" t="n">
        <v>45.51961</v>
      </c>
      <c r="I2762" s="4" t="n">
        <v>-123.10921</v>
      </c>
      <c r="J2762" s="4" t="s">
        <v>11070</v>
      </c>
      <c r="K2762" s="6" t="str">
        <f aca="false">HYPERLINK("https://www.google.com/search?q=Forest+Grove+City+Library+Forest+Grove+OR+library+website","Search")</f>
        <v>Search</v>
      </c>
      <c r="L2762" s="7"/>
      <c r="M2762" s="7"/>
    </row>
    <row r="2763" customFormat="false" ht="15" hidden="false" customHeight="true" outlineLevel="0" collapsed="false">
      <c r="A2763" s="4" t="s">
        <v>10979</v>
      </c>
      <c r="B2763" s="4" t="s">
        <v>11071</v>
      </c>
      <c r="C2763" s="4" t="s">
        <v>6676</v>
      </c>
      <c r="D2763" s="4" t="s">
        <v>11002</v>
      </c>
      <c r="E2763" s="5" t="n">
        <v>21450</v>
      </c>
      <c r="F2763" s="4" t="n">
        <v>1</v>
      </c>
      <c r="G2763" s="4" t="s">
        <v>11072</v>
      </c>
      <c r="H2763" s="4" t="n">
        <v>45.3805</v>
      </c>
      <c r="I2763" s="4" t="n">
        <v>-122.59378</v>
      </c>
      <c r="J2763" s="4" t="s">
        <v>11073</v>
      </c>
      <c r="K2763" s="6" t="str">
        <f aca="false">HYPERLINK("https://www.google.com/search?q=Gladstone+Public+Library+Gladstone+OR+library+website","Search")</f>
        <v>Search</v>
      </c>
      <c r="L2763" s="7"/>
      <c r="M2763" s="7"/>
    </row>
    <row r="2764" customFormat="false" ht="15" hidden="false" customHeight="true" outlineLevel="0" collapsed="false">
      <c r="A2764" s="4" t="s">
        <v>10979</v>
      </c>
      <c r="B2764" s="4" t="s">
        <v>11074</v>
      </c>
      <c r="C2764" s="4" t="s">
        <v>11075</v>
      </c>
      <c r="D2764" s="4" t="s">
        <v>11002</v>
      </c>
      <c r="E2764" s="5" t="n">
        <v>60990</v>
      </c>
      <c r="F2764" s="4" t="n">
        <v>1</v>
      </c>
      <c r="G2764" s="4" t="s">
        <v>11076</v>
      </c>
      <c r="H2764" s="4" t="n">
        <v>45.42243</v>
      </c>
      <c r="I2764" s="4" t="n">
        <v>-122.51298</v>
      </c>
      <c r="J2764" s="4" t="s">
        <v>11077</v>
      </c>
      <c r="K2764" s="6" t="str">
        <f aca="false">HYPERLINK("https://www.google.com/search?q=Happy+Valley+Public+Library+Happy+Valley+OR+library+website","Search")</f>
        <v>Search</v>
      </c>
      <c r="L2764" s="7"/>
      <c r="M2764" s="7"/>
    </row>
    <row r="2765" customFormat="false" ht="15" hidden="false" customHeight="true" outlineLevel="0" collapsed="false">
      <c r="A2765" s="4" t="s">
        <v>10979</v>
      </c>
      <c r="B2765" s="4" t="s">
        <v>11078</v>
      </c>
      <c r="C2765" s="4" t="s">
        <v>11079</v>
      </c>
      <c r="D2765" s="4" t="s">
        <v>11080</v>
      </c>
      <c r="E2765" s="5" t="n">
        <v>27144</v>
      </c>
      <c r="F2765" s="4" t="n">
        <v>1</v>
      </c>
      <c r="G2765" s="4" t="s">
        <v>11081</v>
      </c>
      <c r="H2765" s="4" t="n">
        <v>45.84138</v>
      </c>
      <c r="I2765" s="4" t="n">
        <v>-119.28803</v>
      </c>
      <c r="J2765" s="4" t="s">
        <v>11082</v>
      </c>
      <c r="K2765" s="6" t="str">
        <f aca="false">HYPERLINK("https://www.google.com/search?q=Hermiston+Public+Library+Hermiston+OR+library+website","Search")</f>
        <v>Search</v>
      </c>
      <c r="L2765" s="7"/>
      <c r="M2765" s="7"/>
    </row>
    <row r="2766" customFormat="false" ht="15" hidden="false" customHeight="true" outlineLevel="0" collapsed="false">
      <c r="A2766" s="4" t="s">
        <v>10979</v>
      </c>
      <c r="B2766" s="4" t="s">
        <v>11083</v>
      </c>
      <c r="C2766" s="4" t="s">
        <v>3687</v>
      </c>
      <c r="D2766" s="4" t="s">
        <v>441</v>
      </c>
      <c r="E2766" s="5" t="n">
        <v>156571</v>
      </c>
      <c r="F2766" s="4" t="n">
        <v>2</v>
      </c>
      <c r="G2766" s="4" t="s">
        <v>11084</v>
      </c>
      <c r="H2766" s="4" t="n">
        <v>45.54316</v>
      </c>
      <c r="I2766" s="4" t="n">
        <v>-122.937</v>
      </c>
      <c r="J2766" s="4" t="s">
        <v>11085</v>
      </c>
      <c r="K2766" s="6" t="str">
        <f aca="false">HYPERLINK("https://www.google.com/search?q=Hillsboro+Public+Library+Hillsboro+OR+library+website","Search")</f>
        <v>Search</v>
      </c>
      <c r="L2766" s="7"/>
      <c r="M2766" s="7"/>
    </row>
    <row r="2767" customFormat="false" ht="15" hidden="false" customHeight="true" outlineLevel="0" collapsed="false">
      <c r="A2767" s="4" t="s">
        <v>10979</v>
      </c>
      <c r="B2767" s="4" t="s">
        <v>11086</v>
      </c>
      <c r="C2767" s="4" t="s">
        <v>11087</v>
      </c>
      <c r="D2767" s="4" t="s">
        <v>11087</v>
      </c>
      <c r="E2767" s="5" t="n">
        <v>23888</v>
      </c>
      <c r="F2767" s="4" t="n">
        <v>3</v>
      </c>
      <c r="G2767" s="4" t="s">
        <v>11088</v>
      </c>
      <c r="H2767" s="4" t="n">
        <v>45.70818</v>
      </c>
      <c r="I2767" s="4" t="n">
        <v>-121.51541</v>
      </c>
      <c r="J2767" s="4" t="s">
        <v>11089</v>
      </c>
      <c r="K2767" s="6" t="str">
        <f aca="false">HYPERLINK("https://www.google.com/search?q=Hood+River+County+Library+District+Hood+River+OR+library+website","Search")</f>
        <v>Search</v>
      </c>
      <c r="L2767" s="7"/>
      <c r="M2767" s="7"/>
    </row>
    <row r="2768" customFormat="false" ht="15" hidden="false" customHeight="true" outlineLevel="0" collapsed="false">
      <c r="A2768" s="4" t="s">
        <v>10979</v>
      </c>
      <c r="B2768" s="4" t="s">
        <v>3006</v>
      </c>
      <c r="C2768" s="4" t="s">
        <v>559</v>
      </c>
      <c r="D2768" s="4" t="s">
        <v>2523</v>
      </c>
      <c r="E2768" s="5" t="n">
        <v>10081</v>
      </c>
      <c r="F2768" s="4" t="n">
        <v>1</v>
      </c>
      <c r="G2768" s="4" t="s">
        <v>11090</v>
      </c>
      <c r="H2768" s="4" t="n">
        <v>44.85113</v>
      </c>
      <c r="I2768" s="4" t="n">
        <v>-123.18568</v>
      </c>
      <c r="J2768" s="4" t="s">
        <v>11091</v>
      </c>
      <c r="K2768" s="6" t="str">
        <f aca="false">HYPERLINK("https://www.google.com/search?q=Independence+Public+Library+Independence+OR+library+website","Search")</f>
        <v>Search</v>
      </c>
      <c r="L2768" s="7"/>
      <c r="M2768" s="7"/>
    </row>
    <row r="2769" customFormat="false" ht="15" hidden="false" customHeight="true" outlineLevel="0" collapsed="false">
      <c r="A2769" s="4" t="s">
        <v>10979</v>
      </c>
      <c r="B2769" s="4" t="s">
        <v>11092</v>
      </c>
      <c r="C2769" s="4" t="s">
        <v>5835</v>
      </c>
      <c r="D2769" s="4" t="s">
        <v>389</v>
      </c>
      <c r="E2769" s="5" t="n">
        <v>223827</v>
      </c>
      <c r="F2769" s="4" t="n">
        <v>15</v>
      </c>
      <c r="G2769" s="4" t="s">
        <v>11093</v>
      </c>
      <c r="H2769" s="4" t="n">
        <v>42.32452</v>
      </c>
      <c r="I2769" s="4" t="n">
        <v>-122.87027</v>
      </c>
      <c r="J2769" s="4" t="s">
        <v>11094</v>
      </c>
      <c r="K2769" s="6" t="str">
        <f aca="false">HYPERLINK("https://www.google.com/search?q=Jackson+County+Library+Services+Medford+OR+library+website","Search")</f>
        <v>Search</v>
      </c>
      <c r="L2769" s="7"/>
      <c r="M2769" s="7"/>
    </row>
    <row r="2770" customFormat="false" ht="15" hidden="false" customHeight="true" outlineLevel="0" collapsed="false">
      <c r="A2770" s="4" t="s">
        <v>10979</v>
      </c>
      <c r="B2770" s="4" t="s">
        <v>7428</v>
      </c>
      <c r="C2770" s="4" t="s">
        <v>11095</v>
      </c>
      <c r="D2770" s="4" t="s">
        <v>98</v>
      </c>
      <c r="E2770" s="5" t="n">
        <v>24889</v>
      </c>
      <c r="F2770" s="4" t="n">
        <v>1</v>
      </c>
      <c r="G2770" s="4" t="s">
        <v>11096</v>
      </c>
      <c r="H2770" s="4" t="n">
        <v>44.63263</v>
      </c>
      <c r="I2770" s="4" t="n">
        <v>-121.12747</v>
      </c>
      <c r="J2770" s="4" t="s">
        <v>11097</v>
      </c>
      <c r="K2770" s="6" t="str">
        <f aca="false">HYPERLINK("https://www.google.com/search?q=Jefferson+County+Library+District+Madras+OR+library+website","Search")</f>
        <v>Search</v>
      </c>
      <c r="L2770" s="7"/>
      <c r="M2770" s="7"/>
    </row>
    <row r="2771" customFormat="false" ht="15" hidden="false" customHeight="true" outlineLevel="0" collapsed="false">
      <c r="A2771" s="4" t="s">
        <v>10979</v>
      </c>
      <c r="B2771" s="4" t="s">
        <v>11098</v>
      </c>
      <c r="C2771" s="4" t="s">
        <v>11099</v>
      </c>
      <c r="D2771" s="4" t="s">
        <v>11100</v>
      </c>
      <c r="E2771" s="5" t="n">
        <v>40439</v>
      </c>
      <c r="F2771" s="4" t="n">
        <v>4</v>
      </c>
      <c r="G2771" s="4" t="s">
        <v>11101</v>
      </c>
      <c r="H2771" s="4" t="n">
        <v>42.44269</v>
      </c>
      <c r="I2771" s="4" t="n">
        <v>-123.32677</v>
      </c>
      <c r="J2771" s="4" t="s">
        <v>11102</v>
      </c>
      <c r="K2771" s="6" t="str">
        <f aca="false">HYPERLINK("https://www.google.com/search?q=Josephine+Community+Library+District+Grants+Pass+OR+library+website","Search")</f>
        <v>Search</v>
      </c>
      <c r="L2771" s="7"/>
      <c r="M2771" s="7"/>
    </row>
    <row r="2772" customFormat="false" ht="15" hidden="false" customHeight="true" outlineLevel="0" collapsed="false">
      <c r="A2772" s="4" t="s">
        <v>10979</v>
      </c>
      <c r="B2772" s="4" t="s">
        <v>11103</v>
      </c>
      <c r="C2772" s="4" t="s">
        <v>11104</v>
      </c>
      <c r="D2772" s="4" t="s">
        <v>11105</v>
      </c>
      <c r="E2772" s="5" t="n">
        <v>69822</v>
      </c>
      <c r="F2772" s="4" t="n">
        <v>12</v>
      </c>
      <c r="G2772" s="4" t="s">
        <v>11106</v>
      </c>
      <c r="H2772" s="4" t="n">
        <v>42.22247</v>
      </c>
      <c r="I2772" s="4" t="n">
        <v>-121.78459</v>
      </c>
      <c r="J2772" s="4" t="s">
        <v>11107</v>
      </c>
      <c r="K2772" s="6" t="str">
        <f aca="false">HYPERLINK("https://www.google.com/search?q=Klamath+County+Library+Service+District+Klamath+Falls+OR+library+website","Search")</f>
        <v>Search</v>
      </c>
      <c r="L2772" s="7"/>
      <c r="M2772" s="7"/>
    </row>
    <row r="2773" customFormat="false" ht="15" hidden="false" customHeight="true" outlineLevel="0" collapsed="false">
      <c r="A2773" s="4" t="s">
        <v>10979</v>
      </c>
      <c r="B2773" s="4" t="s">
        <v>11108</v>
      </c>
      <c r="C2773" s="4" t="s">
        <v>11109</v>
      </c>
      <c r="D2773" s="4" t="s">
        <v>11002</v>
      </c>
      <c r="E2773" s="5" t="n">
        <v>44567</v>
      </c>
      <c r="F2773" s="4" t="n">
        <v>1</v>
      </c>
      <c r="G2773" s="4" t="s">
        <v>11110</v>
      </c>
      <c r="H2773" s="4" t="n">
        <v>45.42392</v>
      </c>
      <c r="I2773" s="4" t="n">
        <v>-122.66706</v>
      </c>
      <c r="J2773" s="4" t="s">
        <v>11111</v>
      </c>
      <c r="K2773" s="6" t="str">
        <f aca="false">HYPERLINK("https://www.google.com/search?q=Lake+Oswego+Public+Library+Lake+Oswego+OR+library+website","Search")</f>
        <v>Search</v>
      </c>
      <c r="L2773" s="7"/>
      <c r="M2773" s="7"/>
    </row>
    <row r="2774" customFormat="false" ht="15" hidden="false" customHeight="true" outlineLevel="0" collapsed="false">
      <c r="A2774" s="4" t="s">
        <v>10979</v>
      </c>
      <c r="B2774" s="4" t="s">
        <v>11112</v>
      </c>
      <c r="C2774" s="4" t="s">
        <v>11113</v>
      </c>
      <c r="D2774" s="4" t="s">
        <v>11031</v>
      </c>
      <c r="E2774" s="5" t="n">
        <v>10095</v>
      </c>
      <c r="F2774" s="4" t="n">
        <v>1</v>
      </c>
      <c r="G2774" s="4" t="s">
        <v>11114</v>
      </c>
      <c r="H2774" s="4" t="n">
        <v>43.91786</v>
      </c>
      <c r="I2774" s="4" t="n">
        <v>-123.01964</v>
      </c>
      <c r="J2774" s="4" t="s">
        <v>11115</v>
      </c>
      <c r="K2774" s="6" t="str">
        <f aca="false">HYPERLINK("https://www.google.com/search?q=Lane+Library+District+Creswell+OR+library+website","Search")</f>
        <v>Search</v>
      </c>
      <c r="L2774" s="7"/>
      <c r="M2774" s="7"/>
    </row>
    <row r="2775" customFormat="false" ht="15" hidden="false" customHeight="true" outlineLevel="0" collapsed="false">
      <c r="A2775" s="4" t="s">
        <v>10979</v>
      </c>
      <c r="B2775" s="4" t="s">
        <v>4458</v>
      </c>
      <c r="C2775" s="4" t="s">
        <v>4459</v>
      </c>
      <c r="D2775" s="4" t="s">
        <v>2921</v>
      </c>
      <c r="E2775" s="5" t="n">
        <v>19122</v>
      </c>
      <c r="F2775" s="4" t="n">
        <v>1</v>
      </c>
      <c r="G2775" s="4" t="s">
        <v>11116</v>
      </c>
      <c r="H2775" s="4" t="n">
        <v>44.54426</v>
      </c>
      <c r="I2775" s="4" t="n">
        <v>-122.90834</v>
      </c>
      <c r="J2775" s="4" t="s">
        <v>11117</v>
      </c>
      <c r="K2775" s="6" t="str">
        <f aca="false">HYPERLINK("https://www.google.com/search?q=Lebanon+Public+Library+Lebanon+OR+library+website","Search")</f>
        <v>Search</v>
      </c>
      <c r="L2775" s="7"/>
      <c r="M2775" s="7"/>
    </row>
    <row r="2776" customFormat="false" ht="15" hidden="false" customHeight="true" outlineLevel="0" collapsed="false">
      <c r="A2776" s="4" t="s">
        <v>10979</v>
      </c>
      <c r="B2776" s="4" t="s">
        <v>11118</v>
      </c>
      <c r="C2776" s="4" t="s">
        <v>11119</v>
      </c>
      <c r="D2776" s="4" t="s">
        <v>11002</v>
      </c>
      <c r="E2776" s="5" t="n">
        <v>41638</v>
      </c>
      <c r="F2776" s="4" t="n">
        <v>1</v>
      </c>
      <c r="G2776" s="4" t="s">
        <v>11120</v>
      </c>
      <c r="H2776" s="4" t="n">
        <v>45.44615</v>
      </c>
      <c r="I2776" s="4" t="n">
        <v>-122.64063</v>
      </c>
      <c r="J2776" s="4" t="s">
        <v>11121</v>
      </c>
      <c r="K2776" s="6" t="str">
        <f aca="false">HYPERLINK("https://www.google.com/search?q=Ledding+Library+Milwaukie+OR+library+website","Search")</f>
        <v>Search</v>
      </c>
      <c r="L2776" s="7"/>
      <c r="M2776" s="7"/>
    </row>
    <row r="2777" customFormat="false" ht="15" hidden="false" customHeight="true" outlineLevel="0" collapsed="false">
      <c r="A2777" s="4" t="s">
        <v>10979</v>
      </c>
      <c r="B2777" s="4" t="s">
        <v>11122</v>
      </c>
      <c r="C2777" s="4" t="s">
        <v>11123</v>
      </c>
      <c r="D2777" s="4" t="s">
        <v>11124</v>
      </c>
      <c r="E2777" s="5" t="n">
        <v>34251</v>
      </c>
      <c r="F2777" s="4" t="n">
        <v>1</v>
      </c>
      <c r="G2777" s="4" t="s">
        <v>11125</v>
      </c>
      <c r="H2777" s="4" t="n">
        <v>45.20951</v>
      </c>
      <c r="I2777" s="4" t="n">
        <v>-123.19916</v>
      </c>
      <c r="J2777" s="4" t="s">
        <v>11126</v>
      </c>
      <c r="K2777" s="6" t="str">
        <f aca="false">HYPERLINK("https://www.google.com/search?q=Mcminnville+Public+Library+Mcminnville+OR+library+website","Search")</f>
        <v>Search</v>
      </c>
      <c r="L2777" s="7"/>
      <c r="M2777" s="7"/>
    </row>
    <row r="2778" customFormat="false" ht="15" hidden="false" customHeight="true" outlineLevel="0" collapsed="false">
      <c r="A2778" s="4" t="s">
        <v>10979</v>
      </c>
      <c r="B2778" s="4" t="s">
        <v>11127</v>
      </c>
      <c r="C2778" s="4" t="s">
        <v>11128</v>
      </c>
      <c r="D2778" s="4" t="s">
        <v>11002</v>
      </c>
      <c r="E2778" s="5" t="n">
        <v>25402</v>
      </c>
      <c r="F2778" s="4" t="n">
        <v>1</v>
      </c>
      <c r="G2778" s="4" t="s">
        <v>11129</v>
      </c>
      <c r="H2778" s="4" t="n">
        <v>45.14372</v>
      </c>
      <c r="I2778" s="4" t="n">
        <v>-122.57724</v>
      </c>
      <c r="J2778" s="4" t="s">
        <v>11130</v>
      </c>
      <c r="K2778" s="6" t="str">
        <f aca="false">HYPERLINK("https://www.google.com/search?q=Molalla+Public+Library+Molalla+OR+library+website","Search")</f>
        <v>Search</v>
      </c>
      <c r="L2778" s="7"/>
      <c r="M2778" s="7"/>
    </row>
    <row r="2779" customFormat="false" ht="15" hidden="false" customHeight="true" outlineLevel="0" collapsed="false">
      <c r="A2779" s="4" t="s">
        <v>10979</v>
      </c>
      <c r="B2779" s="4" t="s">
        <v>11131</v>
      </c>
      <c r="C2779" s="4" t="s">
        <v>4155</v>
      </c>
      <c r="D2779" s="4" t="s">
        <v>2523</v>
      </c>
      <c r="E2779" s="5" t="n">
        <v>11142</v>
      </c>
      <c r="F2779" s="4" t="n">
        <v>1</v>
      </c>
      <c r="G2779" s="4" t="s">
        <v>11132</v>
      </c>
      <c r="H2779" s="4" t="n">
        <v>44.84771</v>
      </c>
      <c r="I2779" s="4" t="n">
        <v>-123.23187</v>
      </c>
      <c r="J2779" s="4" t="s">
        <v>11133</v>
      </c>
      <c r="K2779" s="6" t="str">
        <f aca="false">HYPERLINK("https://www.google.com/search?q=Monmouth+Public+Library+Monmouth+OR+library+website","Search")</f>
        <v>Search</v>
      </c>
      <c r="L2779" s="7"/>
      <c r="M2779" s="7"/>
    </row>
    <row r="2780" customFormat="false" ht="15" hidden="false" customHeight="true" outlineLevel="0" collapsed="false">
      <c r="A2780" s="4" t="s">
        <v>10979</v>
      </c>
      <c r="B2780" s="4" t="s">
        <v>11134</v>
      </c>
      <c r="C2780" s="4" t="s">
        <v>4411</v>
      </c>
      <c r="D2780" s="4" t="s">
        <v>11135</v>
      </c>
      <c r="E2780" s="5" t="n">
        <v>820672</v>
      </c>
      <c r="F2780" s="4" t="n">
        <v>19</v>
      </c>
      <c r="G2780" s="4" t="s">
        <v>11136</v>
      </c>
      <c r="H2780" s="4" t="n">
        <v>45.52908</v>
      </c>
      <c r="I2780" s="4" t="n">
        <v>-122.64654</v>
      </c>
      <c r="J2780" s="4" t="s">
        <v>11137</v>
      </c>
      <c r="K2780" s="6" t="str">
        <f aca="false">HYPERLINK("https://www.google.com/search?q=Multnomah+County+Library+Portland+OR+library+website","Search")</f>
        <v>Search</v>
      </c>
      <c r="L2780" s="7"/>
      <c r="M2780" s="8" t="str">
        <f aca="false">HYPERLINK("https://multcolib.overdrive.com","https://multcolib.overdrive.com")</f>
        <v>https://multcolib.overdrive.com</v>
      </c>
    </row>
    <row r="2781" customFormat="false" ht="15" hidden="false" customHeight="true" outlineLevel="0" collapsed="false">
      <c r="A2781" s="4" t="s">
        <v>10979</v>
      </c>
      <c r="B2781" s="4" t="s">
        <v>11138</v>
      </c>
      <c r="C2781" s="4" t="s">
        <v>11139</v>
      </c>
      <c r="D2781" s="4" t="s">
        <v>11124</v>
      </c>
      <c r="E2781" s="5" t="n">
        <v>25376</v>
      </c>
      <c r="F2781" s="4" t="n">
        <v>1</v>
      </c>
      <c r="G2781" s="4" t="s">
        <v>11140</v>
      </c>
      <c r="H2781" s="4" t="n">
        <v>45.30116</v>
      </c>
      <c r="I2781" s="4" t="n">
        <v>-122.97479</v>
      </c>
      <c r="J2781" s="4" t="s">
        <v>11141</v>
      </c>
      <c r="K2781" s="6" t="str">
        <f aca="false">HYPERLINK("https://www.google.com/search?q=Newberg+Public+Library+Newberg+OR+library+website","Search")</f>
        <v>Search</v>
      </c>
      <c r="L2781" s="7"/>
      <c r="M2781" s="7"/>
    </row>
    <row r="2782" customFormat="false" ht="15" hidden="false" customHeight="true" outlineLevel="0" collapsed="false">
      <c r="A2782" s="4" t="s">
        <v>10979</v>
      </c>
      <c r="B2782" s="4" t="s">
        <v>11142</v>
      </c>
      <c r="C2782" s="4" t="s">
        <v>647</v>
      </c>
      <c r="D2782" s="4" t="s">
        <v>1131</v>
      </c>
      <c r="E2782" s="5" t="n">
        <v>16987</v>
      </c>
      <c r="F2782" s="4" t="n">
        <v>1</v>
      </c>
      <c r="G2782" s="4" t="s">
        <v>11143</v>
      </c>
      <c r="H2782" s="4" t="n">
        <v>44.63692</v>
      </c>
      <c r="I2782" s="4" t="n">
        <v>-124.05567</v>
      </c>
      <c r="J2782" s="4" t="s">
        <v>11144</v>
      </c>
      <c r="K2782" s="6" t="str">
        <f aca="false">HYPERLINK("https://www.google.com/search?q=Newport+Public+Library+Newport+OR+library+website","Search")</f>
        <v>Search</v>
      </c>
      <c r="L2782" s="7"/>
      <c r="M2782" s="7"/>
    </row>
    <row r="2783" customFormat="false" ht="15" hidden="false" customHeight="true" outlineLevel="0" collapsed="false">
      <c r="A2783" s="4" t="s">
        <v>10979</v>
      </c>
      <c r="B2783" s="4" t="s">
        <v>11145</v>
      </c>
      <c r="C2783" s="4" t="s">
        <v>11146</v>
      </c>
      <c r="D2783" s="4" t="s">
        <v>11018</v>
      </c>
      <c r="E2783" s="5" t="n">
        <v>14549</v>
      </c>
      <c r="F2783" s="4" t="n">
        <v>1</v>
      </c>
      <c r="G2783" s="4" t="s">
        <v>11147</v>
      </c>
      <c r="H2783" s="4" t="n">
        <v>43.40875</v>
      </c>
      <c r="I2783" s="4" t="n">
        <v>-124.22405</v>
      </c>
      <c r="J2783" s="4" t="s">
        <v>11148</v>
      </c>
      <c r="K2783" s="6" t="str">
        <f aca="false">HYPERLINK("https://www.google.com/search?q=North+Bend+Public+Library+North+Bend+OR+library+website","Search")</f>
        <v>Search</v>
      </c>
      <c r="L2783" s="7"/>
      <c r="M2783" s="7"/>
    </row>
    <row r="2784" customFormat="false" ht="15" hidden="false" customHeight="true" outlineLevel="0" collapsed="false">
      <c r="A2784" s="4" t="s">
        <v>10979</v>
      </c>
      <c r="B2784" s="4" t="s">
        <v>11149</v>
      </c>
      <c r="C2784" s="4" t="s">
        <v>1254</v>
      </c>
      <c r="D2784" s="4" t="s">
        <v>11150</v>
      </c>
      <c r="E2784" s="5" t="n">
        <v>26805</v>
      </c>
      <c r="F2784" s="4" t="n">
        <v>1</v>
      </c>
      <c r="G2784" s="4" t="s">
        <v>11151</v>
      </c>
      <c r="H2784" s="4" t="n">
        <v>44.0256</v>
      </c>
      <c r="I2784" s="4" t="n">
        <v>-116.96824</v>
      </c>
      <c r="J2784" s="4" t="s">
        <v>11152</v>
      </c>
      <c r="K2784" s="6" t="str">
        <f aca="false">HYPERLINK("https://www.google.com/search?q=Ontario+Library+District+Ontario+OR+library+website","Search")</f>
        <v>Search</v>
      </c>
      <c r="L2784" s="7"/>
      <c r="M2784" s="7"/>
    </row>
    <row r="2785" customFormat="false" ht="15" hidden="false" customHeight="true" outlineLevel="0" collapsed="false">
      <c r="A2785" s="4" t="s">
        <v>10979</v>
      </c>
      <c r="B2785" s="4" t="s">
        <v>11153</v>
      </c>
      <c r="C2785" s="4" t="s">
        <v>11154</v>
      </c>
      <c r="D2785" s="4" t="s">
        <v>11002</v>
      </c>
      <c r="E2785" s="5" t="n">
        <v>61161</v>
      </c>
      <c r="F2785" s="4" t="n">
        <v>1</v>
      </c>
      <c r="G2785" s="4" t="s">
        <v>11155</v>
      </c>
      <c r="H2785" s="4" t="n">
        <v>45.35562</v>
      </c>
      <c r="I2785" s="4" t="n">
        <v>-122.60446</v>
      </c>
      <c r="J2785" s="4" t="s">
        <v>11156</v>
      </c>
      <c r="K2785" s="6" t="str">
        <f aca="false">HYPERLINK("https://www.google.com/search?q=Oregon+City+Public+Library+Oregon+City+OR+library+website","Search")</f>
        <v>Search</v>
      </c>
      <c r="L2785" s="7"/>
      <c r="M2785" s="7"/>
    </row>
    <row r="2786" customFormat="false" ht="15" hidden="false" customHeight="true" outlineLevel="0" collapsed="false">
      <c r="A2786" s="4" t="s">
        <v>10979</v>
      </c>
      <c r="B2786" s="4" t="s">
        <v>11157</v>
      </c>
      <c r="C2786" s="4" t="s">
        <v>11158</v>
      </c>
      <c r="D2786" s="4" t="s">
        <v>10728</v>
      </c>
      <c r="E2786" s="5" t="n">
        <v>10818</v>
      </c>
      <c r="F2786" s="4" t="n">
        <v>3</v>
      </c>
      <c r="G2786" s="4" t="s">
        <v>11159</v>
      </c>
      <c r="H2786" s="4" t="n">
        <v>45.83584</v>
      </c>
      <c r="I2786" s="4" t="n">
        <v>-119.701</v>
      </c>
      <c r="J2786" s="4" t="s">
        <v>11160</v>
      </c>
      <c r="K2786" s="6" t="str">
        <f aca="false">HYPERLINK("https://www.google.com/search?q=Oregon+Trail+Library+District+Boardman+OR+library+website","Search")</f>
        <v>Search</v>
      </c>
      <c r="L2786" s="7"/>
      <c r="M2786" s="7"/>
    </row>
    <row r="2787" customFormat="false" ht="15" hidden="false" customHeight="true" outlineLevel="0" collapsed="false">
      <c r="A2787" s="4" t="s">
        <v>10979</v>
      </c>
      <c r="B2787" s="4" t="s">
        <v>11161</v>
      </c>
      <c r="C2787" s="4" t="s">
        <v>4556</v>
      </c>
      <c r="D2787" s="4" t="s">
        <v>11080</v>
      </c>
      <c r="E2787" s="5" t="n">
        <v>23662</v>
      </c>
      <c r="F2787" s="4" t="n">
        <v>1</v>
      </c>
      <c r="G2787" s="4" t="s">
        <v>11162</v>
      </c>
      <c r="H2787" s="4" t="n">
        <v>45.67014</v>
      </c>
      <c r="I2787" s="4" t="n">
        <v>-118.79162</v>
      </c>
      <c r="J2787" s="4" t="s">
        <v>11163</v>
      </c>
      <c r="K2787" s="6" t="str">
        <f aca="false">HYPERLINK("https://www.google.com/search?q=Pendleton+Public+Library+Pendleton+OR+library+website","Search")</f>
        <v>Search</v>
      </c>
      <c r="L2787" s="7"/>
      <c r="M2787" s="7"/>
    </row>
    <row r="2788" customFormat="false" ht="15" hidden="false" customHeight="true" outlineLevel="0" collapsed="false">
      <c r="A2788" s="4" t="s">
        <v>10979</v>
      </c>
      <c r="B2788" s="4" t="s">
        <v>11164</v>
      </c>
      <c r="C2788" s="4" t="s">
        <v>11165</v>
      </c>
      <c r="D2788" s="4" t="s">
        <v>719</v>
      </c>
      <c r="E2788" s="5" t="n">
        <v>23701</v>
      </c>
      <c r="F2788" s="4" t="n">
        <v>1</v>
      </c>
      <c r="G2788" s="4" t="s">
        <v>11166</v>
      </c>
      <c r="H2788" s="4" t="n">
        <v>43.21354</v>
      </c>
      <c r="I2788" s="4" t="n">
        <v>-123.34048</v>
      </c>
      <c r="J2788" s="4" t="s">
        <v>11167</v>
      </c>
      <c r="K2788" s="6" t="str">
        <f aca="false">HYPERLINK("https://www.google.com/search?q=Roseburg+Public+Library+Roseburg+OR+library+website","Search")</f>
        <v>Search</v>
      </c>
      <c r="L2788" s="7"/>
      <c r="M2788" s="7"/>
    </row>
    <row r="2789" customFormat="false" ht="15" hidden="false" customHeight="true" outlineLevel="0" collapsed="false">
      <c r="A2789" s="4" t="s">
        <v>10979</v>
      </c>
      <c r="B2789" s="4" t="s">
        <v>5977</v>
      </c>
      <c r="C2789" s="4" t="s">
        <v>4598</v>
      </c>
      <c r="D2789" s="4" t="s">
        <v>572</v>
      </c>
      <c r="E2789" s="5" t="n">
        <v>177694</v>
      </c>
      <c r="F2789" s="4" t="n">
        <v>2</v>
      </c>
      <c r="G2789" s="4" t="s">
        <v>11168</v>
      </c>
      <c r="H2789" s="4" t="n">
        <v>44.93518</v>
      </c>
      <c r="I2789" s="4" t="n">
        <v>-123.04218</v>
      </c>
      <c r="J2789" s="4" t="s">
        <v>11169</v>
      </c>
      <c r="K2789" s="6" t="str">
        <f aca="false">HYPERLINK("https://www.google.com/search?q=Salem+Public+Library+Salem+OR+library+website","Search")</f>
        <v>Search</v>
      </c>
      <c r="L2789" s="7"/>
      <c r="M2789" s="7"/>
    </row>
    <row r="2790" customFormat="false" ht="15" hidden="false" customHeight="true" outlineLevel="0" collapsed="false">
      <c r="A2790" s="4" t="s">
        <v>10979</v>
      </c>
      <c r="B2790" s="4" t="s">
        <v>11170</v>
      </c>
      <c r="C2790" s="4" t="s">
        <v>11171</v>
      </c>
      <c r="D2790" s="4" t="s">
        <v>11002</v>
      </c>
      <c r="E2790" s="5" t="n">
        <v>33782</v>
      </c>
      <c r="F2790" s="4" t="n">
        <v>2</v>
      </c>
      <c r="G2790" s="4" t="s">
        <v>11172</v>
      </c>
      <c r="H2790" s="4" t="n">
        <v>45.39724</v>
      </c>
      <c r="I2790" s="4" t="n">
        <v>-122.26187</v>
      </c>
      <c r="J2790" s="4" t="s">
        <v>11173</v>
      </c>
      <c r="K2790" s="6" t="str">
        <f aca="false">HYPERLINK("https://www.google.com/search?q=Sandy+Public+Library+Sandy+OR+library+website","Search")</f>
        <v>Search</v>
      </c>
      <c r="L2790" s="7"/>
      <c r="M2790" s="7"/>
    </row>
    <row r="2791" customFormat="false" ht="15" hidden="false" customHeight="true" outlineLevel="0" collapsed="false">
      <c r="A2791" s="4" t="s">
        <v>10979</v>
      </c>
      <c r="B2791" s="4" t="s">
        <v>11174</v>
      </c>
      <c r="C2791" s="4" t="s">
        <v>11175</v>
      </c>
      <c r="D2791" s="4" t="s">
        <v>506</v>
      </c>
      <c r="E2791" s="5" t="n">
        <v>12542</v>
      </c>
      <c r="F2791" s="4" t="n">
        <v>1</v>
      </c>
      <c r="G2791" s="4" t="s">
        <v>11176</v>
      </c>
      <c r="H2791" s="4" t="n">
        <v>45.75692</v>
      </c>
      <c r="I2791" s="4" t="n">
        <v>-122.87638</v>
      </c>
      <c r="J2791" s="4" t="s">
        <v>11177</v>
      </c>
      <c r="K2791" s="6" t="str">
        <f aca="false">HYPERLINK("https://www.google.com/search?q=Scappoose+Public+Library+District+Scappoose+OR+library+website","Search")</f>
        <v>Search</v>
      </c>
      <c r="L2791" s="7"/>
      <c r="M2791" s="7"/>
    </row>
    <row r="2792" customFormat="false" ht="15" hidden="false" customHeight="true" outlineLevel="0" collapsed="false">
      <c r="A2792" s="4" t="s">
        <v>10979</v>
      </c>
      <c r="B2792" s="4" t="s">
        <v>11178</v>
      </c>
      <c r="C2792" s="4" t="s">
        <v>11179</v>
      </c>
      <c r="D2792" s="4" t="s">
        <v>441</v>
      </c>
      <c r="E2792" s="5" t="n">
        <v>24595</v>
      </c>
      <c r="F2792" s="4" t="n">
        <v>1</v>
      </c>
      <c r="G2792" s="4" t="s">
        <v>11180</v>
      </c>
      <c r="H2792" s="4" t="n">
        <v>45.35642</v>
      </c>
      <c r="I2792" s="4" t="n">
        <v>-122.84034</v>
      </c>
      <c r="J2792" s="4" t="s">
        <v>11181</v>
      </c>
      <c r="K2792" s="6" t="str">
        <f aca="false">HYPERLINK("https://www.google.com/search?q=Sherwood+Public+Library+Sherwood+OR+library+website","Search")</f>
        <v>Search</v>
      </c>
      <c r="L2792" s="7"/>
      <c r="M2792" s="7"/>
    </row>
    <row r="2793" customFormat="false" ht="15" hidden="false" customHeight="true" outlineLevel="0" collapsed="false">
      <c r="A2793" s="4" t="s">
        <v>10979</v>
      </c>
      <c r="B2793" s="4" t="s">
        <v>11182</v>
      </c>
      <c r="C2793" s="4" t="s">
        <v>11183</v>
      </c>
      <c r="D2793" s="4" t="s">
        <v>572</v>
      </c>
      <c r="E2793" s="5" t="n">
        <v>20707</v>
      </c>
      <c r="F2793" s="4" t="n">
        <v>1</v>
      </c>
      <c r="G2793" s="4" t="s">
        <v>11184</v>
      </c>
      <c r="H2793" s="4" t="n">
        <v>45.00291</v>
      </c>
      <c r="I2793" s="4" t="n">
        <v>-122.781</v>
      </c>
      <c r="J2793" s="4" t="s">
        <v>11185</v>
      </c>
      <c r="K2793" s="6" t="str">
        <f aca="false">HYPERLINK("https://www.google.com/search?q=Silver+Falls+Library+District+Silverton+OR+library+website","Search")</f>
        <v>Search</v>
      </c>
      <c r="L2793" s="7"/>
      <c r="M2793" s="7"/>
    </row>
    <row r="2794" customFormat="false" ht="15" hidden="false" customHeight="true" outlineLevel="0" collapsed="false">
      <c r="A2794" s="4" t="s">
        <v>10979</v>
      </c>
      <c r="B2794" s="4" t="s">
        <v>11186</v>
      </c>
      <c r="C2794" s="4" t="s">
        <v>201</v>
      </c>
      <c r="D2794" s="4" t="s">
        <v>11031</v>
      </c>
      <c r="E2794" s="5" t="n">
        <v>19921</v>
      </c>
      <c r="F2794" s="4" t="n">
        <v>2</v>
      </c>
      <c r="G2794" s="4" t="s">
        <v>11187</v>
      </c>
      <c r="H2794" s="4" t="n">
        <v>43.97463</v>
      </c>
      <c r="I2794" s="4" t="n">
        <v>-124.10538</v>
      </c>
      <c r="J2794" s="4" t="s">
        <v>11188</v>
      </c>
      <c r="K2794" s="6" t="str">
        <f aca="false">HYPERLINK("https://www.google.com/search?q=Siuslaw+Public+Library+District+Florence+OR+library+website","Search")</f>
        <v>Search</v>
      </c>
      <c r="L2794" s="7"/>
      <c r="M2794" s="7"/>
    </row>
    <row r="2795" customFormat="false" ht="15" hidden="false" customHeight="true" outlineLevel="0" collapsed="false">
      <c r="A2795" s="4" t="s">
        <v>10979</v>
      </c>
      <c r="B2795" s="4" t="s">
        <v>11189</v>
      </c>
      <c r="C2795" s="4" t="s">
        <v>3770</v>
      </c>
      <c r="D2795" s="4" t="s">
        <v>11031</v>
      </c>
      <c r="E2795" s="5" t="n">
        <v>62352</v>
      </c>
      <c r="F2795" s="4" t="n">
        <v>1</v>
      </c>
      <c r="G2795" s="4" t="s">
        <v>11190</v>
      </c>
      <c r="H2795" s="4" t="n">
        <v>44.04732</v>
      </c>
      <c r="I2795" s="4" t="n">
        <v>-123.01953</v>
      </c>
      <c r="J2795" s="4" t="s">
        <v>11191</v>
      </c>
      <c r="K2795" s="6" t="str">
        <f aca="false">HYPERLINK("https://www.google.com/search?q=Springfield+Public+Library+Springfield+OR+library+website","Search")</f>
        <v>Search</v>
      </c>
      <c r="L2795" s="7"/>
      <c r="M2795" s="7"/>
    </row>
    <row r="2796" customFormat="false" ht="15" hidden="false" customHeight="true" outlineLevel="0" collapsed="false">
      <c r="A2796" s="4" t="s">
        <v>10979</v>
      </c>
      <c r="B2796" s="4" t="s">
        <v>11192</v>
      </c>
      <c r="C2796" s="4" t="s">
        <v>11193</v>
      </c>
      <c r="D2796" s="4" t="s">
        <v>506</v>
      </c>
      <c r="E2796" s="5" t="n">
        <v>14560</v>
      </c>
      <c r="F2796" s="4" t="n">
        <v>1</v>
      </c>
      <c r="G2796" s="4" t="s">
        <v>11194</v>
      </c>
      <c r="H2796" s="4" t="n">
        <v>45.85445</v>
      </c>
      <c r="I2796" s="4" t="n">
        <v>-122.81384</v>
      </c>
      <c r="J2796" s="4" t="s">
        <v>11195</v>
      </c>
      <c r="K2796" s="6" t="str">
        <f aca="false">HYPERLINK("https://www.google.com/search?q=St.+Helens+Public+Library+St.+Helens+OR+library+website","Search")</f>
        <v>Search</v>
      </c>
      <c r="L2796" s="7"/>
      <c r="M2796" s="7"/>
    </row>
    <row r="2797" customFormat="false" ht="15" hidden="false" customHeight="true" outlineLevel="0" collapsed="false">
      <c r="A2797" s="4" t="s">
        <v>10979</v>
      </c>
      <c r="B2797" s="4" t="s">
        <v>11196</v>
      </c>
      <c r="C2797" s="4" t="s">
        <v>11197</v>
      </c>
      <c r="D2797" s="4" t="s">
        <v>11198</v>
      </c>
      <c r="E2797" s="5" t="n">
        <v>21943</v>
      </c>
      <c r="F2797" s="4" t="n">
        <v>1</v>
      </c>
      <c r="G2797" s="4" t="s">
        <v>11199</v>
      </c>
      <c r="H2797" s="4" t="n">
        <v>45.59917</v>
      </c>
      <c r="I2797" s="4" t="n">
        <v>-121.18565</v>
      </c>
      <c r="J2797" s="4" t="s">
        <v>11200</v>
      </c>
      <c r="K2797" s="6" t="str">
        <f aca="false">HYPERLINK("https://www.google.com/search?q=The+Dalles-Wasco+County+Library+The+Dalles+OR+library+website","Search")</f>
        <v>Search</v>
      </c>
      <c r="L2797" s="7"/>
      <c r="M2797" s="7"/>
    </row>
    <row r="2798" customFormat="false" ht="15" hidden="false" customHeight="true" outlineLevel="0" collapsed="false">
      <c r="A2798" s="4" t="s">
        <v>10979</v>
      </c>
      <c r="B2798" s="4" t="s">
        <v>11201</v>
      </c>
      <c r="C2798" s="4" t="s">
        <v>11202</v>
      </c>
      <c r="D2798" s="4" t="s">
        <v>441</v>
      </c>
      <c r="E2798" s="5" t="n">
        <v>65076</v>
      </c>
      <c r="F2798" s="4" t="n">
        <v>1</v>
      </c>
      <c r="G2798" s="4" t="s">
        <v>11203</v>
      </c>
      <c r="H2798" s="4" t="n">
        <v>45.42265</v>
      </c>
      <c r="I2798" s="4" t="n">
        <v>-122.76569</v>
      </c>
      <c r="J2798" s="4" t="s">
        <v>11204</v>
      </c>
      <c r="K2798" s="6" t="str">
        <f aca="false">HYPERLINK("https://www.google.com/search?q=Tigard+Public+Library+Tigard+OR+library+website","Search")</f>
        <v>Search</v>
      </c>
      <c r="L2798" s="7"/>
      <c r="M2798" s="7"/>
    </row>
    <row r="2799" customFormat="false" ht="15" hidden="false" customHeight="true" outlineLevel="0" collapsed="false">
      <c r="A2799" s="4" t="s">
        <v>10979</v>
      </c>
      <c r="B2799" s="4" t="s">
        <v>11205</v>
      </c>
      <c r="C2799" s="4" t="s">
        <v>11206</v>
      </c>
      <c r="D2799" s="4" t="s">
        <v>11206</v>
      </c>
      <c r="E2799" s="5" t="n">
        <v>27628</v>
      </c>
      <c r="F2799" s="4" t="n">
        <v>6</v>
      </c>
      <c r="G2799" s="4" t="s">
        <v>11207</v>
      </c>
      <c r="H2799" s="4" t="n">
        <v>45.45634</v>
      </c>
      <c r="I2799" s="4" t="n">
        <v>-123.8464</v>
      </c>
      <c r="J2799" s="4" t="s">
        <v>11208</v>
      </c>
      <c r="K2799" s="6" t="str">
        <f aca="false">HYPERLINK("https://www.google.com/search?q=Tillamook+County+Library+Tillamook+OR+library+website","Search")</f>
        <v>Search</v>
      </c>
      <c r="L2799" s="7"/>
      <c r="M2799" s="7"/>
    </row>
    <row r="2800" customFormat="false" ht="15" hidden="false" customHeight="true" outlineLevel="0" collapsed="false">
      <c r="A2800" s="4" t="s">
        <v>10979</v>
      </c>
      <c r="B2800" s="4" t="s">
        <v>11209</v>
      </c>
      <c r="C2800" s="4" t="s">
        <v>11210</v>
      </c>
      <c r="D2800" s="4" t="s">
        <v>441</v>
      </c>
      <c r="E2800" s="5" t="n">
        <v>35515</v>
      </c>
      <c r="F2800" s="4" t="n">
        <v>1</v>
      </c>
      <c r="G2800" s="4" t="s">
        <v>11211</v>
      </c>
      <c r="H2800" s="4" t="n">
        <v>45.38427</v>
      </c>
      <c r="I2800" s="4" t="n">
        <v>-122.75889</v>
      </c>
      <c r="J2800" s="4" t="s">
        <v>11212</v>
      </c>
      <c r="K2800" s="6" t="str">
        <f aca="false">HYPERLINK("https://www.google.com/search?q=Tualatin+Public+Library+Tualatin+OR+library+website","Search")</f>
        <v>Search</v>
      </c>
      <c r="L2800" s="7"/>
      <c r="M2800" s="7"/>
    </row>
    <row r="2801" customFormat="false" ht="15" hidden="false" customHeight="true" outlineLevel="0" collapsed="false">
      <c r="A2801" s="4" t="s">
        <v>10979</v>
      </c>
      <c r="B2801" s="4" t="s">
        <v>11213</v>
      </c>
      <c r="C2801" s="4" t="s">
        <v>11080</v>
      </c>
      <c r="D2801" s="4" t="s">
        <v>11080</v>
      </c>
      <c r="E2801" s="5" t="n">
        <v>10364</v>
      </c>
      <c r="F2801" s="4" t="n">
        <v>1</v>
      </c>
      <c r="G2801" s="4" t="s">
        <v>11214</v>
      </c>
      <c r="H2801" s="4" t="n">
        <v>45.91714</v>
      </c>
      <c r="I2801" s="4" t="n">
        <v>-119.34463</v>
      </c>
      <c r="J2801" s="4" t="s">
        <v>11215</v>
      </c>
      <c r="K2801" s="6" t="str">
        <f aca="false">HYPERLINK("https://www.google.com/search?q=Umatilla+Public+Library+Umatilla+OR+library+website","Search")</f>
        <v>Search</v>
      </c>
      <c r="L2801" s="7"/>
      <c r="M2801" s="7"/>
    </row>
    <row r="2802" customFormat="false" ht="15" hidden="false" customHeight="true" outlineLevel="0" collapsed="false">
      <c r="A2802" s="4" t="s">
        <v>10979</v>
      </c>
      <c r="B2802" s="4" t="s">
        <v>11216</v>
      </c>
      <c r="C2802" s="4" t="s">
        <v>11217</v>
      </c>
      <c r="D2802" s="4" t="s">
        <v>11002</v>
      </c>
      <c r="E2802" s="5" t="n">
        <v>30268</v>
      </c>
      <c r="F2802" s="4" t="n">
        <v>1</v>
      </c>
      <c r="G2802" s="4" t="s">
        <v>11218</v>
      </c>
      <c r="H2802" s="4" t="n">
        <v>45.36738</v>
      </c>
      <c r="I2802" s="4" t="n">
        <v>-122.61387</v>
      </c>
      <c r="J2802" s="4" t="s">
        <v>11219</v>
      </c>
      <c r="K2802" s="6" t="str">
        <f aca="false">HYPERLINK("https://www.google.com/search?q=West+Linn+Public+Library+West+Linn+OR+library+website","Search")</f>
        <v>Search</v>
      </c>
      <c r="L2802" s="7"/>
      <c r="M2802" s="7"/>
    </row>
    <row r="2803" customFormat="false" ht="15" hidden="false" customHeight="true" outlineLevel="0" collapsed="false">
      <c r="A2803" s="4" t="s">
        <v>10979</v>
      </c>
      <c r="B2803" s="4" t="s">
        <v>11220</v>
      </c>
      <c r="C2803" s="4" t="s">
        <v>4411</v>
      </c>
      <c r="D2803" s="4" t="s">
        <v>441</v>
      </c>
      <c r="E2803" s="5" t="n">
        <v>14240</v>
      </c>
      <c r="F2803" s="4" t="n">
        <v>1</v>
      </c>
      <c r="G2803" s="4" t="s">
        <v>11221</v>
      </c>
      <c r="H2803" s="4" t="n">
        <v>45.49327</v>
      </c>
      <c r="I2803" s="4" t="n">
        <v>-122.75774</v>
      </c>
      <c r="J2803" s="4" t="s">
        <v>11222</v>
      </c>
      <c r="K2803" s="6" t="str">
        <f aca="false">HYPERLINK("https://www.google.com/search?q=West+Slope+Community+Library+Portland+OR+library+website","Search")</f>
        <v>Search</v>
      </c>
      <c r="L2803" s="7"/>
      <c r="M2803" s="7"/>
    </row>
    <row r="2804" customFormat="false" ht="15" hidden="false" customHeight="true" outlineLevel="0" collapsed="false">
      <c r="A2804" s="4" t="s">
        <v>10979</v>
      </c>
      <c r="B2804" s="4" t="s">
        <v>11223</v>
      </c>
      <c r="C2804" s="4" t="s">
        <v>11224</v>
      </c>
      <c r="D2804" s="4" t="s">
        <v>11002</v>
      </c>
      <c r="E2804" s="5" t="n">
        <v>28908</v>
      </c>
      <c r="F2804" s="4" t="n">
        <v>1</v>
      </c>
      <c r="G2804" s="4" t="s">
        <v>11225</v>
      </c>
      <c r="H2804" s="4" t="n">
        <v>45.30288</v>
      </c>
      <c r="I2804" s="4" t="n">
        <v>-122.76137</v>
      </c>
      <c r="J2804" s="4" t="s">
        <v>11226</v>
      </c>
      <c r="K2804" s="6" t="str">
        <f aca="false">HYPERLINK("https://www.google.com/search?q=Wilsonville+Public+Library+Wilsonville+OR+library+website","Search")</f>
        <v>Search</v>
      </c>
      <c r="L2804" s="7"/>
      <c r="M2804" s="7"/>
    </row>
    <row r="2805" customFormat="false" ht="15" hidden="false" customHeight="true" outlineLevel="0" collapsed="false">
      <c r="A2805" s="4" t="s">
        <v>10979</v>
      </c>
      <c r="B2805" s="4" t="s">
        <v>11227</v>
      </c>
      <c r="C2805" s="4" t="s">
        <v>11228</v>
      </c>
      <c r="D2805" s="4" t="s">
        <v>572</v>
      </c>
      <c r="E2805" s="5" t="n">
        <v>26250</v>
      </c>
      <c r="F2805" s="4" t="n">
        <v>1</v>
      </c>
      <c r="G2805" s="4" t="s">
        <v>11229</v>
      </c>
      <c r="H2805" s="4" t="n">
        <v>45.14318</v>
      </c>
      <c r="I2805" s="4" t="n">
        <v>-122.8583</v>
      </c>
      <c r="J2805" s="4" t="s">
        <v>11230</v>
      </c>
      <c r="K2805" s="6" t="str">
        <f aca="false">HYPERLINK("https://www.google.com/search?q=Woodburn+Public+Library+Woodburn+OR+library+website","Search")</f>
        <v>Search</v>
      </c>
      <c r="L2805" s="7"/>
      <c r="M2805" s="7"/>
    </row>
    <row r="2806" customFormat="false" ht="15" hidden="false" customHeight="true" outlineLevel="0" collapsed="false">
      <c r="A2806" s="4" t="s">
        <v>11231</v>
      </c>
      <c r="B2806" s="4" t="s">
        <v>11232</v>
      </c>
      <c r="C2806" s="4" t="s">
        <v>11233</v>
      </c>
      <c r="D2806" s="4" t="s">
        <v>9707</v>
      </c>
      <c r="E2806" s="5" t="n">
        <v>31027</v>
      </c>
      <c r="F2806" s="4" t="n">
        <v>1</v>
      </c>
      <c r="G2806" s="4" t="s">
        <v>11234</v>
      </c>
      <c r="H2806" s="4" t="n">
        <v>41.48514</v>
      </c>
      <c r="I2806" s="4" t="n">
        <v>-75.71895</v>
      </c>
      <c r="J2806" s="4" t="s">
        <v>11235</v>
      </c>
      <c r="K2806" s="6" t="str">
        <f aca="false">HYPERLINK("https://www.google.com/search?q=Abington+Community+Library+Clarks+Summit+PA+library+website","Search")</f>
        <v>Search</v>
      </c>
      <c r="L2806" s="7"/>
      <c r="M2806" s="7"/>
    </row>
    <row r="2807" customFormat="false" ht="15" hidden="false" customHeight="true" outlineLevel="0" collapsed="false">
      <c r="A2807" s="4" t="s">
        <v>11231</v>
      </c>
      <c r="B2807" s="4" t="s">
        <v>11236</v>
      </c>
      <c r="C2807" s="4" t="s">
        <v>5476</v>
      </c>
      <c r="D2807" s="4" t="s">
        <v>315</v>
      </c>
      <c r="E2807" s="5" t="n">
        <v>61140</v>
      </c>
      <c r="F2807" s="4" t="n">
        <v>2</v>
      </c>
      <c r="G2807" s="4" t="s">
        <v>11237</v>
      </c>
      <c r="H2807" s="4" t="n">
        <v>40.11196</v>
      </c>
      <c r="I2807" s="4" t="n">
        <v>-75.12334</v>
      </c>
      <c r="J2807" s="4" t="s">
        <v>11238</v>
      </c>
      <c r="K2807" s="6" t="str">
        <f aca="false">HYPERLINK("https://www.google.com/search?q=Abington+Twp+Public+Library+Abington+PA+library+website","Search")</f>
        <v>Search</v>
      </c>
      <c r="L2807" s="7"/>
      <c r="M2807" s="7"/>
    </row>
    <row r="2808" customFormat="false" ht="15" hidden="false" customHeight="true" outlineLevel="0" collapsed="false">
      <c r="A2808" s="4" t="s">
        <v>11231</v>
      </c>
      <c r="B2808" s="4" t="s">
        <v>11239</v>
      </c>
      <c r="C2808" s="4" t="s">
        <v>11240</v>
      </c>
      <c r="D2808" s="4" t="s">
        <v>11241</v>
      </c>
      <c r="E2808" s="5" t="n">
        <v>48983</v>
      </c>
      <c r="F2808" s="4" t="n">
        <v>2</v>
      </c>
      <c r="G2808" s="4" t="s">
        <v>11242</v>
      </c>
      <c r="H2808" s="4" t="n">
        <v>40.31491</v>
      </c>
      <c r="I2808" s="4" t="n">
        <v>-79.38268</v>
      </c>
      <c r="J2808" s="4" t="s">
        <v>11243</v>
      </c>
      <c r="K2808" s="6" t="str">
        <f aca="false">HYPERLINK("https://www.google.com/search?q=Adams+Memorial+Library+Latrobe+PA+library+website","Search")</f>
        <v>Search</v>
      </c>
      <c r="L2808" s="7"/>
      <c r="M2808" s="7"/>
    </row>
    <row r="2809" customFormat="false" ht="15" hidden="false" customHeight="true" outlineLevel="0" collapsed="false">
      <c r="A2809" s="4" t="s">
        <v>11231</v>
      </c>
      <c r="B2809" s="4" t="s">
        <v>11244</v>
      </c>
      <c r="C2809" s="4" t="s">
        <v>11245</v>
      </c>
      <c r="D2809" s="4" t="s">
        <v>1749</v>
      </c>
      <c r="E2809" s="5" t="n">
        <v>103852</v>
      </c>
      <c r="F2809" s="4" t="n">
        <v>6</v>
      </c>
      <c r="G2809" s="4" t="s">
        <v>11246</v>
      </c>
      <c r="H2809" s="4" t="n">
        <v>39.8288</v>
      </c>
      <c r="I2809" s="4" t="n">
        <v>-77.23106</v>
      </c>
      <c r="J2809" s="4" t="s">
        <v>11247</v>
      </c>
      <c r="K2809" s="6" t="str">
        <f aca="false">HYPERLINK("https://www.google.com/search?q=Adams+Sys+Admin+Unit+Gettysburg+PA+library+website","Search")</f>
        <v>Search</v>
      </c>
      <c r="L2809" s="7"/>
      <c r="M2809" s="7"/>
    </row>
    <row r="2810" customFormat="false" ht="15" hidden="false" customHeight="true" outlineLevel="0" collapsed="false">
      <c r="A2810" s="4" t="s">
        <v>11231</v>
      </c>
      <c r="B2810" s="4" t="s">
        <v>11248</v>
      </c>
      <c r="C2810" s="4" t="s">
        <v>11249</v>
      </c>
      <c r="D2810" s="4" t="s">
        <v>4923</v>
      </c>
      <c r="E2810" s="5" t="n">
        <v>31510</v>
      </c>
      <c r="F2810" s="4" t="n">
        <v>1</v>
      </c>
      <c r="G2810" s="4" t="s">
        <v>11250</v>
      </c>
      <c r="H2810" s="4" t="n">
        <v>40.24222</v>
      </c>
      <c r="I2810" s="4" t="n">
        <v>-76.05845</v>
      </c>
      <c r="J2810" s="4" t="s">
        <v>11251</v>
      </c>
      <c r="K2810" s="6" t="str">
        <f aca="false">HYPERLINK("https://www.google.com/search?q=Adamstown+Area+Library+Adamstown+PA+library+website","Search")</f>
        <v>Search</v>
      </c>
      <c r="L2810" s="7"/>
      <c r="M2810" s="7"/>
    </row>
    <row r="2811" customFormat="false" ht="15" hidden="false" customHeight="true" outlineLevel="0" collapsed="false">
      <c r="A2811" s="4" t="s">
        <v>11231</v>
      </c>
      <c r="B2811" s="4" t="s">
        <v>11252</v>
      </c>
      <c r="C2811" s="4" t="s">
        <v>7766</v>
      </c>
      <c r="D2811" s="4" t="s">
        <v>384</v>
      </c>
      <c r="E2811" s="5" t="n">
        <v>10951</v>
      </c>
      <c r="F2811" s="4" t="n">
        <v>1</v>
      </c>
      <c r="G2811" s="4" t="s">
        <v>11253</v>
      </c>
      <c r="H2811" s="4" t="n">
        <v>39.75505</v>
      </c>
      <c r="I2811" s="4" t="n">
        <v>-77.57652</v>
      </c>
      <c r="J2811" s="4" t="s">
        <v>11254</v>
      </c>
      <c r="K2811" s="6" t="str">
        <f aca="false">HYPERLINK("https://www.google.com/search?q=Alexander+Hamilton+Memorial+Free+Library+Waynesboro+PA+library+website","Search")</f>
        <v>Search</v>
      </c>
      <c r="L2811" s="7"/>
      <c r="M2811" s="7"/>
    </row>
    <row r="2812" customFormat="false" ht="15" hidden="false" customHeight="true" outlineLevel="0" collapsed="false">
      <c r="A2812" s="4" t="s">
        <v>11231</v>
      </c>
      <c r="B2812" s="4" t="s">
        <v>11255</v>
      </c>
      <c r="C2812" s="4" t="s">
        <v>11256</v>
      </c>
      <c r="D2812" s="4" t="s">
        <v>11257</v>
      </c>
      <c r="E2812" s="5" t="n">
        <v>139466</v>
      </c>
      <c r="F2812" s="4" t="n">
        <v>1</v>
      </c>
      <c r="G2812" s="4" t="s">
        <v>11258</v>
      </c>
      <c r="H2812" s="4" t="n">
        <v>40.59934</v>
      </c>
      <c r="I2812" s="4" t="n">
        <v>-75.4822</v>
      </c>
      <c r="J2812" s="4" t="s">
        <v>11259</v>
      </c>
      <c r="K2812" s="6" t="str">
        <f aca="false">HYPERLINK("https://www.google.com/search?q=Allentown+Public+Library+Allentown+PA+library+website","Search")</f>
        <v>Search</v>
      </c>
      <c r="L2812" s="7"/>
      <c r="M2812" s="7"/>
    </row>
    <row r="2813" customFormat="false" ht="15" hidden="false" customHeight="true" outlineLevel="0" collapsed="false">
      <c r="A2813" s="4" t="s">
        <v>11231</v>
      </c>
      <c r="B2813" s="4" t="s">
        <v>11260</v>
      </c>
      <c r="C2813" s="4" t="s">
        <v>2876</v>
      </c>
      <c r="D2813" s="4" t="s">
        <v>11261</v>
      </c>
      <c r="E2813" s="5" t="n">
        <v>57314</v>
      </c>
      <c r="F2813" s="4" t="n">
        <v>1</v>
      </c>
      <c r="G2813" s="4" t="s">
        <v>11262</v>
      </c>
      <c r="H2813" s="4" t="n">
        <v>40.50781</v>
      </c>
      <c r="I2813" s="4" t="n">
        <v>-78.39903</v>
      </c>
      <c r="J2813" s="4" t="s">
        <v>11263</v>
      </c>
      <c r="K2813" s="6" t="str">
        <f aca="false">HYPERLINK("https://www.google.com/search?q=Altoona+Area+Public+Library+Altoona+PA+library+website","Search")</f>
        <v>Search</v>
      </c>
      <c r="L2813" s="7"/>
      <c r="M2813" s="7"/>
    </row>
    <row r="2814" customFormat="false" ht="15" hidden="false" customHeight="true" outlineLevel="0" collapsed="false">
      <c r="A2814" s="4" t="s">
        <v>11231</v>
      </c>
      <c r="B2814" s="4" t="s">
        <v>11264</v>
      </c>
      <c r="C2814" s="4" t="s">
        <v>11265</v>
      </c>
      <c r="D2814" s="4" t="s">
        <v>6161</v>
      </c>
      <c r="E2814" s="5" t="n">
        <v>12710</v>
      </c>
      <c r="F2814" s="4" t="n">
        <v>1</v>
      </c>
      <c r="G2814" s="4" t="s">
        <v>11266</v>
      </c>
      <c r="H2814" s="4" t="n">
        <v>40.11644</v>
      </c>
      <c r="I2814" s="4" t="n">
        <v>-77.18935</v>
      </c>
      <c r="J2814" s="4" t="s">
        <v>11267</v>
      </c>
      <c r="K2814" s="6" t="str">
        <f aca="false">HYPERLINK("https://www.google.com/search?q=Amelia+S+Givin+Library+Mt+Holly+Springs+PA+library+website","Search")</f>
        <v>Search</v>
      </c>
      <c r="L2814" s="7"/>
      <c r="M2814" s="7"/>
    </row>
    <row r="2815" customFormat="false" ht="15" hidden="false" customHeight="true" outlineLevel="0" collapsed="false">
      <c r="A2815" s="4" t="s">
        <v>11231</v>
      </c>
      <c r="B2815" s="4" t="s">
        <v>11268</v>
      </c>
      <c r="C2815" s="4" t="s">
        <v>11269</v>
      </c>
      <c r="D2815" s="4" t="s">
        <v>1964</v>
      </c>
      <c r="E2815" s="5" t="n">
        <v>37450</v>
      </c>
      <c r="F2815" s="4" t="n">
        <v>2</v>
      </c>
      <c r="G2815" s="4" t="s">
        <v>11270</v>
      </c>
      <c r="H2815" s="4" t="n">
        <v>41.13866</v>
      </c>
      <c r="I2815" s="4" t="n">
        <v>-77.45144</v>
      </c>
      <c r="J2815" s="4" t="s">
        <v>11271</v>
      </c>
      <c r="K2815" s="6" t="str">
        <f aca="false">HYPERLINK("https://www.google.com/search?q=Annie+Halenbake+Ross+Library+Lock+Haven+PA+library+website","Search")</f>
        <v>Search</v>
      </c>
      <c r="L2815" s="7"/>
      <c r="M2815" s="7"/>
    </row>
    <row r="2816" customFormat="false" ht="15" hidden="false" customHeight="true" outlineLevel="0" collapsed="false">
      <c r="A2816" s="4" t="s">
        <v>11231</v>
      </c>
      <c r="B2816" s="4" t="s">
        <v>11272</v>
      </c>
      <c r="C2816" s="4" t="s">
        <v>11273</v>
      </c>
      <c r="D2816" s="4" t="s">
        <v>4459</v>
      </c>
      <c r="E2816" s="5" t="n">
        <v>12477</v>
      </c>
      <c r="F2816" s="4" t="n">
        <v>1</v>
      </c>
      <c r="G2816" s="4" t="s">
        <v>11274</v>
      </c>
      <c r="H2816" s="4" t="n">
        <v>40.32984</v>
      </c>
      <c r="I2816" s="4" t="n">
        <v>-76.51214</v>
      </c>
      <c r="J2816" s="4" t="s">
        <v>11275</v>
      </c>
      <c r="K2816" s="6" t="str">
        <f aca="false">HYPERLINK("https://www.google.com/search?q=Annville+Free+Library+Annville+PA+library+website","Search")</f>
        <v>Search</v>
      </c>
      <c r="L2816" s="7"/>
      <c r="M2816" s="7"/>
    </row>
    <row r="2817" customFormat="false" ht="15" hidden="false" customHeight="true" outlineLevel="0" collapsed="false">
      <c r="A2817" s="4" t="s">
        <v>11231</v>
      </c>
      <c r="B2817" s="4" t="s">
        <v>11276</v>
      </c>
      <c r="C2817" s="4" t="s">
        <v>11277</v>
      </c>
      <c r="D2817" s="4" t="s">
        <v>3041</v>
      </c>
      <c r="E2817" s="5" t="n">
        <v>16791</v>
      </c>
      <c r="F2817" s="4" t="n">
        <v>1</v>
      </c>
      <c r="G2817" s="4" t="s">
        <v>11278</v>
      </c>
      <c r="H2817" s="4" t="n">
        <v>39.86688</v>
      </c>
      <c r="I2817" s="4" t="n">
        <v>-75.42077</v>
      </c>
      <c r="J2817" s="4" t="s">
        <v>11279</v>
      </c>
      <c r="K2817" s="6" t="str">
        <f aca="false">HYPERLINK("https://www.google.com/search?q=Aston+Public+Library+Aston+PA+library+website","Search")</f>
        <v>Search</v>
      </c>
      <c r="L2817" s="7"/>
      <c r="M2817" s="7"/>
    </row>
    <row r="2818" customFormat="false" ht="15" hidden="false" customHeight="true" outlineLevel="0" collapsed="false">
      <c r="A2818" s="4" t="s">
        <v>11231</v>
      </c>
      <c r="B2818" s="4" t="s">
        <v>11280</v>
      </c>
      <c r="C2818" s="4" t="s">
        <v>11281</v>
      </c>
      <c r="D2818" s="4" t="s">
        <v>9374</v>
      </c>
      <c r="E2818" s="5" t="n">
        <v>33145</v>
      </c>
      <c r="F2818" s="4" t="n">
        <v>1</v>
      </c>
      <c r="G2818" s="4" t="s">
        <v>11282</v>
      </c>
      <c r="H2818" s="4" t="n">
        <v>39.82233</v>
      </c>
      <c r="I2818" s="4" t="n">
        <v>-75.82586</v>
      </c>
      <c r="J2818" s="4" t="s">
        <v>11283</v>
      </c>
      <c r="K2818" s="6" t="str">
        <f aca="false">HYPERLINK("https://www.google.com/search?q=Avon+Grove+Library+West+Grove+PA+library+website","Search")</f>
        <v>Search</v>
      </c>
      <c r="L2818" s="7"/>
      <c r="M2818" s="7"/>
    </row>
    <row r="2819" customFormat="false" ht="15" hidden="false" customHeight="true" outlineLevel="0" collapsed="false">
      <c r="A2819" s="4" t="s">
        <v>11231</v>
      </c>
      <c r="B2819" s="4" t="s">
        <v>11284</v>
      </c>
      <c r="C2819" s="4" t="s">
        <v>11285</v>
      </c>
      <c r="D2819" s="4" t="s">
        <v>11286</v>
      </c>
      <c r="E2819" s="5" t="n">
        <v>27774</v>
      </c>
      <c r="F2819" s="4" t="n">
        <v>1</v>
      </c>
      <c r="G2819" s="4" t="s">
        <v>11287</v>
      </c>
      <c r="H2819" s="4" t="n">
        <v>40.61362</v>
      </c>
      <c r="I2819" s="4" t="n">
        <v>-80.25133</v>
      </c>
      <c r="J2819" s="4" t="s">
        <v>11288</v>
      </c>
      <c r="K2819" s="6" t="str">
        <f aca="false">HYPERLINK("https://www.google.com/search?q=B+F+Jones+Memorial+Library+Aliquippa+PA+library+website","Search")</f>
        <v>Search</v>
      </c>
      <c r="L2819" s="7"/>
      <c r="M2819" s="7"/>
    </row>
    <row r="2820" customFormat="false" ht="15" hidden="false" customHeight="true" outlineLevel="0" collapsed="false">
      <c r="A2820" s="4" t="s">
        <v>11231</v>
      </c>
      <c r="B2820" s="4" t="s">
        <v>11289</v>
      </c>
      <c r="C2820" s="4" t="s">
        <v>394</v>
      </c>
      <c r="D2820" s="4" t="s">
        <v>11290</v>
      </c>
      <c r="E2820" s="5" t="n">
        <v>36101</v>
      </c>
      <c r="F2820" s="4" t="n">
        <v>1</v>
      </c>
      <c r="G2820" s="4" t="s">
        <v>11291</v>
      </c>
      <c r="H2820" s="4" t="n">
        <v>41.33309</v>
      </c>
      <c r="I2820" s="4" t="n">
        <v>-75.96292</v>
      </c>
      <c r="J2820" s="4" t="s">
        <v>11292</v>
      </c>
      <c r="K2820" s="6" t="str">
        <f aca="false">HYPERLINK("https://www.google.com/search?q=Back+Mountain+Memorial+Library+Dallas+PA+library+website","Search")</f>
        <v>Search</v>
      </c>
      <c r="L2820" s="7"/>
      <c r="M2820" s="7"/>
    </row>
    <row r="2821" customFormat="false" ht="15" hidden="false" customHeight="true" outlineLevel="0" collapsed="false">
      <c r="A2821" s="4" t="s">
        <v>11231</v>
      </c>
      <c r="B2821" s="4" t="s">
        <v>11293</v>
      </c>
      <c r="C2821" s="4" t="s">
        <v>11294</v>
      </c>
      <c r="D2821" s="4" t="s">
        <v>11295</v>
      </c>
      <c r="E2821" s="5" t="n">
        <v>21510</v>
      </c>
      <c r="F2821" s="4" t="n">
        <v>1</v>
      </c>
      <c r="G2821" s="4" t="s">
        <v>11296</v>
      </c>
      <c r="H2821" s="4" t="n">
        <v>40.34179</v>
      </c>
      <c r="I2821" s="4" t="n">
        <v>-79.97732</v>
      </c>
      <c r="J2821" s="4" t="s">
        <v>11297</v>
      </c>
      <c r="K2821" s="6" t="str">
        <f aca="false">HYPERLINK("https://www.google.com/search?q=Baldwin+Borough+Public+Library+Pittsburgh+PA+library+website","Search")</f>
        <v>Search</v>
      </c>
      <c r="L2821" s="7"/>
      <c r="M2821" s="7"/>
    </row>
    <row r="2822" customFormat="false" ht="15" hidden="false" customHeight="true" outlineLevel="0" collapsed="false">
      <c r="A2822" s="4" t="s">
        <v>11231</v>
      </c>
      <c r="B2822" s="4" t="s">
        <v>6273</v>
      </c>
      <c r="C2822" s="4" t="s">
        <v>6274</v>
      </c>
      <c r="D2822" s="4" t="s">
        <v>5666</v>
      </c>
      <c r="E2822" s="5" t="n">
        <v>19973</v>
      </c>
      <c r="F2822" s="4" t="n">
        <v>1</v>
      </c>
      <c r="G2822" s="4" t="s">
        <v>11298</v>
      </c>
      <c r="H2822" s="4" t="n">
        <v>40.86604</v>
      </c>
      <c r="I2822" s="4" t="n">
        <v>-75.20434</v>
      </c>
      <c r="J2822" s="4" t="s">
        <v>11299</v>
      </c>
      <c r="K2822" s="6" t="str">
        <f aca="false">HYPERLINK("https://www.google.com/search?q=Bangor+Public+Library+Bangor+PA+library+website","Search")</f>
        <v>Search</v>
      </c>
      <c r="L2822" s="7"/>
      <c r="M2822" s="7"/>
    </row>
    <row r="2823" customFormat="false" ht="15" hidden="false" customHeight="true" outlineLevel="0" collapsed="false">
      <c r="A2823" s="4" t="s">
        <v>11231</v>
      </c>
      <c r="B2823" s="4" t="s">
        <v>11300</v>
      </c>
      <c r="C2823" s="4" t="s">
        <v>11286</v>
      </c>
      <c r="D2823" s="4" t="s">
        <v>11286</v>
      </c>
      <c r="E2823" s="5" t="n">
        <v>18617</v>
      </c>
      <c r="F2823" s="4" t="n">
        <v>1</v>
      </c>
      <c r="G2823" s="4" t="s">
        <v>11301</v>
      </c>
      <c r="H2823" s="4" t="n">
        <v>40.69215</v>
      </c>
      <c r="I2823" s="4" t="n">
        <v>-80.30215</v>
      </c>
      <c r="J2823" s="4" t="s">
        <v>11302</v>
      </c>
      <c r="K2823" s="6" t="str">
        <f aca="false">HYPERLINK("https://www.google.com/search?q=Beaver+Area+Memorial+Library+Beaver+PA+library+website","Search")</f>
        <v>Search</v>
      </c>
      <c r="L2823" s="7"/>
      <c r="M2823" s="7"/>
    </row>
    <row r="2824" customFormat="false" ht="15" hidden="false" customHeight="true" outlineLevel="0" collapsed="false">
      <c r="A2824" s="4" t="s">
        <v>11231</v>
      </c>
      <c r="B2824" s="4" t="s">
        <v>11303</v>
      </c>
      <c r="C2824" s="4" t="s">
        <v>11304</v>
      </c>
      <c r="D2824" s="4" t="s">
        <v>11286</v>
      </c>
      <c r="E2824" s="5" t="n">
        <v>69674</v>
      </c>
      <c r="F2824" s="4" t="n">
        <v>2</v>
      </c>
      <c r="G2824" s="4" t="s">
        <v>11305</v>
      </c>
      <c r="H2824" s="4" t="n">
        <v>40.63326</v>
      </c>
      <c r="I2824" s="4" t="n">
        <v>-80.31655</v>
      </c>
      <c r="J2824" s="4" t="s">
        <v>11306</v>
      </c>
      <c r="K2824" s="6" t="str">
        <f aca="false">HYPERLINK("https://www.google.com/search?q=Beaver+Sys+Admin+Unit+Aliqiuipa+PA+library+website","Search")</f>
        <v>Search</v>
      </c>
      <c r="L2824" s="7"/>
      <c r="M2824" s="7"/>
    </row>
    <row r="2825" customFormat="false" ht="15" hidden="false" customHeight="true" outlineLevel="0" collapsed="false">
      <c r="A2825" s="4" t="s">
        <v>11231</v>
      </c>
      <c r="B2825" s="4" t="s">
        <v>11307</v>
      </c>
      <c r="C2825" s="4" t="s">
        <v>4269</v>
      </c>
      <c r="D2825" s="4" t="s">
        <v>4269</v>
      </c>
      <c r="E2825" s="5" t="n">
        <v>30700</v>
      </c>
      <c r="F2825" s="4" t="n">
        <v>2</v>
      </c>
      <c r="G2825" s="4" t="s">
        <v>11308</v>
      </c>
      <c r="H2825" s="4" t="n">
        <v>40.01652</v>
      </c>
      <c r="I2825" s="4" t="n">
        <v>-78.49583</v>
      </c>
      <c r="J2825" s="4" t="s">
        <v>11309</v>
      </c>
      <c r="K2825" s="6" t="str">
        <f aca="false">HYPERLINK("https://www.google.com/search?q=Bedford+Sys+Admin+Unit+Bedford+PA+library+website","Search")</f>
        <v>Search</v>
      </c>
      <c r="L2825" s="7"/>
      <c r="M2825" s="7"/>
    </row>
    <row r="2826" customFormat="false" ht="15" hidden="false" customHeight="true" outlineLevel="0" collapsed="false">
      <c r="A2826" s="4" t="s">
        <v>11231</v>
      </c>
      <c r="B2826" s="4" t="s">
        <v>11310</v>
      </c>
      <c r="C2826" s="4" t="s">
        <v>11311</v>
      </c>
      <c r="D2826" s="4" t="s">
        <v>516</v>
      </c>
      <c r="E2826" s="5" t="n">
        <v>13299</v>
      </c>
      <c r="F2826" s="4" t="n">
        <v>1</v>
      </c>
      <c r="G2826" s="4" t="s">
        <v>11312</v>
      </c>
      <c r="H2826" s="4" t="n">
        <v>41.62908</v>
      </c>
      <c r="I2826" s="4" t="n">
        <v>-79.6734</v>
      </c>
      <c r="J2826" s="4" t="s">
        <v>11313</v>
      </c>
      <c r="K2826" s="6" t="str">
        <f aca="false">HYPERLINK("https://www.google.com/search?q=Benson+Memorial+Library%2C+Inc.+Titusville+PA+library+website","Search")</f>
        <v>Search</v>
      </c>
      <c r="L2826" s="7"/>
      <c r="M2826" s="7"/>
    </row>
    <row r="2827" customFormat="false" ht="15" hidden="false" customHeight="true" outlineLevel="0" collapsed="false">
      <c r="A2827" s="4" t="s">
        <v>11231</v>
      </c>
      <c r="B2827" s="4" t="s">
        <v>11314</v>
      </c>
      <c r="C2827" s="4" t="s">
        <v>11315</v>
      </c>
      <c r="D2827" s="4" t="s">
        <v>11295</v>
      </c>
      <c r="E2827" s="5" t="n">
        <v>33577</v>
      </c>
      <c r="F2827" s="4" t="n">
        <v>1</v>
      </c>
      <c r="G2827" s="4" t="s">
        <v>11316</v>
      </c>
      <c r="H2827" s="4" t="n">
        <v>40.33217</v>
      </c>
      <c r="I2827" s="4" t="n">
        <v>-80.0311</v>
      </c>
      <c r="J2827" s="4" t="s">
        <v>11317</v>
      </c>
      <c r="K2827" s="6" t="str">
        <f aca="false">HYPERLINK("https://www.google.com/search?q=Bethel+Park+Public+Library+Bethel+Park+PA+library+website","Search")</f>
        <v>Search</v>
      </c>
      <c r="L2827" s="7"/>
      <c r="M2827" s="7"/>
    </row>
    <row r="2828" customFormat="false" ht="15" hidden="false" customHeight="true" outlineLevel="0" collapsed="false">
      <c r="A2828" s="4" t="s">
        <v>11231</v>
      </c>
      <c r="B2828" s="4" t="s">
        <v>11318</v>
      </c>
      <c r="C2828" s="4" t="s">
        <v>11319</v>
      </c>
      <c r="D2828" s="4" t="s">
        <v>5666</v>
      </c>
      <c r="E2828" s="5" t="n">
        <v>118264</v>
      </c>
      <c r="F2828" s="4" t="n">
        <v>2</v>
      </c>
      <c r="G2828" s="4" t="s">
        <v>11320</v>
      </c>
      <c r="H2828" s="4" t="n">
        <v>40.6187</v>
      </c>
      <c r="I2828" s="4" t="n">
        <v>-75.37907</v>
      </c>
      <c r="J2828" s="4" t="s">
        <v>11321</v>
      </c>
      <c r="K2828" s="6" t="str">
        <f aca="false">HYPERLINK("https://www.google.com/search?q=Bethlehem+Area+Public+Library+Bethlehem+PA+library+website","Search")</f>
        <v>Search</v>
      </c>
      <c r="L2828" s="7"/>
      <c r="M2828" s="7"/>
    </row>
    <row r="2829" customFormat="false" ht="15" hidden="false" customHeight="true" outlineLevel="0" collapsed="false">
      <c r="A2829" s="4" t="s">
        <v>11231</v>
      </c>
      <c r="B2829" s="4" t="s">
        <v>11322</v>
      </c>
      <c r="C2829" s="4" t="s">
        <v>11323</v>
      </c>
      <c r="D2829" s="4" t="s">
        <v>506</v>
      </c>
      <c r="E2829" s="5" t="n">
        <v>20439</v>
      </c>
      <c r="F2829" s="4" t="n">
        <v>1</v>
      </c>
      <c r="G2829" s="4" t="s">
        <v>11324</v>
      </c>
      <c r="H2829" s="4" t="n">
        <v>41.00192</v>
      </c>
      <c r="I2829" s="4" t="n">
        <v>-76.45748</v>
      </c>
      <c r="J2829" s="4" t="s">
        <v>11325</v>
      </c>
      <c r="K2829" s="6" t="str">
        <f aca="false">HYPERLINK("https://www.google.com/search?q=Bloomsburg+Public+Library+Bloomsburg+PA+library+website","Search")</f>
        <v>Search</v>
      </c>
      <c r="L2829" s="7"/>
      <c r="M2829" s="7"/>
    </row>
    <row r="2830" customFormat="false" ht="15" hidden="false" customHeight="true" outlineLevel="0" collapsed="false">
      <c r="A2830" s="4" t="s">
        <v>11231</v>
      </c>
      <c r="B2830" s="4" t="s">
        <v>11326</v>
      </c>
      <c r="C2830" s="4" t="s">
        <v>11327</v>
      </c>
      <c r="D2830" s="4" t="s">
        <v>11328</v>
      </c>
      <c r="E2830" s="5" t="n">
        <v>22388</v>
      </c>
      <c r="F2830" s="4" t="n">
        <v>1</v>
      </c>
      <c r="G2830" s="4" t="s">
        <v>11329</v>
      </c>
      <c r="H2830" s="4" t="n">
        <v>40.26483</v>
      </c>
      <c r="I2830" s="4" t="n">
        <v>-75.80655</v>
      </c>
      <c r="J2830" s="4" t="s">
        <v>11330</v>
      </c>
      <c r="K2830" s="6" t="str">
        <f aca="false">HYPERLINK("https://www.google.com/search?q=Boone+Area+Library+Birdsboro+PA+library+website","Search")</f>
        <v>Search</v>
      </c>
      <c r="L2830" s="7"/>
      <c r="M2830" s="7"/>
    </row>
    <row r="2831" customFormat="false" ht="15" hidden="false" customHeight="true" outlineLevel="0" collapsed="false">
      <c r="A2831" s="4" t="s">
        <v>11231</v>
      </c>
      <c r="B2831" s="4" t="s">
        <v>11331</v>
      </c>
      <c r="C2831" s="4" t="s">
        <v>11332</v>
      </c>
      <c r="D2831" s="4" t="s">
        <v>6161</v>
      </c>
      <c r="E2831" s="5" t="n">
        <v>56574</v>
      </c>
      <c r="F2831" s="4" t="n">
        <v>1</v>
      </c>
      <c r="G2831" s="4" t="s">
        <v>11333</v>
      </c>
      <c r="H2831" s="4" t="n">
        <v>40.20182</v>
      </c>
      <c r="I2831" s="4" t="n">
        <v>-77.19359</v>
      </c>
      <c r="J2831" s="4" t="s">
        <v>11334</v>
      </c>
      <c r="K2831" s="6" t="str">
        <f aca="false">HYPERLINK("https://www.google.com/search?q=Bosler+Free+Library+Carlisle+PA+library+website","Search")</f>
        <v>Search</v>
      </c>
      <c r="L2831" s="7"/>
      <c r="M2831" s="7"/>
    </row>
    <row r="2832" customFormat="false" ht="15" hidden="false" customHeight="true" outlineLevel="0" collapsed="false">
      <c r="A2832" s="4" t="s">
        <v>11231</v>
      </c>
      <c r="B2832" s="4" t="s">
        <v>11335</v>
      </c>
      <c r="C2832" s="4" t="s">
        <v>11336</v>
      </c>
      <c r="D2832" s="4" t="s">
        <v>11328</v>
      </c>
      <c r="E2832" s="5" t="n">
        <v>16143</v>
      </c>
      <c r="F2832" s="4" t="n">
        <v>1</v>
      </c>
      <c r="G2832" s="4" t="s">
        <v>11337</v>
      </c>
      <c r="H2832" s="4" t="n">
        <v>40.33433</v>
      </c>
      <c r="I2832" s="4" t="n">
        <v>-75.63674</v>
      </c>
      <c r="J2832" s="4" t="s">
        <v>11338</v>
      </c>
      <c r="K2832" s="6" t="str">
        <f aca="false">HYPERLINK("https://www.google.com/search?q=Boyertown+Community+Library+Boyertown+PA+library+website","Search")</f>
        <v>Search</v>
      </c>
      <c r="L2832" s="7"/>
      <c r="M2832" s="7"/>
    </row>
    <row r="2833" customFormat="false" ht="15" hidden="false" customHeight="true" outlineLevel="0" collapsed="false">
      <c r="A2833" s="4" t="s">
        <v>11231</v>
      </c>
      <c r="B2833" s="4" t="s">
        <v>11339</v>
      </c>
      <c r="C2833" s="4" t="s">
        <v>11340</v>
      </c>
      <c r="D2833" s="4" t="s">
        <v>11295</v>
      </c>
      <c r="E2833" s="5" t="n">
        <v>13830</v>
      </c>
      <c r="F2833" s="4" t="n">
        <v>1</v>
      </c>
      <c r="G2833" s="4" t="s">
        <v>11341</v>
      </c>
      <c r="H2833" s="4" t="n">
        <v>40.40161</v>
      </c>
      <c r="I2833" s="4" t="n">
        <v>-79.86528</v>
      </c>
      <c r="J2833" s="4" t="s">
        <v>11342</v>
      </c>
      <c r="K2833" s="6" t="str">
        <f aca="false">HYPERLINK("https://www.google.com/search?q=Braddock+Carnegie+Library+Braddock+PA+library+website","Search")</f>
        <v>Search</v>
      </c>
      <c r="L2833" s="7"/>
      <c r="M2833" s="7"/>
    </row>
    <row r="2834" customFormat="false" ht="15" hidden="false" customHeight="true" outlineLevel="0" collapsed="false">
      <c r="A2834" s="4" t="s">
        <v>11231</v>
      </c>
      <c r="B2834" s="4" t="s">
        <v>11343</v>
      </c>
      <c r="C2834" s="4" t="s">
        <v>11344</v>
      </c>
      <c r="D2834" s="4" t="s">
        <v>11345</v>
      </c>
      <c r="E2834" s="5" t="n">
        <v>19314</v>
      </c>
      <c r="F2834" s="4" t="n">
        <v>1</v>
      </c>
      <c r="G2834" s="4" t="s">
        <v>11346</v>
      </c>
      <c r="H2834" s="4" t="n">
        <v>41.95721</v>
      </c>
      <c r="I2834" s="4" t="n">
        <v>-78.65441</v>
      </c>
      <c r="J2834" s="4" t="s">
        <v>11347</v>
      </c>
      <c r="K2834" s="6" t="str">
        <f aca="false">HYPERLINK("https://www.google.com/search?q=Bradford+Area+Public+Library+Bradford+PA+library+website","Search")</f>
        <v>Search</v>
      </c>
      <c r="L2834" s="7"/>
      <c r="M2834" s="7"/>
    </row>
    <row r="2835" customFormat="false" ht="15" hidden="false" customHeight="true" outlineLevel="0" collapsed="false">
      <c r="A2835" s="4" t="s">
        <v>11231</v>
      </c>
      <c r="B2835" s="4" t="s">
        <v>11348</v>
      </c>
      <c r="C2835" s="4" t="s">
        <v>414</v>
      </c>
      <c r="D2835" s="4" t="s">
        <v>11344</v>
      </c>
      <c r="E2835" s="5" t="n">
        <v>23184</v>
      </c>
      <c r="F2835" s="4" t="n">
        <v>1</v>
      </c>
      <c r="G2835" s="4" t="s">
        <v>11349</v>
      </c>
      <c r="H2835" s="4" t="n">
        <v>41.77763</v>
      </c>
      <c r="I2835" s="4" t="n">
        <v>-76.61613</v>
      </c>
      <c r="J2835" s="4" t="s">
        <v>11350</v>
      </c>
      <c r="K2835" s="6" t="str">
        <f aca="false">HYPERLINK("https://www.google.com/search?q=Bradford+County+Library+Troy+PA+library+website","Search")</f>
        <v>Search</v>
      </c>
      <c r="L2835" s="7"/>
      <c r="M2835" s="7"/>
    </row>
    <row r="2836" customFormat="false" ht="15" hidden="false" customHeight="true" outlineLevel="0" collapsed="false">
      <c r="A2836" s="4" t="s">
        <v>11231</v>
      </c>
      <c r="B2836" s="4" t="s">
        <v>11351</v>
      </c>
      <c r="C2836" s="4" t="s">
        <v>11352</v>
      </c>
      <c r="D2836" s="4" t="s">
        <v>11328</v>
      </c>
      <c r="E2836" s="5" t="n">
        <v>12632</v>
      </c>
      <c r="F2836" s="4" t="n">
        <v>1</v>
      </c>
      <c r="G2836" s="4" t="s">
        <v>11353</v>
      </c>
      <c r="H2836" s="4" t="n">
        <v>40.49566</v>
      </c>
      <c r="I2836" s="4" t="n">
        <v>-75.70028</v>
      </c>
      <c r="J2836" s="4" t="s">
        <v>11354</v>
      </c>
      <c r="K2836" s="6" t="str">
        <f aca="false">HYPERLINK("https://www.google.com/search?q=Brandywine+Community+Library+Topton+PA+library+website","Search")</f>
        <v>Search</v>
      </c>
      <c r="L2836" s="7"/>
      <c r="M2836" s="7"/>
    </row>
    <row r="2837" customFormat="false" ht="15" hidden="false" customHeight="true" outlineLevel="0" collapsed="false">
      <c r="A2837" s="4" t="s">
        <v>11231</v>
      </c>
      <c r="B2837" s="4" t="s">
        <v>11355</v>
      </c>
      <c r="C2837" s="4" t="s">
        <v>11294</v>
      </c>
      <c r="D2837" s="4" t="s">
        <v>11295</v>
      </c>
      <c r="E2837" s="5" t="n">
        <v>10082</v>
      </c>
      <c r="F2837" s="4" t="n">
        <v>1</v>
      </c>
      <c r="G2837" s="4" t="s">
        <v>11356</v>
      </c>
      <c r="H2837" s="4" t="n">
        <v>40.37494</v>
      </c>
      <c r="I2837" s="4" t="n">
        <v>-79.97552</v>
      </c>
      <c r="J2837" s="4" t="s">
        <v>11357</v>
      </c>
      <c r="K2837" s="6" t="str">
        <f aca="false">HYPERLINK("https://www.google.com/search?q=Brentwood+Library+Pittsburgh+PA+library+website","Search")</f>
        <v>Search</v>
      </c>
      <c r="L2837" s="7"/>
      <c r="M2837" s="7"/>
    </row>
    <row r="2838" customFormat="false" ht="15" hidden="false" customHeight="true" outlineLevel="0" collapsed="false">
      <c r="A2838" s="4" t="s">
        <v>11231</v>
      </c>
      <c r="B2838" s="4" t="s">
        <v>11358</v>
      </c>
      <c r="C2838" s="4" t="s">
        <v>4901</v>
      </c>
      <c r="D2838" s="4" t="s">
        <v>197</v>
      </c>
      <c r="E2838" s="5" t="n">
        <v>14177</v>
      </c>
      <c r="F2838" s="4" t="n">
        <v>1</v>
      </c>
      <c r="G2838" s="4" t="s">
        <v>11359</v>
      </c>
      <c r="H2838" s="4" t="n">
        <v>40.02139</v>
      </c>
      <c r="I2838" s="4" t="n">
        <v>-79.88696</v>
      </c>
      <c r="J2838" s="4" t="s">
        <v>11360</v>
      </c>
      <c r="K2838" s="6" t="str">
        <f aca="false">HYPERLINK("https://www.google.com/search?q=Brownsville+Free+Public+Library+Brownsville+PA+library+website","Search")</f>
        <v>Search</v>
      </c>
      <c r="L2838" s="7"/>
      <c r="M2838" s="7"/>
    </row>
    <row r="2839" customFormat="false" ht="15" hidden="false" customHeight="true" outlineLevel="0" collapsed="false">
      <c r="A2839" s="4" t="s">
        <v>11231</v>
      </c>
      <c r="B2839" s="4" t="s">
        <v>11361</v>
      </c>
      <c r="C2839" s="4" t="s">
        <v>11362</v>
      </c>
      <c r="D2839" s="4" t="s">
        <v>11363</v>
      </c>
      <c r="E2839" s="5" t="n">
        <v>507641</v>
      </c>
      <c r="F2839" s="4" t="n">
        <v>7</v>
      </c>
      <c r="G2839" s="4" t="s">
        <v>11364</v>
      </c>
      <c r="H2839" s="4" t="n">
        <v>40.30786</v>
      </c>
      <c r="I2839" s="4" t="n">
        <v>-75.12644</v>
      </c>
      <c r="J2839" s="4" t="s">
        <v>11365</v>
      </c>
      <c r="K2839" s="6" t="str">
        <f aca="false">HYPERLINK("https://www.google.com/search?q=Bucks+County+Free+Library+Doylestown+PA+library+website","Search")</f>
        <v>Search</v>
      </c>
      <c r="L2839" s="7"/>
      <c r="M2839" s="7"/>
    </row>
    <row r="2840" customFormat="false" ht="15" hidden="false" customHeight="true" outlineLevel="0" collapsed="false">
      <c r="A2840" s="4" t="s">
        <v>11231</v>
      </c>
      <c r="B2840" s="4" t="s">
        <v>11366</v>
      </c>
      <c r="C2840" s="4" t="s">
        <v>138</v>
      </c>
      <c r="D2840" s="4" t="s">
        <v>138</v>
      </c>
      <c r="E2840" s="5" t="n">
        <v>30732</v>
      </c>
      <c r="F2840" s="4" t="n">
        <v>1</v>
      </c>
      <c r="G2840" s="4" t="s">
        <v>11367</v>
      </c>
      <c r="H2840" s="4" t="n">
        <v>40.863</v>
      </c>
      <c r="I2840" s="4" t="n">
        <v>-79.8936</v>
      </c>
      <c r="J2840" s="4" t="s">
        <v>11368</v>
      </c>
      <c r="K2840" s="6" t="str">
        <f aca="false">HYPERLINK("https://www.google.com/search?q=Butler+Area+Public+Library+Butler+PA+library+website","Search")</f>
        <v>Search</v>
      </c>
      <c r="L2840" s="7"/>
      <c r="M2840" s="7"/>
    </row>
    <row r="2841" customFormat="false" ht="15" hidden="false" customHeight="true" outlineLevel="0" collapsed="false">
      <c r="A2841" s="4" t="s">
        <v>11231</v>
      </c>
      <c r="B2841" s="4" t="s">
        <v>11369</v>
      </c>
      <c r="C2841" s="4" t="s">
        <v>138</v>
      </c>
      <c r="D2841" s="4" t="s">
        <v>138</v>
      </c>
      <c r="E2841" s="5" t="n">
        <v>74195</v>
      </c>
      <c r="F2841" s="4" t="n">
        <v>1</v>
      </c>
      <c r="G2841" s="4" t="s">
        <v>11370</v>
      </c>
      <c r="H2841" s="4" t="n">
        <v>40.863</v>
      </c>
      <c r="I2841" s="4" t="n">
        <v>-79.8936</v>
      </c>
      <c r="J2841" s="4" t="s">
        <v>11371</v>
      </c>
      <c r="K2841" s="6" t="str">
        <f aca="false">HYPERLINK("https://www.google.com/search?q=Butler+Sys+Admin+Unit+Butler+PA+library+website","Search")</f>
        <v>Search</v>
      </c>
      <c r="L2841" s="7"/>
      <c r="M2841" s="7"/>
    </row>
    <row r="2842" customFormat="false" ht="15" hidden="false" customHeight="true" outlineLevel="0" collapsed="false">
      <c r="A2842" s="4" t="s">
        <v>11231</v>
      </c>
      <c r="B2842" s="4" t="s">
        <v>11372</v>
      </c>
      <c r="C2842" s="4" t="s">
        <v>11294</v>
      </c>
      <c r="D2842" s="4" t="s">
        <v>11295</v>
      </c>
      <c r="E2842" s="5" t="n">
        <v>20811</v>
      </c>
      <c r="F2842" s="4" t="n">
        <v>2</v>
      </c>
      <c r="G2842" s="4" t="s">
        <v>11373</v>
      </c>
      <c r="H2842" s="4" t="n">
        <v>40.43228</v>
      </c>
      <c r="I2842" s="4" t="n">
        <v>-79.88505</v>
      </c>
      <c r="J2842" s="4" t="s">
        <v>11374</v>
      </c>
      <c r="K2842" s="6" t="str">
        <f aca="false">HYPERLINK("https://www.google.com/search?q=C.C.+Mellor+Memorial+Library+Pittsburgh+PA+library+website","Search")</f>
        <v>Search</v>
      </c>
      <c r="L2842" s="7"/>
      <c r="M2842" s="7"/>
    </row>
    <row r="2843" customFormat="false" ht="15" hidden="false" customHeight="true" outlineLevel="0" collapsed="false">
      <c r="A2843" s="4" t="s">
        <v>11231</v>
      </c>
      <c r="B2843" s="4" t="s">
        <v>11375</v>
      </c>
      <c r="C2843" s="4" t="s">
        <v>9693</v>
      </c>
      <c r="D2843" s="4" t="s">
        <v>11376</v>
      </c>
      <c r="E2843" s="5" t="n">
        <v>95861</v>
      </c>
      <c r="F2843" s="4" t="n">
        <v>1</v>
      </c>
      <c r="G2843" s="4" t="s">
        <v>11377</v>
      </c>
      <c r="H2843" s="4" t="n">
        <v>40.32696</v>
      </c>
      <c r="I2843" s="4" t="n">
        <v>-78.9222</v>
      </c>
      <c r="J2843" s="4" t="s">
        <v>11378</v>
      </c>
      <c r="K2843" s="6" t="str">
        <f aca="false">HYPERLINK("https://www.google.com/search?q=Cambria+Sys+Admin+Unit+Johnstown+PA+library+website","Search")</f>
        <v>Search</v>
      </c>
      <c r="L2843" s="7"/>
      <c r="M2843" s="7"/>
    </row>
    <row r="2844" customFormat="false" ht="15" hidden="false" customHeight="true" outlineLevel="0" collapsed="false">
      <c r="A2844" s="4" t="s">
        <v>11231</v>
      </c>
      <c r="B2844" s="4" t="s">
        <v>3403</v>
      </c>
      <c r="C2844" s="4" t="s">
        <v>3404</v>
      </c>
      <c r="D2844" s="4" t="s">
        <v>9707</v>
      </c>
      <c r="E2844" s="5" t="n">
        <v>19194</v>
      </c>
      <c r="F2844" s="4" t="n">
        <v>1</v>
      </c>
      <c r="G2844" s="4" t="s">
        <v>11379</v>
      </c>
      <c r="H2844" s="4" t="n">
        <v>41.57248</v>
      </c>
      <c r="I2844" s="4" t="n">
        <v>-75.50267</v>
      </c>
      <c r="J2844" s="4" t="s">
        <v>11380</v>
      </c>
      <c r="K2844" s="6" t="str">
        <f aca="false">HYPERLINK("https://www.google.com/search?q=Carbondale+Public+Library+Carbondale+PA+library+website","Search")</f>
        <v>Search</v>
      </c>
      <c r="L2844" s="7"/>
      <c r="M2844" s="7"/>
    </row>
    <row r="2845" customFormat="false" ht="15" hidden="false" customHeight="true" outlineLevel="0" collapsed="false">
      <c r="A2845" s="4" t="s">
        <v>11231</v>
      </c>
      <c r="B2845" s="4" t="s">
        <v>11381</v>
      </c>
      <c r="C2845" s="4" t="s">
        <v>11382</v>
      </c>
      <c r="D2845" s="4" t="s">
        <v>197</v>
      </c>
      <c r="E2845" s="5" t="n">
        <v>31989</v>
      </c>
      <c r="F2845" s="4" t="n">
        <v>1</v>
      </c>
      <c r="G2845" s="4" t="s">
        <v>11383</v>
      </c>
      <c r="H2845" s="4" t="n">
        <v>40.01588</v>
      </c>
      <c r="I2845" s="4" t="n">
        <v>-79.5889</v>
      </c>
      <c r="J2845" s="4" t="s">
        <v>11384</v>
      </c>
      <c r="K2845" s="6" t="str">
        <f aca="false">HYPERLINK("https://www.google.com/search?q=Carnegie+Free+Library+Connellsville+PA+library+website","Search")</f>
        <v>Search</v>
      </c>
      <c r="L2845" s="7"/>
      <c r="M2845" s="7"/>
    </row>
    <row r="2846" customFormat="false" ht="15" hidden="false" customHeight="true" outlineLevel="0" collapsed="false">
      <c r="A2846" s="4" t="s">
        <v>11231</v>
      </c>
      <c r="B2846" s="4" t="s">
        <v>11385</v>
      </c>
      <c r="C2846" s="4" t="s">
        <v>11386</v>
      </c>
      <c r="D2846" s="4" t="s">
        <v>11286</v>
      </c>
      <c r="E2846" s="5" t="n">
        <v>17271</v>
      </c>
      <c r="F2846" s="4" t="n">
        <v>1</v>
      </c>
      <c r="G2846" s="4" t="s">
        <v>11387</v>
      </c>
      <c r="H2846" s="4" t="n">
        <v>40.75424</v>
      </c>
      <c r="I2846" s="4" t="n">
        <v>-80.3195</v>
      </c>
      <c r="J2846" s="4" t="s">
        <v>11388</v>
      </c>
      <c r="K2846" s="6" t="str">
        <f aca="false">HYPERLINK("https://www.google.com/search?q=Carnegie+Free+Library+-+Beaver+Falls+Beaver+Falls+PA+library+website","Search")</f>
        <v>Search</v>
      </c>
      <c r="L2846" s="7"/>
      <c r="M2846" s="7"/>
    </row>
    <row r="2847" customFormat="false" ht="15" hidden="false" customHeight="true" outlineLevel="0" collapsed="false">
      <c r="A2847" s="4" t="s">
        <v>11231</v>
      </c>
      <c r="B2847" s="4" t="s">
        <v>11389</v>
      </c>
      <c r="C2847" s="4" t="s">
        <v>11390</v>
      </c>
      <c r="D2847" s="4" t="s">
        <v>11295</v>
      </c>
      <c r="E2847" s="5" t="n">
        <v>10520</v>
      </c>
      <c r="F2847" s="4" t="n">
        <v>1</v>
      </c>
      <c r="G2847" s="4" t="s">
        <v>11391</v>
      </c>
      <c r="H2847" s="4" t="n">
        <v>40.4227</v>
      </c>
      <c r="I2847" s="4" t="n">
        <v>-79.89093</v>
      </c>
      <c r="J2847" s="4" t="s">
        <v>11392</v>
      </c>
      <c r="K2847" s="6" t="str">
        <f aca="false">HYPERLINK("https://www.google.com/search?q=Carnegie+Free+Library+Of+Swissvale+Swissvale+PA+library+website","Search")</f>
        <v>Search</v>
      </c>
      <c r="L2847" s="7"/>
      <c r="M2847" s="7"/>
    </row>
    <row r="2848" customFormat="false" ht="15" hidden="false" customHeight="true" outlineLevel="0" collapsed="false">
      <c r="A2848" s="4" t="s">
        <v>11231</v>
      </c>
      <c r="B2848" s="4" t="s">
        <v>11393</v>
      </c>
      <c r="C2848" s="4" t="s">
        <v>11394</v>
      </c>
      <c r="D2848" s="4" t="s">
        <v>11295</v>
      </c>
      <c r="E2848" s="5" t="n">
        <v>16709</v>
      </c>
      <c r="F2848" s="4" t="n">
        <v>1</v>
      </c>
      <c r="G2848" s="4" t="s">
        <v>11395</v>
      </c>
      <c r="H2848" s="4" t="n">
        <v>40.40738</v>
      </c>
      <c r="I2848" s="4" t="n">
        <v>-79.90296</v>
      </c>
      <c r="J2848" s="4" t="s">
        <v>11396</v>
      </c>
      <c r="K2848" s="6" t="str">
        <f aca="false">HYPERLINK("https://www.google.com/search?q=Carnegie+Library+Of+Homestead+Munhall+PA+library+website","Search")</f>
        <v>Search</v>
      </c>
      <c r="L2848" s="7"/>
      <c r="M2848" s="7"/>
    </row>
    <row r="2849" customFormat="false" ht="15" hidden="false" customHeight="true" outlineLevel="0" collapsed="false">
      <c r="A2849" s="4" t="s">
        <v>11231</v>
      </c>
      <c r="B2849" s="4" t="s">
        <v>11397</v>
      </c>
      <c r="C2849" s="4" t="s">
        <v>11398</v>
      </c>
      <c r="D2849" s="4" t="s">
        <v>11295</v>
      </c>
      <c r="E2849" s="5" t="n">
        <v>51459</v>
      </c>
      <c r="F2849" s="4" t="n">
        <v>3</v>
      </c>
      <c r="G2849" s="4" t="s">
        <v>11399</v>
      </c>
      <c r="H2849" s="4" t="n">
        <v>40.34501</v>
      </c>
      <c r="I2849" s="4" t="n">
        <v>-79.85522</v>
      </c>
      <c r="J2849" s="4" t="s">
        <v>11400</v>
      </c>
      <c r="K2849" s="6" t="str">
        <f aca="false">HYPERLINK("https://www.google.com/search?q=Carnegie+Library+Of+Mckeesport+Mckeesport+PA+library+website","Search")</f>
        <v>Search</v>
      </c>
      <c r="L2849" s="7"/>
      <c r="M2849" s="7"/>
    </row>
    <row r="2850" customFormat="false" ht="15" hidden="false" customHeight="true" outlineLevel="0" collapsed="false">
      <c r="A2850" s="4" t="s">
        <v>11231</v>
      </c>
      <c r="B2850" s="4" t="s">
        <v>11401</v>
      </c>
      <c r="C2850" s="4" t="s">
        <v>11294</v>
      </c>
      <c r="D2850" s="4" t="s">
        <v>11295</v>
      </c>
      <c r="E2850" s="5" t="n">
        <v>392273</v>
      </c>
      <c r="F2850" s="4" t="n">
        <v>19</v>
      </c>
      <c r="G2850" s="4" t="s">
        <v>11402</v>
      </c>
      <c r="H2850" s="4" t="n">
        <v>40.44423</v>
      </c>
      <c r="I2850" s="4" t="n">
        <v>-79.94936</v>
      </c>
      <c r="J2850" s="4" t="s">
        <v>11403</v>
      </c>
      <c r="K2850" s="6" t="str">
        <f aca="false">HYPERLINK("https://www.google.com/search?q=Carnegie+Library+Of+Pittsburgh+Pittsburgh+PA+library+website","Search")</f>
        <v>Search</v>
      </c>
      <c r="L2850" s="7"/>
      <c r="M2850" s="8" t="str">
        <f aca="false">HYPERLINK("https://acla.overdrive.com","https://acla.overdrive.com")</f>
        <v>https://acla.overdrive.com</v>
      </c>
    </row>
    <row r="2851" customFormat="false" ht="15" hidden="false" customHeight="true" outlineLevel="0" collapsed="false">
      <c r="A2851" s="4" t="s">
        <v>11231</v>
      </c>
      <c r="B2851" s="4" t="s">
        <v>11404</v>
      </c>
      <c r="C2851" s="4" t="s">
        <v>11405</v>
      </c>
      <c r="D2851" s="4" t="s">
        <v>11406</v>
      </c>
      <c r="E2851" s="5" t="n">
        <v>63547</v>
      </c>
      <c r="F2851" s="4" t="n">
        <v>3</v>
      </c>
      <c r="G2851" s="4" t="s">
        <v>11407</v>
      </c>
      <c r="H2851" s="4" t="n">
        <v>40.91355</v>
      </c>
      <c r="I2851" s="4" t="n">
        <v>-77.77845</v>
      </c>
      <c r="J2851" s="4" t="s">
        <v>11408</v>
      </c>
      <c r="K2851" s="6" t="str">
        <f aca="false">HYPERLINK("https://www.google.com/search?q=Centre+Co+Lib+%26+Hist+Museum+Bellefonte+PA+library+website","Search")</f>
        <v>Search</v>
      </c>
      <c r="L2851" s="7"/>
      <c r="M2851" s="7"/>
    </row>
    <row r="2852" customFormat="false" ht="15" hidden="false" customHeight="true" outlineLevel="0" collapsed="false">
      <c r="A2852" s="4" t="s">
        <v>11231</v>
      </c>
      <c r="B2852" s="4" t="s">
        <v>11409</v>
      </c>
      <c r="C2852" s="4" t="s">
        <v>11410</v>
      </c>
      <c r="D2852" s="4" t="s">
        <v>315</v>
      </c>
      <c r="E2852" s="5" t="n">
        <v>37452</v>
      </c>
      <c r="F2852" s="4" t="n">
        <v>5</v>
      </c>
      <c r="G2852" s="4" t="s">
        <v>11411</v>
      </c>
      <c r="H2852" s="4" t="n">
        <v>40.09711</v>
      </c>
      <c r="I2852" s="4" t="n">
        <v>-75.15408</v>
      </c>
      <c r="J2852" s="4" t="s">
        <v>11412</v>
      </c>
      <c r="K2852" s="6" t="str">
        <f aca="false">HYPERLINK("https://www.google.com/search?q=Cheltenham+Twnshp+Lib+System+Glenside+PA+library+website","Search")</f>
        <v>Search</v>
      </c>
      <c r="L2852" s="7"/>
      <c r="M2852" s="7"/>
    </row>
    <row r="2853" customFormat="false" ht="15" hidden="false" customHeight="true" outlineLevel="0" collapsed="false">
      <c r="A2853" s="4" t="s">
        <v>11231</v>
      </c>
      <c r="B2853" s="4" t="s">
        <v>11413</v>
      </c>
      <c r="C2853" s="4" t="s">
        <v>11414</v>
      </c>
      <c r="D2853" s="4" t="s">
        <v>9374</v>
      </c>
      <c r="E2853" s="5" t="n">
        <v>111774</v>
      </c>
      <c r="F2853" s="4" t="n">
        <v>2</v>
      </c>
      <c r="G2853" s="4" t="s">
        <v>11415</v>
      </c>
      <c r="H2853" s="4" t="n">
        <v>40.03216</v>
      </c>
      <c r="I2853" s="4" t="n">
        <v>-75.62045</v>
      </c>
      <c r="J2853" s="4" t="s">
        <v>11416</v>
      </c>
      <c r="K2853" s="6" t="str">
        <f aca="false">HYPERLINK("https://www.google.com/search?q=Chester+County+Library+Exton+PA+library+website","Search")</f>
        <v>Search</v>
      </c>
      <c r="L2853" s="7"/>
      <c r="M2853" s="7"/>
    </row>
    <row r="2854" customFormat="false" ht="15" hidden="false" customHeight="true" outlineLevel="0" collapsed="false">
      <c r="A2854" s="4" t="s">
        <v>11231</v>
      </c>
      <c r="B2854" s="4" t="s">
        <v>11417</v>
      </c>
      <c r="C2854" s="4" t="s">
        <v>441</v>
      </c>
      <c r="D2854" s="4" t="s">
        <v>441</v>
      </c>
      <c r="E2854" s="5" t="n">
        <v>52989</v>
      </c>
      <c r="F2854" s="4" t="n">
        <v>1</v>
      </c>
      <c r="G2854" s="4" t="s">
        <v>11418</v>
      </c>
      <c r="H2854" s="4" t="n">
        <v>40.17016</v>
      </c>
      <c r="I2854" s="4" t="n">
        <v>-80.24266</v>
      </c>
      <c r="J2854" s="4" t="s">
        <v>11419</v>
      </c>
      <c r="K2854" s="6" t="str">
        <f aca="false">HYPERLINK("https://www.google.com/search?q=Citizens+Library+Washington+PA+library+website","Search")</f>
        <v>Search</v>
      </c>
      <c r="L2854" s="7"/>
      <c r="M2854" s="7"/>
    </row>
    <row r="2855" customFormat="false" ht="15" hidden="false" customHeight="true" outlineLevel="0" collapsed="false">
      <c r="A2855" s="4" t="s">
        <v>11231</v>
      </c>
      <c r="B2855" s="4" t="s">
        <v>11420</v>
      </c>
      <c r="C2855" s="4" t="s">
        <v>11421</v>
      </c>
      <c r="D2855" s="4" t="s">
        <v>11421</v>
      </c>
      <c r="E2855" s="5" t="n">
        <v>18657</v>
      </c>
      <c r="F2855" s="4" t="n">
        <v>1</v>
      </c>
      <c r="G2855" s="4" t="s">
        <v>11422</v>
      </c>
      <c r="H2855" s="4" t="n">
        <v>41.21354</v>
      </c>
      <c r="I2855" s="4" t="n">
        <v>-79.38274</v>
      </c>
      <c r="J2855" s="4" t="s">
        <v>11423</v>
      </c>
      <c r="K2855" s="6" t="str">
        <f aca="false">HYPERLINK("https://www.google.com/search?q=Clarion+Free+Library+Clarion+PA+library+website","Search")</f>
        <v>Search</v>
      </c>
      <c r="L2855" s="7"/>
      <c r="M2855" s="7"/>
    </row>
    <row r="2856" customFormat="false" ht="15" hidden="false" customHeight="true" outlineLevel="0" collapsed="false">
      <c r="A2856" s="4" t="s">
        <v>11231</v>
      </c>
      <c r="B2856" s="4" t="s">
        <v>11424</v>
      </c>
      <c r="C2856" s="4" t="s">
        <v>11425</v>
      </c>
      <c r="D2856" s="4" t="s">
        <v>11426</v>
      </c>
      <c r="E2856" s="5" t="n">
        <v>44901</v>
      </c>
      <c r="F2856" s="4" t="n">
        <v>2</v>
      </c>
      <c r="G2856" s="4" t="s">
        <v>11427</v>
      </c>
      <c r="H2856" s="4" t="n">
        <v>40.96747</v>
      </c>
      <c r="I2856" s="4" t="n">
        <v>-78.52067</v>
      </c>
      <c r="J2856" s="4" t="s">
        <v>11428</v>
      </c>
      <c r="K2856" s="6" t="str">
        <f aca="false">HYPERLINK("https://www.google.com/search?q=Clearfield+County+Public+Library+Curwensville+PA+library+website","Search")</f>
        <v>Search</v>
      </c>
      <c r="L2856" s="7"/>
      <c r="M2856" s="7"/>
    </row>
    <row r="2857" customFormat="false" ht="15" hidden="false" customHeight="true" outlineLevel="0" collapsed="false">
      <c r="A2857" s="4" t="s">
        <v>11231</v>
      </c>
      <c r="B2857" s="4" t="s">
        <v>11429</v>
      </c>
      <c r="C2857" s="4" t="s">
        <v>11430</v>
      </c>
      <c r="D2857" s="4" t="s">
        <v>6161</v>
      </c>
      <c r="E2857" s="5" t="n">
        <v>89602</v>
      </c>
      <c r="F2857" s="4" t="n">
        <v>2</v>
      </c>
      <c r="G2857" s="4" t="s">
        <v>11431</v>
      </c>
      <c r="H2857" s="4" t="n">
        <v>40.24166</v>
      </c>
      <c r="I2857" s="4" t="n">
        <v>-76.91656</v>
      </c>
      <c r="J2857" s="4" t="s">
        <v>11432</v>
      </c>
      <c r="K2857" s="6" t="str">
        <f aca="false">HYPERLINK("https://www.google.com/search?q=Cleve+J.+Fredricksen+Library+Camp+Hill+PA+library+website","Search")</f>
        <v>Search</v>
      </c>
      <c r="L2857" s="7"/>
      <c r="M2857" s="7"/>
    </row>
    <row r="2858" customFormat="false" ht="15" hidden="false" customHeight="true" outlineLevel="0" collapsed="false">
      <c r="A2858" s="4" t="s">
        <v>11231</v>
      </c>
      <c r="B2858" s="4" t="s">
        <v>11433</v>
      </c>
      <c r="C2858" s="4" t="s">
        <v>11434</v>
      </c>
      <c r="D2858" s="4" t="s">
        <v>311</v>
      </c>
      <c r="E2858" s="5" t="n">
        <v>15352</v>
      </c>
      <c r="F2858" s="4" t="n">
        <v>1</v>
      </c>
      <c r="G2858" s="4" t="s">
        <v>11435</v>
      </c>
      <c r="H2858" s="4" t="n">
        <v>41.10592</v>
      </c>
      <c r="I2858" s="4" t="n">
        <v>-75.4758</v>
      </c>
      <c r="J2858" s="4" t="s">
        <v>11436</v>
      </c>
      <c r="K2858" s="6" t="str">
        <f aca="false">HYPERLINK("https://www.google.com/search?q=Clymer+Library+Association+Pocono+Pines+PA+library+website","Search")</f>
        <v>Search</v>
      </c>
      <c r="L2858" s="7"/>
      <c r="M2858" s="7"/>
    </row>
    <row r="2859" customFormat="false" ht="15" hidden="false" customHeight="true" outlineLevel="0" collapsed="false">
      <c r="A2859" s="4" t="s">
        <v>11231</v>
      </c>
      <c r="B2859" s="4" t="s">
        <v>11437</v>
      </c>
      <c r="C2859" s="4" t="s">
        <v>11438</v>
      </c>
      <c r="D2859" s="4" t="s">
        <v>9374</v>
      </c>
      <c r="E2859" s="5" t="n">
        <v>38319</v>
      </c>
      <c r="F2859" s="4" t="n">
        <v>1</v>
      </c>
      <c r="G2859" s="4" t="s">
        <v>11439</v>
      </c>
      <c r="H2859" s="4" t="n">
        <v>39.98457</v>
      </c>
      <c r="I2859" s="4" t="n">
        <v>-75.81589</v>
      </c>
      <c r="J2859" s="4" t="s">
        <v>11440</v>
      </c>
      <c r="K2859" s="6" t="str">
        <f aca="false">HYPERLINK("https://www.google.com/search?q=Coatesville+Public+Library+Association+Coatesville+PA+library+website","Search")</f>
        <v>Search</v>
      </c>
      <c r="L2859" s="7"/>
      <c r="M2859" s="7"/>
    </row>
    <row r="2860" customFormat="false" ht="15" hidden="false" customHeight="true" outlineLevel="0" collapsed="false">
      <c r="A2860" s="4" t="s">
        <v>11231</v>
      </c>
      <c r="B2860" s="4" t="s">
        <v>11441</v>
      </c>
      <c r="C2860" s="4" t="s">
        <v>11323</v>
      </c>
      <c r="D2860" s="4" t="s">
        <v>506</v>
      </c>
      <c r="E2860" s="5" t="n">
        <v>29688</v>
      </c>
      <c r="F2860" s="4" t="n">
        <v>1</v>
      </c>
      <c r="G2860" s="4" t="s">
        <v>11442</v>
      </c>
      <c r="H2860" s="4" t="n">
        <v>41.0289</v>
      </c>
      <c r="I2860" s="4" t="n">
        <v>-76.40153</v>
      </c>
      <c r="J2860" s="4" t="s">
        <v>11443</v>
      </c>
      <c r="K2860" s="6" t="str">
        <f aca="false">HYPERLINK("https://www.google.com/search?q=Columbia+County+Traveling+Library+Authority+Bloomsburg+PA+library+website","Search")</f>
        <v>Search</v>
      </c>
      <c r="L2860" s="7"/>
      <c r="M2860" s="7"/>
    </row>
    <row r="2861" customFormat="false" ht="15" hidden="false" customHeight="true" outlineLevel="0" collapsed="false">
      <c r="A2861" s="4" t="s">
        <v>11231</v>
      </c>
      <c r="B2861" s="4" t="s">
        <v>3462</v>
      </c>
      <c r="C2861" s="4" t="s">
        <v>506</v>
      </c>
      <c r="D2861" s="4" t="s">
        <v>4923</v>
      </c>
      <c r="E2861" s="5" t="n">
        <v>10207</v>
      </c>
      <c r="F2861" s="4" t="n">
        <v>1</v>
      </c>
      <c r="G2861" s="4" t="s">
        <v>11444</v>
      </c>
      <c r="H2861" s="4" t="n">
        <v>40.0346</v>
      </c>
      <c r="I2861" s="4" t="n">
        <v>-76.49753</v>
      </c>
      <c r="J2861" s="4" t="s">
        <v>11445</v>
      </c>
      <c r="K2861" s="6" t="str">
        <f aca="false">HYPERLINK("https://www.google.com/search?q=Columbia+Public+Library+Columbia+PA+library+website","Search")</f>
        <v>Search</v>
      </c>
      <c r="L2861" s="7"/>
      <c r="M2861" s="7"/>
    </row>
    <row r="2862" customFormat="false" ht="15" hidden="false" customHeight="true" outlineLevel="0" collapsed="false">
      <c r="A2862" s="4" t="s">
        <v>11231</v>
      </c>
      <c r="B2862" s="4" t="s">
        <v>11446</v>
      </c>
      <c r="C2862" s="4" t="s">
        <v>11447</v>
      </c>
      <c r="D2862" s="4" t="s">
        <v>11295</v>
      </c>
      <c r="E2862" s="5" t="n">
        <v>22610</v>
      </c>
      <c r="F2862" s="4" t="n">
        <v>1</v>
      </c>
      <c r="G2862" s="4" t="s">
        <v>11448</v>
      </c>
      <c r="H2862" s="4" t="n">
        <v>40.6208</v>
      </c>
      <c r="I2862" s="4" t="n">
        <v>-79.7286</v>
      </c>
      <c r="J2862" s="4" t="s">
        <v>11449</v>
      </c>
      <c r="K2862" s="6" t="str">
        <f aca="false">HYPERLINK("https://www.google.com/search?q=Community+Library+Of+Allegheny+Valley+Natrona+Heights+PA+library+website","Search")</f>
        <v>Search</v>
      </c>
      <c r="L2862" s="7"/>
      <c r="M2862" s="7"/>
    </row>
    <row r="2863" customFormat="false" ht="15" hidden="false" customHeight="true" outlineLevel="0" collapsed="false">
      <c r="A2863" s="4" t="s">
        <v>11231</v>
      </c>
      <c r="B2863" s="4" t="s">
        <v>11450</v>
      </c>
      <c r="C2863" s="4" t="s">
        <v>6000</v>
      </c>
      <c r="D2863" s="4" t="s">
        <v>5095</v>
      </c>
      <c r="E2863" s="5" t="n">
        <v>33635</v>
      </c>
      <c r="F2863" s="4" t="n">
        <v>2</v>
      </c>
      <c r="G2863" s="4" t="s">
        <v>11451</v>
      </c>
      <c r="H2863" s="4" t="n">
        <v>41.2332</v>
      </c>
      <c r="I2863" s="4" t="n">
        <v>-80.50503</v>
      </c>
      <c r="J2863" s="4" t="s">
        <v>11452</v>
      </c>
      <c r="K2863" s="6" t="str">
        <f aca="false">HYPERLINK("https://www.google.com/search?q=Community+Library+Of+The+Shenango+Valley+Sharon+PA+library+website","Search")</f>
        <v>Search</v>
      </c>
      <c r="L2863" s="7"/>
      <c r="M2863" s="7"/>
    </row>
    <row r="2864" customFormat="false" ht="15" hidden="false" customHeight="true" outlineLevel="0" collapsed="false">
      <c r="A2864" s="4" t="s">
        <v>11231</v>
      </c>
      <c r="B2864" s="4" t="s">
        <v>11453</v>
      </c>
      <c r="C2864" s="4" t="s">
        <v>11294</v>
      </c>
      <c r="D2864" s="4" t="s">
        <v>11295</v>
      </c>
      <c r="E2864" s="5" t="n">
        <v>29438</v>
      </c>
      <c r="F2864" s="4" t="n">
        <v>2</v>
      </c>
      <c r="G2864" s="4" t="s">
        <v>11454</v>
      </c>
      <c r="H2864" s="4" t="n">
        <v>40.51537</v>
      </c>
      <c r="I2864" s="4" t="n">
        <v>-79.87913</v>
      </c>
      <c r="J2864" s="4" t="s">
        <v>11455</v>
      </c>
      <c r="K2864" s="6" t="str">
        <f aca="false">HYPERLINK("https://www.google.com/search?q=Cooper-Siegel+Community+Library+Pittsburgh+PA+library+website","Search")</f>
        <v>Search</v>
      </c>
      <c r="L2864" s="7"/>
      <c r="M2864" s="7"/>
    </row>
    <row r="2865" customFormat="false" ht="15" hidden="false" customHeight="true" outlineLevel="0" collapsed="false">
      <c r="A2865" s="4" t="s">
        <v>11231</v>
      </c>
      <c r="B2865" s="4" t="s">
        <v>11456</v>
      </c>
      <c r="C2865" s="4" t="s">
        <v>11457</v>
      </c>
      <c r="D2865" s="4" t="s">
        <v>9253</v>
      </c>
      <c r="E2865" s="5" t="n">
        <v>11422</v>
      </c>
      <c r="F2865" s="4" t="n">
        <v>1</v>
      </c>
      <c r="G2865" s="4" t="s">
        <v>11458</v>
      </c>
      <c r="H2865" s="4" t="n">
        <v>41.92162</v>
      </c>
      <c r="I2865" s="4" t="n">
        <v>-79.64314</v>
      </c>
      <c r="J2865" s="4" t="s">
        <v>11459</v>
      </c>
      <c r="K2865" s="6" t="str">
        <f aca="false">HYPERLINK("https://www.google.com/search?q=Corry+Public+Library+Corry+PA+library+website","Search")</f>
        <v>Search</v>
      </c>
      <c r="L2865" s="7"/>
      <c r="M2865" s="7"/>
    </row>
    <row r="2866" customFormat="false" ht="15" hidden="false" customHeight="true" outlineLevel="0" collapsed="false">
      <c r="A2866" s="4" t="s">
        <v>11231</v>
      </c>
      <c r="B2866" s="4" t="s">
        <v>11460</v>
      </c>
      <c r="C2866" s="4" t="s">
        <v>11461</v>
      </c>
      <c r="D2866" s="4" t="s">
        <v>11462</v>
      </c>
      <c r="E2866" s="5" t="n">
        <v>23114</v>
      </c>
      <c r="F2866" s="4" t="n">
        <v>1</v>
      </c>
      <c r="G2866" s="4" t="s">
        <v>11463</v>
      </c>
      <c r="H2866" s="4" t="n">
        <v>41.77226</v>
      </c>
      <c r="I2866" s="4" t="n">
        <v>-78.01367</v>
      </c>
      <c r="J2866" s="4" t="s">
        <v>11464</v>
      </c>
      <c r="K2866" s="6" t="str">
        <f aca="false">HYPERLINK("https://www.google.com/search?q=Coudersport+Public+Library+Coudersport+PA+library+website","Search")</f>
        <v>Search</v>
      </c>
      <c r="L2866" s="7"/>
      <c r="M2866" s="7"/>
    </row>
    <row r="2867" customFormat="false" ht="15" hidden="false" customHeight="true" outlineLevel="0" collapsed="false">
      <c r="A2867" s="4" t="s">
        <v>11231</v>
      </c>
      <c r="B2867" s="4" t="s">
        <v>11465</v>
      </c>
      <c r="C2867" s="4" t="s">
        <v>11466</v>
      </c>
      <c r="D2867" s="4" t="s">
        <v>138</v>
      </c>
      <c r="E2867" s="5" t="n">
        <v>36015</v>
      </c>
      <c r="F2867" s="4" t="n">
        <v>1</v>
      </c>
      <c r="G2867" s="4" t="s">
        <v>11467</v>
      </c>
      <c r="H2867" s="4" t="n">
        <v>40.69889</v>
      </c>
      <c r="I2867" s="4" t="n">
        <v>-80.10811</v>
      </c>
      <c r="J2867" s="4" t="s">
        <v>11468</v>
      </c>
      <c r="K2867" s="6" t="str">
        <f aca="false">HYPERLINK("https://www.google.com/search?q=Cranberry+Public+Library+Cranberry+Twp+PA+library+website","Search")</f>
        <v>Search</v>
      </c>
      <c r="L2867" s="7"/>
      <c r="M2867" s="7"/>
    </row>
    <row r="2868" customFormat="false" ht="15" hidden="false" customHeight="true" outlineLevel="0" collapsed="false">
      <c r="A2868" s="4" t="s">
        <v>11231</v>
      </c>
      <c r="B2868" s="4" t="s">
        <v>11469</v>
      </c>
      <c r="C2868" s="4" t="s">
        <v>11470</v>
      </c>
      <c r="D2868" s="4" t="s">
        <v>3041</v>
      </c>
      <c r="E2868" s="5" t="n">
        <v>10715</v>
      </c>
      <c r="F2868" s="4" t="n">
        <v>1</v>
      </c>
      <c r="G2868" s="4" t="s">
        <v>11471</v>
      </c>
      <c r="H2868" s="4" t="n">
        <v>39.92006</v>
      </c>
      <c r="I2868" s="4" t="n">
        <v>-75.2632</v>
      </c>
      <c r="J2868" s="4" t="s">
        <v>11472</v>
      </c>
      <c r="K2868" s="6" t="str">
        <f aca="false">HYPERLINK("https://www.google.com/search?q=Darby+Library+Darby+PA+library+website","Search")</f>
        <v>Search</v>
      </c>
      <c r="L2868" s="7"/>
      <c r="M2868" s="7"/>
    </row>
    <row r="2869" customFormat="false" ht="15" hidden="false" customHeight="true" outlineLevel="0" collapsed="false">
      <c r="A2869" s="4" t="s">
        <v>11231</v>
      </c>
      <c r="B2869" s="4" t="s">
        <v>11473</v>
      </c>
      <c r="C2869" s="4" t="s">
        <v>3662</v>
      </c>
      <c r="D2869" s="4" t="s">
        <v>11474</v>
      </c>
      <c r="E2869" s="5" t="n">
        <v>252153</v>
      </c>
      <c r="F2869" s="4" t="n">
        <v>8</v>
      </c>
      <c r="G2869" s="4" t="s">
        <v>11475</v>
      </c>
      <c r="H2869" s="4" t="n">
        <v>40.25964</v>
      </c>
      <c r="I2869" s="4" t="n">
        <v>-76.88392</v>
      </c>
      <c r="J2869" s="4" t="s">
        <v>11476</v>
      </c>
      <c r="K2869" s="6" t="str">
        <f aca="false">HYPERLINK("https://www.google.com/search?q=Dauphin+County+Library+System+Harrisburg+PA+library+website","Search")</f>
        <v>Search</v>
      </c>
      <c r="L2869" s="7"/>
      <c r="M2869" s="7"/>
    </row>
    <row r="2870" customFormat="false" ht="15" hidden="false" customHeight="true" outlineLevel="0" collapsed="false">
      <c r="A2870" s="4" t="s">
        <v>11231</v>
      </c>
      <c r="B2870" s="4" t="s">
        <v>11477</v>
      </c>
      <c r="C2870" s="4" t="s">
        <v>10376</v>
      </c>
      <c r="D2870" s="4" t="s">
        <v>11478</v>
      </c>
      <c r="E2870" s="5" t="n">
        <v>18002</v>
      </c>
      <c r="F2870" s="4" t="n">
        <v>1</v>
      </c>
      <c r="G2870" s="4" t="s">
        <v>11479</v>
      </c>
      <c r="H2870" s="4" t="n">
        <v>40.85984</v>
      </c>
      <c r="I2870" s="4" t="n">
        <v>-76.78967</v>
      </c>
      <c r="J2870" s="4" t="s">
        <v>11480</v>
      </c>
      <c r="K2870" s="6" t="str">
        <f aca="false">HYPERLINK("https://www.google.com/search?q=Degenstein+Community+Library+Sunbury+PA+library+website","Search")</f>
        <v>Search</v>
      </c>
      <c r="L2870" s="7"/>
      <c r="M2870" s="7"/>
    </row>
    <row r="2871" customFormat="false" ht="15" hidden="false" customHeight="true" outlineLevel="0" collapsed="false">
      <c r="A2871" s="4" t="s">
        <v>11231</v>
      </c>
      <c r="B2871" s="4" t="s">
        <v>11481</v>
      </c>
      <c r="C2871" s="4" t="s">
        <v>11482</v>
      </c>
      <c r="D2871" s="4" t="s">
        <v>6292</v>
      </c>
      <c r="E2871" s="5" t="n">
        <v>22566</v>
      </c>
      <c r="F2871" s="4" t="n">
        <v>1</v>
      </c>
      <c r="G2871" s="4" t="s">
        <v>11483</v>
      </c>
      <c r="H2871" s="4" t="n">
        <v>40.11299</v>
      </c>
      <c r="I2871" s="4" t="n">
        <v>-77.02982</v>
      </c>
      <c r="J2871" s="4" t="s">
        <v>11484</v>
      </c>
      <c r="K2871" s="6" t="str">
        <f aca="false">HYPERLINK("https://www.google.com/search?q=Dillsburg+Area+Public+Library+Dillsburg+PA+library+website","Search")</f>
        <v>Search</v>
      </c>
      <c r="L2871" s="7"/>
      <c r="M2871" s="7"/>
    </row>
    <row r="2872" customFormat="false" ht="15" hidden="false" customHeight="true" outlineLevel="0" collapsed="false">
      <c r="A2872" s="4" t="s">
        <v>11231</v>
      </c>
      <c r="B2872" s="4" t="s">
        <v>11485</v>
      </c>
      <c r="C2872" s="4" t="s">
        <v>11486</v>
      </c>
      <c r="D2872" s="4" t="s">
        <v>11487</v>
      </c>
      <c r="E2872" s="5" t="n">
        <v>19560</v>
      </c>
      <c r="F2872" s="4" t="n">
        <v>2</v>
      </c>
      <c r="G2872" s="4" t="s">
        <v>11488</v>
      </c>
      <c r="H2872" s="4" t="n">
        <v>40.86366</v>
      </c>
      <c r="I2872" s="4" t="n">
        <v>-75.73948</v>
      </c>
      <c r="J2872" s="4" t="s">
        <v>11489</v>
      </c>
      <c r="K2872" s="6" t="str">
        <f aca="false">HYPERLINK("https://www.google.com/search?q=Dimmick+Memorial+Library+Jim+Thorpe+PA+library+website","Search")</f>
        <v>Search</v>
      </c>
      <c r="L2872" s="7"/>
      <c r="M2872" s="7"/>
    </row>
    <row r="2873" customFormat="false" ht="15" hidden="false" customHeight="true" outlineLevel="0" collapsed="false">
      <c r="A2873" s="4" t="s">
        <v>11231</v>
      </c>
      <c r="B2873" s="4" t="s">
        <v>11490</v>
      </c>
      <c r="C2873" s="4" t="s">
        <v>11491</v>
      </c>
      <c r="D2873" s="4" t="s">
        <v>9374</v>
      </c>
      <c r="E2873" s="5" t="n">
        <v>44546</v>
      </c>
      <c r="F2873" s="4" t="n">
        <v>1</v>
      </c>
      <c r="G2873" s="4" t="s">
        <v>11492</v>
      </c>
      <c r="H2873" s="4" t="n">
        <v>40.0102</v>
      </c>
      <c r="I2873" s="4" t="n">
        <v>-75.70419</v>
      </c>
      <c r="J2873" s="4" t="s">
        <v>11493</v>
      </c>
      <c r="K2873" s="6" t="str">
        <f aca="false">HYPERLINK("https://www.google.com/search?q=Downingtown+Library+Company+Downingtown+PA+library+website","Search")</f>
        <v>Search</v>
      </c>
      <c r="L2873" s="7"/>
      <c r="M2873" s="7"/>
    </row>
    <row r="2874" customFormat="false" ht="15" hidden="false" customHeight="true" outlineLevel="0" collapsed="false">
      <c r="A2874" s="4" t="s">
        <v>11231</v>
      </c>
      <c r="B2874" s="4" t="s">
        <v>11494</v>
      </c>
      <c r="C2874" s="4" t="s">
        <v>4407</v>
      </c>
      <c r="D2874" s="4" t="s">
        <v>11426</v>
      </c>
      <c r="E2874" s="5" t="n">
        <v>19358</v>
      </c>
      <c r="F2874" s="4" t="n">
        <v>1</v>
      </c>
      <c r="G2874" s="4" t="s">
        <v>11495</v>
      </c>
      <c r="H2874" s="4" t="n">
        <v>41.11802</v>
      </c>
      <c r="I2874" s="4" t="n">
        <v>-78.76289</v>
      </c>
      <c r="J2874" s="4" t="s">
        <v>11496</v>
      </c>
      <c r="K2874" s="6" t="str">
        <f aca="false">HYPERLINK("https://www.google.com/search?q=Dubois+Public+Library+Dubois+PA+library+website","Search")</f>
        <v>Search</v>
      </c>
      <c r="L2874" s="7"/>
      <c r="M2874" s="7"/>
    </row>
    <row r="2875" customFormat="false" ht="15" hidden="false" customHeight="true" outlineLevel="0" collapsed="false">
      <c r="A2875" s="4" t="s">
        <v>11231</v>
      </c>
      <c r="B2875" s="4" t="s">
        <v>11497</v>
      </c>
      <c r="C2875" s="4" t="s">
        <v>11498</v>
      </c>
      <c r="D2875" s="4" t="s">
        <v>4923</v>
      </c>
      <c r="E2875" s="5" t="n">
        <v>25552</v>
      </c>
      <c r="F2875" s="4" t="n">
        <v>1</v>
      </c>
      <c r="G2875" s="4" t="s">
        <v>11499</v>
      </c>
      <c r="H2875" s="4" t="n">
        <v>40.1027</v>
      </c>
      <c r="I2875" s="4" t="n">
        <v>-76.07227</v>
      </c>
      <c r="J2875" s="4" t="s">
        <v>11500</v>
      </c>
      <c r="K2875" s="6" t="str">
        <f aca="false">HYPERLINK("https://www.google.com/search?q=Eastern+Lancaster+County+Lib+New+Holland+PA+library+website","Search")</f>
        <v>Search</v>
      </c>
      <c r="L2875" s="7"/>
      <c r="M2875" s="7"/>
    </row>
    <row r="2876" customFormat="false" ht="15" hidden="false" customHeight="true" outlineLevel="0" collapsed="false">
      <c r="A2876" s="4" t="s">
        <v>11231</v>
      </c>
      <c r="B2876" s="4" t="s">
        <v>11501</v>
      </c>
      <c r="C2876" s="4" t="s">
        <v>11502</v>
      </c>
      <c r="D2876" s="4" t="s">
        <v>311</v>
      </c>
      <c r="E2876" s="5" t="n">
        <v>89862</v>
      </c>
      <c r="F2876" s="4" t="n">
        <v>3</v>
      </c>
      <c r="G2876" s="4" t="s">
        <v>11503</v>
      </c>
      <c r="H2876" s="4" t="n">
        <v>40.9896</v>
      </c>
      <c r="I2876" s="4" t="n">
        <v>-75.21696</v>
      </c>
      <c r="J2876" s="4" t="s">
        <v>11504</v>
      </c>
      <c r="K2876" s="6" t="str">
        <f aca="false">HYPERLINK("https://www.google.com/search?q=Eastern+Monroe+Public+Library+Stroudsburg+PA+library+website","Search")</f>
        <v>Search</v>
      </c>
      <c r="L2876" s="7"/>
      <c r="M2876" s="7"/>
    </row>
    <row r="2877" customFormat="false" ht="15" hidden="false" customHeight="true" outlineLevel="0" collapsed="false">
      <c r="A2877" s="4" t="s">
        <v>11231</v>
      </c>
      <c r="B2877" s="4" t="s">
        <v>11505</v>
      </c>
      <c r="C2877" s="4" t="s">
        <v>6252</v>
      </c>
      <c r="D2877" s="4" t="s">
        <v>5666</v>
      </c>
      <c r="E2877" s="5" t="n">
        <v>69439</v>
      </c>
      <c r="F2877" s="4" t="n">
        <v>2</v>
      </c>
      <c r="G2877" s="4" t="s">
        <v>11506</v>
      </c>
      <c r="H2877" s="4" t="n">
        <v>40.69181</v>
      </c>
      <c r="I2877" s="4" t="n">
        <v>-75.21364</v>
      </c>
      <c r="J2877" s="4" t="s">
        <v>11507</v>
      </c>
      <c r="K2877" s="6" t="str">
        <f aca="false">HYPERLINK("https://www.google.com/search?q=Easton+Area+Public+Library+Easton+PA+library+website","Search")</f>
        <v>Search</v>
      </c>
      <c r="L2877" s="7"/>
      <c r="M2877" s="7"/>
    </row>
    <row r="2878" customFormat="false" ht="15" hidden="false" customHeight="true" outlineLevel="0" collapsed="false">
      <c r="A2878" s="4" t="s">
        <v>11231</v>
      </c>
      <c r="B2878" s="4" t="s">
        <v>11508</v>
      </c>
      <c r="C2878" s="4" t="s">
        <v>3358</v>
      </c>
      <c r="D2878" s="4" t="s">
        <v>9374</v>
      </c>
      <c r="E2878" s="5" t="n">
        <v>10984</v>
      </c>
      <c r="F2878" s="4" t="n">
        <v>1</v>
      </c>
      <c r="G2878" s="4" t="s">
        <v>11509</v>
      </c>
      <c r="H2878" s="4" t="n">
        <v>40.04421</v>
      </c>
      <c r="I2878" s="4" t="n">
        <v>-75.44158</v>
      </c>
      <c r="J2878" s="4" t="s">
        <v>11510</v>
      </c>
      <c r="K2878" s="6" t="str">
        <f aca="false">HYPERLINK("https://www.google.com/search?q=Easttown+Library+Berwyn+PA+library+website","Search")</f>
        <v>Search</v>
      </c>
      <c r="L2878" s="7"/>
      <c r="M2878" s="7"/>
    </row>
    <row r="2879" customFormat="false" ht="15" hidden="false" customHeight="true" outlineLevel="0" collapsed="false">
      <c r="A2879" s="4" t="s">
        <v>11231</v>
      </c>
      <c r="B2879" s="4" t="s">
        <v>11511</v>
      </c>
      <c r="C2879" s="4" t="s">
        <v>4957</v>
      </c>
      <c r="D2879" s="4" t="s">
        <v>4923</v>
      </c>
      <c r="E2879" s="5" t="n">
        <v>31985</v>
      </c>
      <c r="F2879" s="4" t="n">
        <v>1</v>
      </c>
      <c r="G2879" s="4" t="s">
        <v>11512</v>
      </c>
      <c r="H2879" s="4" t="n">
        <v>40.15108</v>
      </c>
      <c r="I2879" s="4" t="n">
        <v>-76.60574</v>
      </c>
      <c r="J2879" s="4" t="s">
        <v>11513</v>
      </c>
      <c r="K2879" s="6" t="str">
        <f aca="false">HYPERLINK("https://www.google.com/search?q=Elizabethtown+Public+Library+Elizabethtown+PA+library+website","Search")</f>
        <v>Search</v>
      </c>
      <c r="L2879" s="7"/>
      <c r="M2879" s="7"/>
    </row>
    <row r="2880" customFormat="false" ht="15" hidden="false" customHeight="true" outlineLevel="0" collapsed="false">
      <c r="A2880" s="4" t="s">
        <v>11231</v>
      </c>
      <c r="B2880" s="4" t="s">
        <v>11514</v>
      </c>
      <c r="C2880" s="4" t="s">
        <v>11515</v>
      </c>
      <c r="D2880" s="4" t="s">
        <v>279</v>
      </c>
      <c r="E2880" s="5" t="n">
        <v>16502</v>
      </c>
      <c r="F2880" s="4" t="n">
        <v>1</v>
      </c>
      <c r="G2880" s="4" t="s">
        <v>11516</v>
      </c>
      <c r="H2880" s="4" t="n">
        <v>40.85851</v>
      </c>
      <c r="I2880" s="4" t="n">
        <v>-80.28628</v>
      </c>
      <c r="J2880" s="4" t="s">
        <v>11517</v>
      </c>
      <c r="K2880" s="6" t="str">
        <f aca="false">HYPERLINK("https://www.google.com/search?q=Ellwood+City+Area+Pub+Library+Ellwood+City+PA+library+website","Search")</f>
        <v>Search</v>
      </c>
      <c r="L2880" s="7"/>
      <c r="M2880" s="7"/>
    </row>
    <row r="2881" customFormat="false" ht="15" hidden="false" customHeight="true" outlineLevel="0" collapsed="false">
      <c r="A2881" s="4" t="s">
        <v>11231</v>
      </c>
      <c r="B2881" s="4" t="s">
        <v>11518</v>
      </c>
      <c r="C2881" s="4" t="s">
        <v>11519</v>
      </c>
      <c r="D2881" s="4" t="s">
        <v>11257</v>
      </c>
      <c r="E2881" s="5" t="n">
        <v>22686</v>
      </c>
      <c r="F2881" s="4" t="n">
        <v>1</v>
      </c>
      <c r="G2881" s="4" t="s">
        <v>11520</v>
      </c>
      <c r="H2881" s="4" t="n">
        <v>40.54109</v>
      </c>
      <c r="I2881" s="4" t="n">
        <v>-75.48652</v>
      </c>
      <c r="J2881" s="4" t="s">
        <v>11521</v>
      </c>
      <c r="K2881" s="6" t="str">
        <f aca="false">HYPERLINK("https://www.google.com/search?q=Emmaus+Public+Library+Emmaus+PA+library+website","Search")</f>
        <v>Search</v>
      </c>
      <c r="L2881" s="7"/>
      <c r="M2881" s="7"/>
    </row>
    <row r="2882" customFormat="false" ht="15" hidden="false" customHeight="true" outlineLevel="0" collapsed="false">
      <c r="A2882" s="4" t="s">
        <v>11231</v>
      </c>
      <c r="B2882" s="4" t="s">
        <v>11522</v>
      </c>
      <c r="C2882" s="4" t="s">
        <v>11523</v>
      </c>
      <c r="D2882" s="4" t="s">
        <v>4923</v>
      </c>
      <c r="E2882" s="5" t="n">
        <v>35189</v>
      </c>
      <c r="F2882" s="4" t="n">
        <v>1</v>
      </c>
      <c r="G2882" s="4" t="s">
        <v>11524</v>
      </c>
      <c r="H2882" s="4" t="n">
        <v>40.17348</v>
      </c>
      <c r="I2882" s="4" t="n">
        <v>-76.19645</v>
      </c>
      <c r="J2882" s="4" t="s">
        <v>11525</v>
      </c>
      <c r="K2882" s="6" t="str">
        <f aca="false">HYPERLINK("https://www.google.com/search?q=Ephrata+Public+Library+Ephrata+PA+library+website","Search")</f>
        <v>Search</v>
      </c>
      <c r="L2882" s="7"/>
      <c r="M2882" s="7"/>
    </row>
    <row r="2883" customFormat="false" ht="15" hidden="false" customHeight="true" outlineLevel="0" collapsed="false">
      <c r="A2883" s="4" t="s">
        <v>11231</v>
      </c>
      <c r="B2883" s="4" t="s">
        <v>11526</v>
      </c>
      <c r="C2883" s="4" t="s">
        <v>9253</v>
      </c>
      <c r="D2883" s="4" t="s">
        <v>9253</v>
      </c>
      <c r="E2883" s="5" t="n">
        <v>237610</v>
      </c>
      <c r="F2883" s="4" t="n">
        <v>5</v>
      </c>
      <c r="G2883" s="4" t="s">
        <v>11527</v>
      </c>
      <c r="H2883" s="4" t="n">
        <v>42.13623</v>
      </c>
      <c r="I2883" s="4" t="n">
        <v>-80.08644</v>
      </c>
      <c r="J2883" s="4" t="s">
        <v>11528</v>
      </c>
      <c r="K2883" s="6" t="str">
        <f aca="false">HYPERLINK("https://www.google.com/search?q=Erie+County+Public+Library+Erie+PA+library+website","Search")</f>
        <v>Search</v>
      </c>
      <c r="L2883" s="7"/>
      <c r="M2883" s="8" t="str">
        <f aca="false">HYPERLINK("https://erielibrary.overdrive.com","https://erielibrary.overdrive.com")</f>
        <v>https://erielibrary.overdrive.com</v>
      </c>
    </row>
    <row r="2884" customFormat="false" ht="15" hidden="false" customHeight="true" outlineLevel="0" collapsed="false">
      <c r="A2884" s="4" t="s">
        <v>11231</v>
      </c>
      <c r="B2884" s="4" t="s">
        <v>11529</v>
      </c>
      <c r="C2884" s="4" t="s">
        <v>11530</v>
      </c>
      <c r="D2884" s="4" t="s">
        <v>591</v>
      </c>
      <c r="E2884" s="5" t="n">
        <v>24392</v>
      </c>
      <c r="F2884" s="4" t="n">
        <v>1</v>
      </c>
      <c r="G2884" s="4" t="s">
        <v>11531</v>
      </c>
      <c r="H2884" s="4" t="n">
        <v>39.89931</v>
      </c>
      <c r="I2884" s="4" t="n">
        <v>-80.19146</v>
      </c>
      <c r="J2884" s="4" t="s">
        <v>11532</v>
      </c>
      <c r="K2884" s="6" t="str">
        <f aca="false">HYPERLINK("https://www.google.com/search?q=Eva+K+Bowlby+Public+Library+Waynesburg+PA+library+website","Search")</f>
        <v>Search</v>
      </c>
      <c r="L2884" s="7"/>
      <c r="M2884" s="7"/>
    </row>
    <row r="2885" customFormat="false" ht="15" hidden="false" customHeight="true" outlineLevel="0" collapsed="false">
      <c r="A2885" s="4" t="s">
        <v>11231</v>
      </c>
      <c r="B2885" s="4" t="s">
        <v>11533</v>
      </c>
      <c r="C2885" s="4" t="s">
        <v>5643</v>
      </c>
      <c r="D2885" s="4" t="s">
        <v>4269</v>
      </c>
      <c r="E2885" s="5" t="n">
        <v>13013</v>
      </c>
      <c r="F2885" s="4" t="n">
        <v>1</v>
      </c>
      <c r="G2885" s="4" t="s">
        <v>11534</v>
      </c>
      <c r="H2885" s="4" t="n">
        <v>40.01185</v>
      </c>
      <c r="I2885" s="4" t="n">
        <v>-78.37105</v>
      </c>
      <c r="J2885" s="4" t="s">
        <v>11535</v>
      </c>
      <c r="K2885" s="6" t="str">
        <f aca="false">HYPERLINK("https://www.google.com/search?q=Everett+Free+Library+Everett+PA+library+website","Search")</f>
        <v>Search</v>
      </c>
      <c r="L2885" s="7"/>
      <c r="M2885" s="7"/>
    </row>
    <row r="2886" customFormat="false" ht="15" hidden="false" customHeight="true" outlineLevel="0" collapsed="false">
      <c r="A2886" s="4" t="s">
        <v>11231</v>
      </c>
      <c r="B2886" s="4" t="s">
        <v>11536</v>
      </c>
      <c r="C2886" s="4" t="s">
        <v>5948</v>
      </c>
      <c r="D2886" s="4" t="s">
        <v>11328</v>
      </c>
      <c r="E2886" s="5" t="n">
        <v>27358</v>
      </c>
      <c r="F2886" s="4" t="n">
        <v>1</v>
      </c>
      <c r="G2886" s="4" t="s">
        <v>11537</v>
      </c>
      <c r="H2886" s="4" t="n">
        <v>40.3044</v>
      </c>
      <c r="I2886" s="4" t="n">
        <v>-75.8629</v>
      </c>
      <c r="J2886" s="4" t="s">
        <v>11538</v>
      </c>
      <c r="K2886" s="6" t="str">
        <f aca="false">HYPERLINK("https://www.google.com/search?q=Exeter+Community+Library+Reading+PA+library+website","Search")</f>
        <v>Search</v>
      </c>
      <c r="L2886" s="7"/>
      <c r="M2886" s="7"/>
    </row>
    <row r="2887" customFormat="false" ht="15" hidden="false" customHeight="true" outlineLevel="0" collapsed="false">
      <c r="A2887" s="4" t="s">
        <v>11231</v>
      </c>
      <c r="B2887" s="4" t="s">
        <v>11539</v>
      </c>
      <c r="C2887" s="4" t="s">
        <v>11540</v>
      </c>
      <c r="D2887" s="4" t="s">
        <v>11295</v>
      </c>
      <c r="E2887" s="5" t="n">
        <v>12346</v>
      </c>
      <c r="F2887" s="4" t="n">
        <v>1</v>
      </c>
      <c r="G2887" s="4" t="s">
        <v>11541</v>
      </c>
      <c r="H2887" s="4" t="n">
        <v>40.46475</v>
      </c>
      <c r="I2887" s="4" t="n">
        <v>-80.05847</v>
      </c>
      <c r="J2887" s="4" t="s">
        <v>11542</v>
      </c>
      <c r="K2887" s="6" t="str">
        <f aca="false">HYPERLINK("https://www.google.com/search?q=F.O.R.+Sto-Rox+Library+Mckees+Rocks+PA+library+website","Search")</f>
        <v>Search</v>
      </c>
      <c r="L2887" s="7"/>
      <c r="M2887" s="7"/>
    </row>
    <row r="2888" customFormat="false" ht="15" hidden="false" customHeight="true" outlineLevel="0" collapsed="false">
      <c r="A2888" s="4" t="s">
        <v>11231</v>
      </c>
      <c r="B2888" s="4" t="s">
        <v>11543</v>
      </c>
      <c r="C2888" s="4" t="s">
        <v>11544</v>
      </c>
      <c r="D2888" s="4" t="s">
        <v>11328</v>
      </c>
      <c r="E2888" s="5" t="n">
        <v>16821</v>
      </c>
      <c r="F2888" s="4" t="n">
        <v>1</v>
      </c>
      <c r="G2888" s="4" t="s">
        <v>11545</v>
      </c>
      <c r="H2888" s="4" t="n">
        <v>40.45571</v>
      </c>
      <c r="I2888" s="4" t="n">
        <v>-75.82047</v>
      </c>
      <c r="J2888" s="4" t="s">
        <v>11546</v>
      </c>
      <c r="K2888" s="6" t="str">
        <f aca="false">HYPERLINK("https://www.google.com/search?q=Fleetwood+Area+Public+Library+Fleetwood+PA+library+website","Search")</f>
        <v>Search</v>
      </c>
      <c r="L2888" s="7"/>
      <c r="M2888" s="7"/>
    </row>
    <row r="2889" customFormat="false" ht="15" hidden="false" customHeight="true" outlineLevel="0" collapsed="false">
      <c r="A2889" s="4" t="s">
        <v>11231</v>
      </c>
      <c r="B2889" s="4" t="s">
        <v>11547</v>
      </c>
      <c r="C2889" s="4" t="s">
        <v>11548</v>
      </c>
      <c r="D2889" s="4" t="s">
        <v>591</v>
      </c>
      <c r="E2889" s="5" t="n">
        <v>11562</v>
      </c>
      <c r="F2889" s="4" t="n">
        <v>1</v>
      </c>
      <c r="G2889" s="4" t="s">
        <v>11549</v>
      </c>
      <c r="H2889" s="4" t="n">
        <v>39.89729</v>
      </c>
      <c r="I2889" s="4" t="n">
        <v>-79.97444</v>
      </c>
      <c r="J2889" s="4" t="s">
        <v>11550</v>
      </c>
      <c r="K2889" s="6" t="str">
        <f aca="false">HYPERLINK("https://www.google.com/search?q=Flenniken+Public+Library+Carmichaels+PA+library+website","Search")</f>
        <v>Search</v>
      </c>
      <c r="L2889" s="7"/>
      <c r="M2889" s="7"/>
    </row>
    <row r="2890" customFormat="false" ht="15" hidden="false" customHeight="true" outlineLevel="0" collapsed="false">
      <c r="A2890" s="4" t="s">
        <v>11231</v>
      </c>
      <c r="B2890" s="4" t="s">
        <v>11551</v>
      </c>
      <c r="C2890" s="4" t="s">
        <v>11552</v>
      </c>
      <c r="D2890" s="4" t="s">
        <v>441</v>
      </c>
      <c r="E2890" s="5" t="n">
        <v>40053</v>
      </c>
      <c r="F2890" s="4" t="n">
        <v>1</v>
      </c>
      <c r="G2890" s="4" t="s">
        <v>11553</v>
      </c>
      <c r="H2890" s="4" t="n">
        <v>40.25797</v>
      </c>
      <c r="I2890" s="4" t="n">
        <v>-80.18819</v>
      </c>
      <c r="J2890" s="4" t="s">
        <v>11554</v>
      </c>
      <c r="K2890" s="6" t="str">
        <f aca="false">HYPERLINK("https://www.google.com/search?q=Frank+Sarris+Public+Library+Canonsburg+PA+library+website","Search")</f>
        <v>Search</v>
      </c>
      <c r="L2890" s="7"/>
      <c r="M2890" s="7"/>
    </row>
    <row r="2891" customFormat="false" ht="15" hidden="false" customHeight="true" outlineLevel="0" collapsed="false">
      <c r="A2891" s="4" t="s">
        <v>11231</v>
      </c>
      <c r="B2891" s="4" t="s">
        <v>11555</v>
      </c>
      <c r="C2891" s="4" t="s">
        <v>11556</v>
      </c>
      <c r="D2891" s="4" t="s">
        <v>384</v>
      </c>
      <c r="E2891" s="5" t="n">
        <v>135038</v>
      </c>
      <c r="F2891" s="4" t="n">
        <v>6</v>
      </c>
      <c r="G2891" s="4" t="s">
        <v>11557</v>
      </c>
      <c r="H2891" s="4" t="n">
        <v>39.91918</v>
      </c>
      <c r="I2891" s="4" t="n">
        <v>-77.59259</v>
      </c>
      <c r="J2891" s="4" t="s">
        <v>11558</v>
      </c>
      <c r="K2891" s="6" t="str">
        <f aca="false">HYPERLINK("https://www.google.com/search?q=Franklin+Sys+Admin+Unit+Chambersburg+PA+library+website","Search")</f>
        <v>Search</v>
      </c>
      <c r="L2891" s="7"/>
      <c r="M2891" s="7"/>
    </row>
    <row r="2892" customFormat="false" ht="15" hidden="false" customHeight="true" outlineLevel="0" collapsed="false">
      <c r="A2892" s="4" t="s">
        <v>11231</v>
      </c>
      <c r="B2892" s="4" t="s">
        <v>11559</v>
      </c>
      <c r="C2892" s="4" t="s">
        <v>11560</v>
      </c>
      <c r="D2892" s="4" t="s">
        <v>11363</v>
      </c>
      <c r="E2892" s="5" t="n">
        <v>39915</v>
      </c>
      <c r="F2892" s="4" t="n">
        <v>1</v>
      </c>
      <c r="G2892" s="4" t="s">
        <v>11561</v>
      </c>
      <c r="H2892" s="4" t="n">
        <v>40.20893</v>
      </c>
      <c r="I2892" s="4" t="n">
        <v>-75.00896</v>
      </c>
      <c r="J2892" s="4" t="s">
        <v>11562</v>
      </c>
      <c r="K2892" s="6" t="str">
        <f aca="false">HYPERLINK("https://www.google.com/search?q=Free+Lib+Of+Northampton+Twp+Richboro+PA+library+website","Search")</f>
        <v>Search</v>
      </c>
      <c r="L2892" s="7"/>
      <c r="M2892" s="7"/>
    </row>
    <row r="2893" customFormat="false" ht="15" hidden="false" customHeight="true" outlineLevel="0" collapsed="false">
      <c r="A2893" s="4" t="s">
        <v>11231</v>
      </c>
      <c r="B2893" s="4" t="s">
        <v>11563</v>
      </c>
      <c r="C2893" s="4" t="s">
        <v>11564</v>
      </c>
      <c r="D2893" s="4" t="s">
        <v>11363</v>
      </c>
      <c r="E2893" s="5" t="n">
        <v>11321</v>
      </c>
      <c r="F2893" s="4" t="n">
        <v>1</v>
      </c>
      <c r="G2893" s="4" t="s">
        <v>11565</v>
      </c>
      <c r="H2893" s="4" t="n">
        <v>40.36373</v>
      </c>
      <c r="I2893" s="4" t="n">
        <v>-74.95518</v>
      </c>
      <c r="J2893" s="4" t="s">
        <v>11566</v>
      </c>
      <c r="K2893" s="6" t="str">
        <f aca="false">HYPERLINK("https://www.google.com/search?q=Free+Library+Of+New+Hope+%26+Solebury+New+Hope+PA+library+website","Search")</f>
        <v>Search</v>
      </c>
      <c r="L2893" s="7"/>
      <c r="M2893" s="7"/>
    </row>
    <row r="2894" customFormat="false" ht="15" hidden="false" customHeight="true" outlineLevel="0" collapsed="false">
      <c r="A2894" s="4" t="s">
        <v>11231</v>
      </c>
      <c r="B2894" s="4" t="s">
        <v>11567</v>
      </c>
      <c r="C2894" s="4" t="s">
        <v>7706</v>
      </c>
      <c r="D2894" s="4" t="s">
        <v>7706</v>
      </c>
      <c r="E2894" s="5" t="n">
        <v>1603797</v>
      </c>
      <c r="F2894" s="4" t="n">
        <v>53</v>
      </c>
      <c r="G2894" s="4" t="s">
        <v>11568</v>
      </c>
      <c r="H2894" s="4" t="n">
        <v>39.95922</v>
      </c>
      <c r="I2894" s="4" t="n">
        <v>-75.17108</v>
      </c>
      <c r="J2894" s="4" t="s">
        <v>11569</v>
      </c>
      <c r="K2894" s="6" t="str">
        <f aca="false">HYPERLINK("https://www.google.com/search?q=Free+Library+Of+Philadelphia+Philadelphia+PA+library+website","Search")</f>
        <v>Search</v>
      </c>
      <c r="L2894" s="7"/>
      <c r="M2894" s="8" t="str">
        <f aca="false">HYPERLINK("https://freelibrary.overdrive.com","https://freelibrary.overdrive.com")</f>
        <v>https://freelibrary.overdrive.com</v>
      </c>
    </row>
    <row r="2895" customFormat="false" ht="15" hidden="false" customHeight="true" outlineLevel="0" collapsed="false">
      <c r="A2895" s="4" t="s">
        <v>11231</v>
      </c>
      <c r="B2895" s="4" t="s">
        <v>11570</v>
      </c>
      <c r="C2895" s="4" t="s">
        <v>11571</v>
      </c>
      <c r="D2895" s="4" t="s">
        <v>315</v>
      </c>
      <c r="E2895" s="5" t="n">
        <v>20814</v>
      </c>
      <c r="F2895" s="4" t="n">
        <v>1</v>
      </c>
      <c r="G2895" s="4" t="s">
        <v>11572</v>
      </c>
      <c r="H2895" s="4" t="n">
        <v>40.09857</v>
      </c>
      <c r="I2895" s="4" t="n">
        <v>-75.19481</v>
      </c>
      <c r="J2895" s="4" t="s">
        <v>11573</v>
      </c>
      <c r="K2895" s="6" t="str">
        <f aca="false">HYPERLINK("https://www.google.com/search?q=Free+Library+Of+Springfield+Township+Wyndmoor+PA+library+website","Search")</f>
        <v>Search</v>
      </c>
      <c r="L2895" s="7"/>
      <c r="M2895" s="7"/>
    </row>
    <row r="2896" customFormat="false" ht="15" hidden="false" customHeight="true" outlineLevel="0" collapsed="false">
      <c r="A2896" s="4" t="s">
        <v>11231</v>
      </c>
      <c r="B2896" s="4" t="s">
        <v>11574</v>
      </c>
      <c r="C2896" s="4" t="s">
        <v>11575</v>
      </c>
      <c r="D2896" s="4" t="s">
        <v>2691</v>
      </c>
      <c r="E2896" s="5" t="n">
        <v>14556</v>
      </c>
      <c r="F2896" s="4" t="n">
        <v>2</v>
      </c>
      <c r="G2896" s="4" t="s">
        <v>11576</v>
      </c>
      <c r="H2896" s="4" t="n">
        <v>39.93548</v>
      </c>
      <c r="I2896" s="4" t="n">
        <v>-77.99939</v>
      </c>
      <c r="J2896" s="4" t="s">
        <v>11577</v>
      </c>
      <c r="K2896" s="6" t="str">
        <f aca="false">HYPERLINK("https://www.google.com/search?q=Fulton+County+Library+Mcconnellsburg+PA+library+website","Search")</f>
        <v>Search</v>
      </c>
      <c r="L2896" s="7"/>
      <c r="M2896" s="7"/>
    </row>
    <row r="2897" customFormat="false" ht="15" hidden="false" customHeight="true" outlineLevel="0" collapsed="false">
      <c r="A2897" s="4" t="s">
        <v>11231</v>
      </c>
      <c r="B2897" s="4" t="s">
        <v>11578</v>
      </c>
      <c r="C2897" s="4" t="s">
        <v>11579</v>
      </c>
      <c r="D2897" s="4" t="s">
        <v>11580</v>
      </c>
      <c r="E2897" s="5" t="n">
        <v>11828</v>
      </c>
      <c r="F2897" s="4" t="n">
        <v>1</v>
      </c>
      <c r="G2897" s="4" t="s">
        <v>11581</v>
      </c>
      <c r="H2897" s="4" t="n">
        <v>41.74578</v>
      </c>
      <c r="I2897" s="4" t="n">
        <v>-77.30436</v>
      </c>
      <c r="J2897" s="4" t="s">
        <v>11582</v>
      </c>
      <c r="K2897" s="6" t="str">
        <f aca="false">HYPERLINK("https://www.google.com/search?q=Green+Free+Library+Wellsboro+Wellsboro+PA+library+website","Search")</f>
        <v>Search</v>
      </c>
      <c r="L2897" s="7"/>
      <c r="M2897" s="7"/>
    </row>
    <row r="2898" customFormat="false" ht="15" hidden="false" customHeight="true" outlineLevel="0" collapsed="false">
      <c r="A2898" s="4" t="s">
        <v>11231</v>
      </c>
      <c r="B2898" s="4" t="s">
        <v>11583</v>
      </c>
      <c r="C2898" s="4" t="s">
        <v>4362</v>
      </c>
      <c r="D2898" s="4" t="s">
        <v>11241</v>
      </c>
      <c r="E2898" s="5" t="n">
        <v>73274</v>
      </c>
      <c r="F2898" s="4" t="n">
        <v>2</v>
      </c>
      <c r="G2898" s="4" t="s">
        <v>11584</v>
      </c>
      <c r="H2898" s="4" t="n">
        <v>40.30028</v>
      </c>
      <c r="I2898" s="4" t="n">
        <v>-79.54461</v>
      </c>
      <c r="J2898" s="4" t="s">
        <v>11585</v>
      </c>
      <c r="K2898" s="6" t="str">
        <f aca="false">HYPERLINK("https://www.google.com/search?q=Greensburg+Hempfield+Area+Lib+Greensburg+PA+library+website","Search")</f>
        <v>Search</v>
      </c>
      <c r="L2898" s="7"/>
      <c r="M2898" s="7"/>
    </row>
    <row r="2899" customFormat="false" ht="15" hidden="false" customHeight="true" outlineLevel="0" collapsed="false">
      <c r="A2899" s="4" t="s">
        <v>11231</v>
      </c>
      <c r="B2899" s="4" t="s">
        <v>11586</v>
      </c>
      <c r="C2899" s="4" t="s">
        <v>224</v>
      </c>
      <c r="D2899" s="4" t="s">
        <v>5095</v>
      </c>
      <c r="E2899" s="5" t="n">
        <v>10222</v>
      </c>
      <c r="F2899" s="4" t="n">
        <v>1</v>
      </c>
      <c r="G2899" s="4" t="s">
        <v>11587</v>
      </c>
      <c r="H2899" s="4" t="n">
        <v>41.408</v>
      </c>
      <c r="I2899" s="4" t="n">
        <v>-80.38009</v>
      </c>
      <c r="J2899" s="4" t="s">
        <v>11588</v>
      </c>
      <c r="K2899" s="6" t="str">
        <f aca="false">HYPERLINK("https://www.google.com/search?q=Greenville+Area+Public+Library+Greenville+PA+library+website","Search")</f>
        <v>Search</v>
      </c>
      <c r="L2899" s="7"/>
      <c r="M2899" s="7"/>
    </row>
    <row r="2900" customFormat="false" ht="15" hidden="false" customHeight="true" outlineLevel="0" collapsed="false">
      <c r="A2900" s="4" t="s">
        <v>11231</v>
      </c>
      <c r="B2900" s="4" t="s">
        <v>11589</v>
      </c>
      <c r="C2900" s="4" t="s">
        <v>10746</v>
      </c>
      <c r="D2900" s="4" t="s">
        <v>5095</v>
      </c>
      <c r="E2900" s="5" t="n">
        <v>14800</v>
      </c>
      <c r="F2900" s="4" t="n">
        <v>1</v>
      </c>
      <c r="G2900" s="4" t="s">
        <v>11590</v>
      </c>
      <c r="H2900" s="4" t="n">
        <v>41.15768</v>
      </c>
      <c r="I2900" s="4" t="n">
        <v>-80.08828</v>
      </c>
      <c r="J2900" s="4" t="s">
        <v>11591</v>
      </c>
      <c r="K2900" s="6" t="str">
        <f aca="false">HYPERLINK("https://www.google.com/search?q=Grove+City+Community+Library+Grove+City+PA+library+website","Search")</f>
        <v>Search</v>
      </c>
      <c r="L2900" s="7"/>
      <c r="M2900" s="7"/>
    </row>
    <row r="2901" customFormat="false" ht="15" hidden="false" customHeight="true" outlineLevel="0" collapsed="false">
      <c r="A2901" s="4" t="s">
        <v>11231</v>
      </c>
      <c r="B2901" s="4" t="s">
        <v>11592</v>
      </c>
      <c r="C2901" s="4" t="s">
        <v>5759</v>
      </c>
      <c r="D2901" s="4" t="s">
        <v>6292</v>
      </c>
      <c r="E2901" s="5" t="n">
        <v>50419</v>
      </c>
      <c r="F2901" s="4" t="n">
        <v>1</v>
      </c>
      <c r="G2901" s="4" t="s">
        <v>11593</v>
      </c>
      <c r="H2901" s="4" t="n">
        <v>39.80398</v>
      </c>
      <c r="I2901" s="4" t="n">
        <v>-76.98635</v>
      </c>
      <c r="J2901" s="4" t="s">
        <v>11594</v>
      </c>
      <c r="K2901" s="6" t="str">
        <f aca="false">HYPERLINK("https://www.google.com/search?q=Guthrie+Memorial+Library+-+Hanover%27S+Public+Library+Hanover+PA+library+website","Search")</f>
        <v>Search</v>
      </c>
      <c r="L2901" s="7"/>
      <c r="M2901" s="7"/>
    </row>
    <row r="2902" customFormat="false" ht="15" hidden="false" customHeight="true" outlineLevel="0" collapsed="false">
      <c r="A2902" s="4" t="s">
        <v>11231</v>
      </c>
      <c r="B2902" s="4" t="s">
        <v>9597</v>
      </c>
      <c r="C2902" s="4" t="s">
        <v>461</v>
      </c>
      <c r="D2902" s="4" t="s">
        <v>11328</v>
      </c>
      <c r="E2902" s="5" t="n">
        <v>16299</v>
      </c>
      <c r="F2902" s="4" t="n">
        <v>1</v>
      </c>
      <c r="G2902" s="4" t="s">
        <v>11595</v>
      </c>
      <c r="H2902" s="4" t="n">
        <v>40.55576</v>
      </c>
      <c r="I2902" s="4" t="n">
        <v>-75.9842</v>
      </c>
      <c r="J2902" s="4" t="s">
        <v>11596</v>
      </c>
      <c r="K2902" s="6" t="str">
        <f aca="false">HYPERLINK("https://www.google.com/search?q=Hamburg+Public+Library+Hamburg+PA+library+website","Search")</f>
        <v>Search</v>
      </c>
      <c r="L2902" s="7"/>
      <c r="M2902" s="7"/>
    </row>
    <row r="2903" customFormat="false" ht="15" hidden="false" customHeight="true" outlineLevel="0" collapsed="false">
      <c r="A2903" s="4" t="s">
        <v>11231</v>
      </c>
      <c r="B2903" s="4" t="s">
        <v>11597</v>
      </c>
      <c r="C2903" s="4" t="s">
        <v>11598</v>
      </c>
      <c r="D2903" s="4" t="s">
        <v>11295</v>
      </c>
      <c r="E2903" s="5" t="n">
        <v>18479</v>
      </c>
      <c r="F2903" s="4" t="n">
        <v>1</v>
      </c>
      <c r="G2903" s="4" t="s">
        <v>11599</v>
      </c>
      <c r="H2903" s="4" t="n">
        <v>40.58146</v>
      </c>
      <c r="I2903" s="4" t="n">
        <v>-79.9351</v>
      </c>
      <c r="J2903" s="4" t="s">
        <v>11600</v>
      </c>
      <c r="K2903" s="6" t="str">
        <f aca="false">HYPERLINK("https://www.google.com/search?q=Hampton+Community+Library+Allison+Park+PA+library+website","Search")</f>
        <v>Search</v>
      </c>
      <c r="L2903" s="7"/>
      <c r="M2903" s="7"/>
    </row>
    <row r="2904" customFormat="false" ht="15" hidden="false" customHeight="true" outlineLevel="0" collapsed="false">
      <c r="A2904" s="4" t="s">
        <v>11231</v>
      </c>
      <c r="B2904" s="4" t="s">
        <v>11601</v>
      </c>
      <c r="C2904" s="4" t="s">
        <v>11602</v>
      </c>
      <c r="D2904" s="4" t="s">
        <v>3041</v>
      </c>
      <c r="E2904" s="5" t="n">
        <v>50431</v>
      </c>
      <c r="F2904" s="4" t="n">
        <v>1</v>
      </c>
      <c r="G2904" s="4" t="s">
        <v>11603</v>
      </c>
      <c r="H2904" s="4" t="n">
        <v>39.98127</v>
      </c>
      <c r="I2904" s="4" t="n">
        <v>-75.30513</v>
      </c>
      <c r="J2904" s="4" t="s">
        <v>11604</v>
      </c>
      <c r="K2904" s="6" t="str">
        <f aca="false">HYPERLINK("https://www.google.com/search?q=Haverford+Township+Free+Library+Association+Havertown+PA+library+website","Search")</f>
        <v>Search</v>
      </c>
      <c r="L2904" s="7"/>
      <c r="M2904" s="7"/>
    </row>
    <row r="2905" customFormat="false" ht="15" hidden="false" customHeight="true" outlineLevel="0" collapsed="false">
      <c r="A2905" s="4" t="s">
        <v>11231</v>
      </c>
      <c r="B2905" s="4" t="s">
        <v>11605</v>
      </c>
      <c r="C2905" s="4" t="s">
        <v>11606</v>
      </c>
      <c r="D2905" s="4" t="s">
        <v>11290</v>
      </c>
      <c r="E2905" s="5" t="n">
        <v>78760</v>
      </c>
      <c r="F2905" s="4" t="n">
        <v>4</v>
      </c>
      <c r="G2905" s="4" t="s">
        <v>11607</v>
      </c>
      <c r="H2905" s="4" t="n">
        <v>40.95617</v>
      </c>
      <c r="I2905" s="4" t="n">
        <v>-75.97634</v>
      </c>
      <c r="J2905" s="4" t="s">
        <v>11608</v>
      </c>
      <c r="K2905" s="6" t="str">
        <f aca="false">HYPERLINK("https://www.google.com/search?q=Hazleton+Area+Public+Library+Hazleton+PA+library+website","Search")</f>
        <v>Search</v>
      </c>
      <c r="L2905" s="7"/>
      <c r="M2905" s="7"/>
    </row>
    <row r="2906" customFormat="false" ht="15" hidden="false" customHeight="true" outlineLevel="0" collapsed="false">
      <c r="A2906" s="4" t="s">
        <v>11231</v>
      </c>
      <c r="B2906" s="4" t="s">
        <v>11609</v>
      </c>
      <c r="C2906" s="4" t="s">
        <v>2150</v>
      </c>
      <c r="D2906" s="4" t="s">
        <v>3041</v>
      </c>
      <c r="E2906" s="5" t="n">
        <v>15542</v>
      </c>
      <c r="F2906" s="4" t="n">
        <v>1</v>
      </c>
      <c r="G2906" s="4" t="s">
        <v>11610</v>
      </c>
      <c r="H2906" s="4" t="n">
        <v>39.90439</v>
      </c>
      <c r="I2906" s="4" t="n">
        <v>-75.37526</v>
      </c>
      <c r="J2906" s="4" t="s">
        <v>11611</v>
      </c>
      <c r="K2906" s="6" t="str">
        <f aca="false">HYPERLINK("https://www.google.com/search?q=Helen+Kate+Furness+Fr+Library+Wallingford+PA+library+website","Search")</f>
        <v>Search</v>
      </c>
      <c r="L2906" s="7"/>
      <c r="M2906" s="7"/>
    </row>
    <row r="2907" customFormat="false" ht="15" hidden="false" customHeight="true" outlineLevel="0" collapsed="false">
      <c r="A2907" s="4" t="s">
        <v>11231</v>
      </c>
      <c r="B2907" s="4" t="s">
        <v>11612</v>
      </c>
      <c r="C2907" s="4" t="s">
        <v>11613</v>
      </c>
      <c r="D2907" s="4" t="s">
        <v>5666</v>
      </c>
      <c r="E2907" s="5" t="n">
        <v>17226</v>
      </c>
      <c r="F2907" s="4" t="n">
        <v>1</v>
      </c>
      <c r="G2907" s="4" t="s">
        <v>11614</v>
      </c>
      <c r="H2907" s="4" t="n">
        <v>40.57726</v>
      </c>
      <c r="I2907" s="4" t="n">
        <v>-75.33157</v>
      </c>
      <c r="J2907" s="4" t="s">
        <v>11615</v>
      </c>
      <c r="K2907" s="6" t="str">
        <f aca="false">HYPERLINK("https://www.google.com/search?q=Hellertown+Area+Library+Hellertown+PA+library+website","Search")</f>
        <v>Search</v>
      </c>
      <c r="L2907" s="7"/>
      <c r="M2907" s="7"/>
    </row>
    <row r="2908" customFormat="false" ht="15" hidden="false" customHeight="true" outlineLevel="0" collapsed="false">
      <c r="A2908" s="4" t="s">
        <v>11231</v>
      </c>
      <c r="B2908" s="4" t="s">
        <v>11616</v>
      </c>
      <c r="C2908" s="4" t="s">
        <v>11617</v>
      </c>
      <c r="D2908" s="4" t="s">
        <v>11474</v>
      </c>
      <c r="E2908" s="5" t="n">
        <v>24715</v>
      </c>
      <c r="F2908" s="4" t="n">
        <v>1</v>
      </c>
      <c r="G2908" s="4" t="s">
        <v>11618</v>
      </c>
      <c r="H2908" s="4" t="n">
        <v>40.27684</v>
      </c>
      <c r="I2908" s="4" t="n">
        <v>-76.64775</v>
      </c>
      <c r="J2908" s="4" t="s">
        <v>11619</v>
      </c>
      <c r="K2908" s="6" t="str">
        <f aca="false">HYPERLINK("https://www.google.com/search?q=Hershey+Public+Library+Hershey+PA+library+website","Search")</f>
        <v>Search</v>
      </c>
      <c r="L2908" s="7"/>
      <c r="M2908" s="7"/>
    </row>
    <row r="2909" customFormat="false" ht="15" hidden="false" customHeight="true" outlineLevel="0" collapsed="false">
      <c r="A2909" s="4" t="s">
        <v>11231</v>
      </c>
      <c r="B2909" s="4" t="s">
        <v>11620</v>
      </c>
      <c r="C2909" s="4" t="s">
        <v>9693</v>
      </c>
      <c r="D2909" s="4" t="s">
        <v>11376</v>
      </c>
      <c r="E2909" s="5" t="n">
        <v>14596</v>
      </c>
      <c r="F2909" s="4" t="n">
        <v>1</v>
      </c>
      <c r="G2909" s="4" t="s">
        <v>11621</v>
      </c>
      <c r="H2909" s="4" t="n">
        <v>40.26917</v>
      </c>
      <c r="I2909" s="4" t="n">
        <v>-78.83956</v>
      </c>
      <c r="J2909" s="4" t="s">
        <v>11622</v>
      </c>
      <c r="K2909" s="6" t="str">
        <f aca="false">HYPERLINK("https://www.google.com/search?q=Highland+Community+Library+Johnstown+PA+library+website","Search")</f>
        <v>Search</v>
      </c>
      <c r="L2909" s="7"/>
      <c r="M2909" s="7"/>
    </row>
    <row r="2910" customFormat="false" ht="15" hidden="false" customHeight="true" outlineLevel="0" collapsed="false">
      <c r="A2910" s="4" t="s">
        <v>11231</v>
      </c>
      <c r="B2910" s="4" t="s">
        <v>11623</v>
      </c>
      <c r="C2910" s="4" t="s">
        <v>11624</v>
      </c>
      <c r="D2910" s="4" t="s">
        <v>11261</v>
      </c>
      <c r="E2910" s="5" t="n">
        <v>24043</v>
      </c>
      <c r="F2910" s="4" t="n">
        <v>1</v>
      </c>
      <c r="G2910" s="4" t="s">
        <v>11625</v>
      </c>
      <c r="H2910" s="4" t="n">
        <v>40.44079</v>
      </c>
      <c r="I2910" s="4" t="n">
        <v>-78.40201</v>
      </c>
      <c r="J2910" s="4" t="s">
        <v>11626</v>
      </c>
      <c r="K2910" s="6" t="str">
        <f aca="false">HYPERLINK("https://www.google.com/search?q=Hollidaysburg+Area+Public+Library+Hollidaysburg+PA+library+website","Search")</f>
        <v>Search</v>
      </c>
      <c r="L2910" s="7"/>
      <c r="M2910" s="7"/>
    </row>
    <row r="2911" customFormat="false" ht="15" hidden="false" customHeight="true" outlineLevel="0" collapsed="false">
      <c r="A2911" s="4" t="s">
        <v>11231</v>
      </c>
      <c r="B2911" s="4" t="s">
        <v>11627</v>
      </c>
      <c r="C2911" s="4" t="s">
        <v>11628</v>
      </c>
      <c r="D2911" s="4" t="s">
        <v>9374</v>
      </c>
      <c r="E2911" s="5" t="n">
        <v>15747</v>
      </c>
      <c r="F2911" s="4" t="n">
        <v>1</v>
      </c>
      <c r="G2911" s="4" t="s">
        <v>11629</v>
      </c>
      <c r="H2911" s="4" t="n">
        <v>40.0882</v>
      </c>
      <c r="I2911" s="4" t="n">
        <v>-75.91676</v>
      </c>
      <c r="J2911" s="4" t="s">
        <v>11630</v>
      </c>
      <c r="K2911" s="6" t="str">
        <f aca="false">HYPERLINK("https://www.google.com/search?q=Honey+Brook+Community+Library+Honey+Brook+PA+library+website","Search")</f>
        <v>Search</v>
      </c>
      <c r="L2911" s="7"/>
      <c r="M2911" s="7"/>
    </row>
    <row r="2912" customFormat="false" ht="15" hidden="false" customHeight="true" outlineLevel="0" collapsed="false">
      <c r="A2912" s="4" t="s">
        <v>11231</v>
      </c>
      <c r="B2912" s="4" t="s">
        <v>11631</v>
      </c>
      <c r="C2912" s="4" t="s">
        <v>11632</v>
      </c>
      <c r="D2912" s="4" t="s">
        <v>315</v>
      </c>
      <c r="E2912" s="5" t="n">
        <v>26564</v>
      </c>
      <c r="F2912" s="4" t="n">
        <v>1</v>
      </c>
      <c r="G2912" s="4" t="s">
        <v>11633</v>
      </c>
      <c r="H2912" s="4" t="n">
        <v>40.19856</v>
      </c>
      <c r="I2912" s="4" t="n">
        <v>-75.17301</v>
      </c>
      <c r="J2912" s="4" t="s">
        <v>11634</v>
      </c>
      <c r="K2912" s="6" t="str">
        <f aca="false">HYPERLINK("https://www.google.com/search?q=Horsham+Township+Library+Horsham+PA+library+website","Search")</f>
        <v>Search</v>
      </c>
      <c r="L2912" s="7"/>
      <c r="M2912" s="7"/>
    </row>
    <row r="2913" customFormat="false" ht="15" hidden="false" customHeight="true" outlineLevel="0" collapsed="false">
      <c r="A2913" s="4" t="s">
        <v>11231</v>
      </c>
      <c r="B2913" s="4" t="s">
        <v>11635</v>
      </c>
      <c r="C2913" s="4" t="s">
        <v>5771</v>
      </c>
      <c r="D2913" s="4" t="s">
        <v>11290</v>
      </c>
      <c r="E2913" s="5" t="n">
        <v>31831</v>
      </c>
      <c r="F2913" s="4" t="n">
        <v>1</v>
      </c>
      <c r="G2913" s="4" t="s">
        <v>11636</v>
      </c>
      <c r="H2913" s="4" t="n">
        <v>41.2637</v>
      </c>
      <c r="I2913" s="4" t="n">
        <v>-75.89521</v>
      </c>
      <c r="J2913" s="4" t="s">
        <v>11637</v>
      </c>
      <c r="K2913" s="6" t="str">
        <f aca="false">HYPERLINK("https://www.google.com/search?q=Hoyt+Library+Kingston+PA+library+website","Search")</f>
        <v>Search</v>
      </c>
      <c r="L2913" s="7"/>
      <c r="M2913" s="7"/>
    </row>
    <row r="2914" customFormat="false" ht="15" hidden="false" customHeight="true" outlineLevel="0" collapsed="false">
      <c r="A2914" s="4" t="s">
        <v>11231</v>
      </c>
      <c r="B2914" s="4" t="s">
        <v>11638</v>
      </c>
      <c r="C2914" s="4" t="s">
        <v>11639</v>
      </c>
      <c r="D2914" s="4" t="s">
        <v>11639</v>
      </c>
      <c r="E2914" s="5" t="n">
        <v>44092</v>
      </c>
      <c r="F2914" s="4" t="n">
        <v>1</v>
      </c>
      <c r="G2914" s="4" t="s">
        <v>11640</v>
      </c>
      <c r="H2914" s="4" t="n">
        <v>40.48433</v>
      </c>
      <c r="I2914" s="4" t="n">
        <v>-78.01046</v>
      </c>
      <c r="J2914" s="4" t="s">
        <v>11641</v>
      </c>
      <c r="K2914" s="6" t="str">
        <f aca="false">HYPERLINK("https://www.google.com/search?q=Huntingdon+County+Library+Huntingdon+PA+library+website","Search")</f>
        <v>Search</v>
      </c>
      <c r="L2914" s="7"/>
      <c r="M2914" s="7"/>
    </row>
    <row r="2915" customFormat="false" ht="15" hidden="false" customHeight="true" outlineLevel="0" collapsed="false">
      <c r="A2915" s="4" t="s">
        <v>11231</v>
      </c>
      <c r="B2915" s="4" t="s">
        <v>11642</v>
      </c>
      <c r="C2915" s="4" t="s">
        <v>11643</v>
      </c>
      <c r="D2915" s="4" t="s">
        <v>315</v>
      </c>
      <c r="E2915" s="5" t="n">
        <v>13917</v>
      </c>
      <c r="F2915" s="4" t="n">
        <v>1</v>
      </c>
      <c r="G2915" s="4" t="s">
        <v>11644</v>
      </c>
      <c r="H2915" s="4" t="n">
        <v>40.1243</v>
      </c>
      <c r="I2915" s="4" t="n">
        <v>-75.06114</v>
      </c>
      <c r="J2915" s="4" t="s">
        <v>11645</v>
      </c>
      <c r="K2915" s="6" t="str">
        <f aca="false">HYPERLINK("https://www.google.com/search?q=Huntingdon+Valley+Library+Huntingdon+Valley+PA+library+website","Search")</f>
        <v>Search</v>
      </c>
      <c r="L2915" s="7"/>
      <c r="M2915" s="7"/>
    </row>
    <row r="2916" customFormat="false" ht="15" hidden="false" customHeight="true" outlineLevel="0" collapsed="false">
      <c r="A2916" s="4" t="s">
        <v>11231</v>
      </c>
      <c r="B2916" s="4" t="s">
        <v>11646</v>
      </c>
      <c r="C2916" s="4" t="s">
        <v>11647</v>
      </c>
      <c r="D2916" s="4" t="s">
        <v>315</v>
      </c>
      <c r="E2916" s="5" t="n">
        <v>44309</v>
      </c>
      <c r="F2916" s="4" t="n">
        <v>1</v>
      </c>
      <c r="G2916" s="4" t="s">
        <v>11648</v>
      </c>
      <c r="H2916" s="4" t="n">
        <v>40.32938</v>
      </c>
      <c r="I2916" s="4" t="n">
        <v>-75.33206</v>
      </c>
      <c r="J2916" s="4" t="s">
        <v>11649</v>
      </c>
      <c r="K2916" s="6" t="str">
        <f aca="false">HYPERLINK("https://www.google.com/search?q=Indian+Valley+Public+Library+Telford+PA+library+website","Search")</f>
        <v>Search</v>
      </c>
      <c r="L2916" s="7"/>
      <c r="M2916" s="7"/>
    </row>
    <row r="2917" customFormat="false" ht="15" hidden="false" customHeight="true" outlineLevel="0" collapsed="false">
      <c r="A2917" s="4" t="s">
        <v>11231</v>
      </c>
      <c r="B2917" s="4" t="s">
        <v>11650</v>
      </c>
      <c r="C2917" s="4" t="s">
        <v>11651</v>
      </c>
      <c r="D2917" s="4" t="s">
        <v>11651</v>
      </c>
      <c r="E2917" s="5" t="n">
        <v>32243</v>
      </c>
      <c r="F2917" s="4" t="n">
        <v>1</v>
      </c>
      <c r="G2917" s="4" t="s">
        <v>11652</v>
      </c>
      <c r="H2917" s="4" t="n">
        <v>40.62304</v>
      </c>
      <c r="I2917" s="4" t="n">
        <v>-79.15521</v>
      </c>
      <c r="J2917" s="4" t="s">
        <v>11653</v>
      </c>
      <c r="K2917" s="6" t="str">
        <f aca="false">HYPERLINK("https://www.google.com/search?q=Indiana+Free+Library+Inc+Indiana+PA+library+website","Search")</f>
        <v>Search</v>
      </c>
      <c r="L2917" s="7"/>
      <c r="M2917" s="7"/>
    </row>
    <row r="2918" customFormat="false" ht="15" hidden="false" customHeight="true" outlineLevel="0" collapsed="false">
      <c r="A2918" s="4" t="s">
        <v>11231</v>
      </c>
      <c r="B2918" s="4" t="s">
        <v>11654</v>
      </c>
      <c r="C2918" s="4" t="s">
        <v>11655</v>
      </c>
      <c r="D2918" s="4" t="s">
        <v>4923</v>
      </c>
      <c r="E2918" s="5" t="n">
        <v>22818</v>
      </c>
      <c r="F2918" s="4" t="n">
        <v>2</v>
      </c>
      <c r="G2918" s="4" t="s">
        <v>11656</v>
      </c>
      <c r="H2918" s="4" t="n">
        <v>40.03658</v>
      </c>
      <c r="I2918" s="4" t="n">
        <v>-76.10899</v>
      </c>
      <c r="J2918" s="4" t="s">
        <v>11657</v>
      </c>
      <c r="K2918" s="6" t="str">
        <f aca="false">HYPERLINK("https://www.google.com/search?q=Intercourse+Library+Intercourse+PA+library+website","Search")</f>
        <v>Search</v>
      </c>
      <c r="L2918" s="7"/>
      <c r="M2918" s="7"/>
    </row>
    <row r="2919" customFormat="false" ht="15" hidden="false" customHeight="true" outlineLevel="0" collapsed="false">
      <c r="A2919" s="4" t="s">
        <v>11231</v>
      </c>
      <c r="B2919" s="4" t="s">
        <v>11658</v>
      </c>
      <c r="C2919" s="4" t="s">
        <v>9374</v>
      </c>
      <c r="D2919" s="4" t="s">
        <v>3041</v>
      </c>
      <c r="E2919" s="5" t="n">
        <v>32605</v>
      </c>
      <c r="F2919" s="4" t="n">
        <v>1</v>
      </c>
      <c r="G2919" s="4" t="s">
        <v>11659</v>
      </c>
      <c r="H2919" s="4" t="n">
        <v>39.83793</v>
      </c>
      <c r="I2919" s="4" t="n">
        <v>-75.38718</v>
      </c>
      <c r="J2919" s="4" t="s">
        <v>11660</v>
      </c>
      <c r="K2919" s="6" t="str">
        <f aca="false">HYPERLINK("https://www.google.com/search?q=J.+Lewis+Crozer+Library+Chester+PA+library+website","Search")</f>
        <v>Search</v>
      </c>
      <c r="L2919" s="7"/>
      <c r="M2919" s="7"/>
    </row>
    <row r="2920" customFormat="false" ht="15" hidden="false" customHeight="true" outlineLevel="0" collapsed="false">
      <c r="A2920" s="4" t="s">
        <v>11231</v>
      </c>
      <c r="B2920" s="4" t="s">
        <v>11661</v>
      </c>
      <c r="C2920" s="4" t="s">
        <v>11662</v>
      </c>
      <c r="D2920" s="4" t="s">
        <v>11663</v>
      </c>
      <c r="E2920" s="5" t="n">
        <v>82529</v>
      </c>
      <c r="F2920" s="4" t="n">
        <v>1</v>
      </c>
      <c r="G2920" s="4" t="s">
        <v>11664</v>
      </c>
      <c r="H2920" s="4" t="n">
        <v>41.2425</v>
      </c>
      <c r="I2920" s="4" t="n">
        <v>-77.00168</v>
      </c>
      <c r="J2920" s="4" t="s">
        <v>11665</v>
      </c>
      <c r="K2920" s="6" t="str">
        <f aca="false">HYPERLINK("https://www.google.com/search?q=James+V+Brown+Library+Williamsport+PA+library+website","Search")</f>
        <v>Search</v>
      </c>
      <c r="L2920" s="7"/>
      <c r="M2920" s="7"/>
    </row>
    <row r="2921" customFormat="false" ht="15" hidden="false" customHeight="true" outlineLevel="0" collapsed="false">
      <c r="A2921" s="4" t="s">
        <v>11231</v>
      </c>
      <c r="B2921" s="4" t="s">
        <v>11666</v>
      </c>
      <c r="C2921" s="4" t="s">
        <v>11667</v>
      </c>
      <c r="D2921" s="4" t="s">
        <v>11241</v>
      </c>
      <c r="E2921" s="5" t="n">
        <v>12948</v>
      </c>
      <c r="F2921" s="4" t="n">
        <v>1</v>
      </c>
      <c r="G2921" s="4" t="s">
        <v>11668</v>
      </c>
      <c r="H2921" s="4" t="n">
        <v>40.32823</v>
      </c>
      <c r="I2921" s="4" t="n">
        <v>-79.61781</v>
      </c>
      <c r="J2921" s="4" t="s">
        <v>11669</v>
      </c>
      <c r="K2921" s="6" t="str">
        <f aca="false">HYPERLINK("https://www.google.com/search?q=Jeannette+Public+Library+Jeannette+PA+library+website","Search")</f>
        <v>Search</v>
      </c>
      <c r="L2921" s="7"/>
      <c r="M2921" s="7"/>
    </row>
    <row r="2922" customFormat="false" ht="15" hidden="false" customHeight="true" outlineLevel="0" collapsed="false">
      <c r="A2922" s="4" t="s">
        <v>11231</v>
      </c>
      <c r="B2922" s="4" t="s">
        <v>11670</v>
      </c>
      <c r="C2922" s="4" t="s">
        <v>11671</v>
      </c>
      <c r="D2922" s="4" t="s">
        <v>11295</v>
      </c>
      <c r="E2922" s="5" t="n">
        <v>12424</v>
      </c>
      <c r="F2922" s="4" t="n">
        <v>1</v>
      </c>
      <c r="G2922" s="4" t="s">
        <v>11672</v>
      </c>
      <c r="H2922" s="4" t="n">
        <v>40.29654</v>
      </c>
      <c r="I2922" s="4" t="n">
        <v>-79.9297</v>
      </c>
      <c r="J2922" s="4" t="s">
        <v>11673</v>
      </c>
      <c r="K2922" s="6" t="str">
        <f aca="false">HYPERLINK("https://www.google.com/search?q=Jefferson+Hills+Public+Library+Jefferson+Hills+PA+library+website","Search")</f>
        <v>Search</v>
      </c>
      <c r="L2922" s="7"/>
      <c r="M2922" s="7"/>
    </row>
    <row r="2923" customFormat="false" ht="15" hidden="false" customHeight="true" outlineLevel="0" collapsed="false">
      <c r="A2923" s="4" t="s">
        <v>11231</v>
      </c>
      <c r="B2923" s="4" t="s">
        <v>11674</v>
      </c>
      <c r="C2923" s="4" t="s">
        <v>11675</v>
      </c>
      <c r="D2923" s="4" t="s">
        <v>6161</v>
      </c>
      <c r="E2923" s="5" t="n">
        <v>11550</v>
      </c>
      <c r="F2923" s="4" t="n">
        <v>1</v>
      </c>
      <c r="G2923" s="4" t="s">
        <v>11676</v>
      </c>
      <c r="H2923" s="4" t="n">
        <v>40.1713</v>
      </c>
      <c r="I2923" s="4" t="n">
        <v>-77.40052</v>
      </c>
      <c r="J2923" s="4" t="s">
        <v>11677</v>
      </c>
      <c r="K2923" s="6" t="str">
        <f aca="false">HYPERLINK("https://www.google.com/search?q=John+Graham+Public+Library+Newville+PA+library+website","Search")</f>
        <v>Search</v>
      </c>
      <c r="L2923" s="7"/>
      <c r="M2923" s="7"/>
    </row>
    <row r="2924" customFormat="false" ht="15" hidden="false" customHeight="true" outlineLevel="0" collapsed="false">
      <c r="A2924" s="4" t="s">
        <v>11231</v>
      </c>
      <c r="B2924" s="4" t="s">
        <v>11678</v>
      </c>
      <c r="C2924" s="4" t="s">
        <v>11679</v>
      </c>
      <c r="D2924" s="4" t="s">
        <v>441</v>
      </c>
      <c r="E2924" s="5" t="n">
        <v>11732</v>
      </c>
      <c r="F2924" s="4" t="n">
        <v>1</v>
      </c>
      <c r="G2924" s="4" t="s">
        <v>11680</v>
      </c>
      <c r="H2924" s="4" t="n">
        <v>40.13994</v>
      </c>
      <c r="I2924" s="4" t="n">
        <v>-79.90038</v>
      </c>
      <c r="J2924" s="4" t="s">
        <v>11681</v>
      </c>
      <c r="K2924" s="6" t="str">
        <f aca="false">HYPERLINK("https://www.google.com/search?q=John+K+Tener+Library+Charleroi+PA+library+website","Search")</f>
        <v>Search</v>
      </c>
      <c r="L2924" s="7"/>
      <c r="M2924" s="7"/>
    </row>
    <row r="2925" customFormat="false" ht="15" hidden="false" customHeight="true" outlineLevel="0" collapsed="false">
      <c r="A2925" s="4" t="s">
        <v>11231</v>
      </c>
      <c r="B2925" s="4" t="s">
        <v>11682</v>
      </c>
      <c r="C2925" s="4" t="s">
        <v>11426</v>
      </c>
      <c r="D2925" s="4" t="s">
        <v>11426</v>
      </c>
      <c r="E2925" s="5" t="n">
        <v>16303</v>
      </c>
      <c r="F2925" s="4" t="n">
        <v>1</v>
      </c>
      <c r="G2925" s="4" t="s">
        <v>11683</v>
      </c>
      <c r="H2925" s="4" t="n">
        <v>41.02165</v>
      </c>
      <c r="I2925" s="4" t="n">
        <v>-78.4399</v>
      </c>
      <c r="J2925" s="4" t="s">
        <v>11684</v>
      </c>
      <c r="K2925" s="6" t="str">
        <f aca="false">HYPERLINK("https://www.google.com/search?q=Joseph+%26+Elizabeth+Shaw+Public+Library+Clearfield+PA+library+website","Search")</f>
        <v>Search</v>
      </c>
      <c r="L2925" s="7"/>
      <c r="M2925" s="7"/>
    </row>
    <row r="2926" customFormat="false" ht="15" hidden="false" customHeight="true" outlineLevel="0" collapsed="false">
      <c r="A2926" s="4" t="s">
        <v>11231</v>
      </c>
      <c r="B2926" s="4" t="s">
        <v>11685</v>
      </c>
      <c r="C2926" s="4" t="s">
        <v>11686</v>
      </c>
      <c r="D2926" s="4" t="s">
        <v>6161</v>
      </c>
      <c r="E2926" s="5" t="n">
        <v>59915</v>
      </c>
      <c r="F2926" s="4" t="n">
        <v>1</v>
      </c>
      <c r="G2926" s="4" t="s">
        <v>11687</v>
      </c>
      <c r="H2926" s="4" t="n">
        <v>40.21557</v>
      </c>
      <c r="I2926" s="4" t="n">
        <v>-77.00323</v>
      </c>
      <c r="J2926" s="4" t="s">
        <v>11688</v>
      </c>
      <c r="K2926" s="6" t="str">
        <f aca="false">HYPERLINK("https://www.google.com/search?q=Joseph+T.+Simpson+Public+Library+Mechanicsburg+PA+library+website","Search")</f>
        <v>Search</v>
      </c>
      <c r="L2926" s="7"/>
      <c r="M2926" s="7"/>
    </row>
    <row r="2927" customFormat="false" ht="15" hidden="false" customHeight="true" outlineLevel="0" collapsed="false">
      <c r="A2927" s="4" t="s">
        <v>11231</v>
      </c>
      <c r="B2927" s="4" t="s">
        <v>11689</v>
      </c>
      <c r="C2927" s="4" t="s">
        <v>11690</v>
      </c>
      <c r="D2927" s="4" t="s">
        <v>11691</v>
      </c>
      <c r="E2927" s="5" t="n">
        <v>23509</v>
      </c>
      <c r="F2927" s="4" t="n">
        <v>1</v>
      </c>
      <c r="G2927" s="4" t="s">
        <v>11692</v>
      </c>
      <c r="H2927" s="4" t="n">
        <v>40.56986</v>
      </c>
      <c r="I2927" s="4" t="n">
        <v>-77.39205</v>
      </c>
      <c r="J2927" s="4" t="s">
        <v>11693</v>
      </c>
      <c r="K2927" s="6" t="str">
        <f aca="false">HYPERLINK("https://www.google.com/search?q=Juniata+County+Library+Mifflintown+PA+library+website","Search")</f>
        <v>Search</v>
      </c>
      <c r="L2927" s="7"/>
      <c r="M2927" s="7"/>
    </row>
    <row r="2928" customFormat="false" ht="15" hidden="false" customHeight="true" outlineLevel="0" collapsed="false">
      <c r="A2928" s="4" t="s">
        <v>11231</v>
      </c>
      <c r="B2928" s="4" t="s">
        <v>11694</v>
      </c>
      <c r="C2928" s="4" t="s">
        <v>11695</v>
      </c>
      <c r="D2928" s="4" t="s">
        <v>6292</v>
      </c>
      <c r="E2928" s="5" t="n">
        <v>71227</v>
      </c>
      <c r="F2928" s="4" t="n">
        <v>1</v>
      </c>
      <c r="G2928" s="4" t="s">
        <v>11696</v>
      </c>
      <c r="H2928" s="4" t="n">
        <v>39.89827</v>
      </c>
      <c r="I2928" s="4" t="n">
        <v>-76.6058</v>
      </c>
      <c r="J2928" s="4" t="s">
        <v>11697</v>
      </c>
      <c r="K2928" s="6" t="str">
        <f aca="false">HYPERLINK("https://www.google.com/search?q=Kaltreider-Benfer+Library+Red+Lion+PA+library+website","Search")</f>
        <v>Search</v>
      </c>
      <c r="L2928" s="7"/>
      <c r="M2928" s="7"/>
    </row>
    <row r="2929" customFormat="false" ht="15" hidden="false" customHeight="true" outlineLevel="0" collapsed="false">
      <c r="A2929" s="4" t="s">
        <v>11231</v>
      </c>
      <c r="B2929" s="4" t="s">
        <v>11698</v>
      </c>
      <c r="C2929" s="4" t="s">
        <v>11699</v>
      </c>
      <c r="D2929" s="4" t="s">
        <v>9374</v>
      </c>
      <c r="E2929" s="5" t="n">
        <v>43402</v>
      </c>
      <c r="F2929" s="4" t="n">
        <v>1</v>
      </c>
      <c r="G2929" s="4" t="s">
        <v>11700</v>
      </c>
      <c r="H2929" s="4" t="n">
        <v>39.84707</v>
      </c>
      <c r="I2929" s="4" t="n">
        <v>-75.70953</v>
      </c>
      <c r="J2929" s="4" t="s">
        <v>11701</v>
      </c>
      <c r="K2929" s="6" t="str">
        <f aca="false">HYPERLINK("https://www.google.com/search?q=Kennett+Library+Kennett+Square+PA+library+website","Search")</f>
        <v>Search</v>
      </c>
      <c r="L2929" s="7"/>
      <c r="M2929" s="7"/>
    </row>
    <row r="2930" customFormat="false" ht="15" hidden="false" customHeight="true" outlineLevel="0" collapsed="false">
      <c r="A2930" s="4" t="s">
        <v>11231</v>
      </c>
      <c r="B2930" s="4" t="s">
        <v>11702</v>
      </c>
      <c r="C2930" s="4" t="s">
        <v>11703</v>
      </c>
      <c r="D2930" s="4" t="s">
        <v>11328</v>
      </c>
      <c r="E2930" s="5" t="n">
        <v>16870</v>
      </c>
      <c r="F2930" s="4" t="n">
        <v>1</v>
      </c>
      <c r="G2930" s="4" t="s">
        <v>11704</v>
      </c>
      <c r="H2930" s="4" t="n">
        <v>40.51607</v>
      </c>
      <c r="I2930" s="4" t="n">
        <v>-75.77508</v>
      </c>
      <c r="J2930" s="4" t="s">
        <v>11705</v>
      </c>
      <c r="K2930" s="6" t="str">
        <f aca="false">HYPERLINK("https://www.google.com/search?q=Kutztown+Community+Library+Kutztown+PA+library+website","Search")</f>
        <v>Search</v>
      </c>
      <c r="L2930" s="7"/>
      <c r="M2930" s="7"/>
    </row>
    <row r="2931" customFormat="false" ht="15" hidden="false" customHeight="true" outlineLevel="0" collapsed="false">
      <c r="A2931" s="4" t="s">
        <v>11231</v>
      </c>
      <c r="B2931" s="4" t="s">
        <v>9714</v>
      </c>
      <c r="C2931" s="4" t="s">
        <v>4923</v>
      </c>
      <c r="D2931" s="4" t="s">
        <v>4923</v>
      </c>
      <c r="E2931" s="5" t="n">
        <v>214988</v>
      </c>
      <c r="F2931" s="4" t="n">
        <v>2</v>
      </c>
      <c r="G2931" s="4" t="s">
        <v>11706</v>
      </c>
      <c r="H2931" s="4" t="n">
        <v>40.04057</v>
      </c>
      <c r="I2931" s="4" t="n">
        <v>-76.30408</v>
      </c>
      <c r="J2931" s="4" t="s">
        <v>11707</v>
      </c>
      <c r="K2931" s="6" t="str">
        <f aca="false">HYPERLINK("https://www.google.com/search?q=Lancaster+Public+Library+Lancaster+PA+library+website","Search")</f>
        <v>Search</v>
      </c>
      <c r="L2931" s="7"/>
      <c r="M2931" s="7"/>
    </row>
    <row r="2932" customFormat="false" ht="15" hidden="false" customHeight="true" outlineLevel="0" collapsed="false">
      <c r="A2932" s="4" t="s">
        <v>11231</v>
      </c>
      <c r="B2932" s="4" t="s">
        <v>11708</v>
      </c>
      <c r="C2932" s="4" t="s">
        <v>11709</v>
      </c>
      <c r="D2932" s="4" t="s">
        <v>3041</v>
      </c>
      <c r="E2932" s="5" t="n">
        <v>11107</v>
      </c>
      <c r="F2932" s="4" t="n">
        <v>1</v>
      </c>
      <c r="G2932" s="4" t="s">
        <v>11710</v>
      </c>
      <c r="H2932" s="4" t="n">
        <v>39.9364</v>
      </c>
      <c r="I2932" s="4" t="n">
        <v>-75.27188</v>
      </c>
      <c r="J2932" s="4" t="s">
        <v>11711</v>
      </c>
      <c r="K2932" s="6" t="str">
        <f aca="false">HYPERLINK("https://www.google.com/search?q=Lansdowne+Public+Library+Lansdowne+PA+library+website","Search")</f>
        <v>Search</v>
      </c>
      <c r="L2932" s="7"/>
      <c r="M2932" s="7"/>
    </row>
    <row r="2933" customFormat="false" ht="15" hidden="false" customHeight="true" outlineLevel="0" collapsed="false">
      <c r="A2933" s="4" t="s">
        <v>11231</v>
      </c>
      <c r="B2933" s="4" t="s">
        <v>11712</v>
      </c>
      <c r="C2933" s="4" t="s">
        <v>11713</v>
      </c>
      <c r="D2933" s="4" t="s">
        <v>11286</v>
      </c>
      <c r="E2933" s="5" t="n">
        <v>10543</v>
      </c>
      <c r="F2933" s="4" t="n">
        <v>1</v>
      </c>
      <c r="G2933" s="4" t="s">
        <v>11714</v>
      </c>
      <c r="H2933" s="4" t="n">
        <v>40.59281</v>
      </c>
      <c r="I2933" s="4" t="n">
        <v>-80.2318</v>
      </c>
      <c r="J2933" s="4" t="s">
        <v>11715</v>
      </c>
      <c r="K2933" s="6" t="str">
        <f aca="false">HYPERLINK("https://www.google.com/search?q=Laughlin+Memorial+Free+Library+Ambridge+PA+library+website","Search")</f>
        <v>Search</v>
      </c>
      <c r="L2933" s="7"/>
      <c r="M2933" s="7"/>
    </row>
    <row r="2934" customFormat="false" ht="15" hidden="false" customHeight="true" outlineLevel="0" collapsed="false">
      <c r="A2934" s="4" t="s">
        <v>11231</v>
      </c>
      <c r="B2934" s="4" t="s">
        <v>11716</v>
      </c>
      <c r="C2934" s="4" t="s">
        <v>4459</v>
      </c>
      <c r="D2934" s="4" t="s">
        <v>4459</v>
      </c>
      <c r="E2934" s="5" t="n">
        <v>65382</v>
      </c>
      <c r="F2934" s="4" t="n">
        <v>1</v>
      </c>
      <c r="G2934" s="4" t="s">
        <v>11717</v>
      </c>
      <c r="H2934" s="4" t="n">
        <v>40.34105</v>
      </c>
      <c r="I2934" s="4" t="n">
        <v>-76.42223</v>
      </c>
      <c r="J2934" s="4" t="s">
        <v>11718</v>
      </c>
      <c r="K2934" s="6" t="str">
        <f aca="false">HYPERLINK("https://www.google.com/search?q=Lebanon+Community+Library+Lebanon+PA+library+website","Search")</f>
        <v>Search</v>
      </c>
      <c r="L2934" s="7"/>
      <c r="M2934" s="7"/>
    </row>
    <row r="2935" customFormat="false" ht="15" hidden="false" customHeight="true" outlineLevel="0" collapsed="false">
      <c r="A2935" s="4" t="s">
        <v>11231</v>
      </c>
      <c r="B2935" s="4" t="s">
        <v>11719</v>
      </c>
      <c r="C2935" s="4" t="s">
        <v>11720</v>
      </c>
      <c r="D2935" s="4" t="s">
        <v>11487</v>
      </c>
      <c r="E2935" s="5" t="n">
        <v>17442</v>
      </c>
      <c r="F2935" s="4" t="n">
        <v>1</v>
      </c>
      <c r="G2935" s="4" t="s">
        <v>11721</v>
      </c>
      <c r="H2935" s="4" t="n">
        <v>40.83463</v>
      </c>
      <c r="I2935" s="4" t="n">
        <v>-75.70946</v>
      </c>
      <c r="J2935" s="4" t="s">
        <v>11722</v>
      </c>
      <c r="K2935" s="6" t="str">
        <f aca="false">HYPERLINK("https://www.google.com/search?q=Lehighton+Area+Memorial+Library+Lehighton+PA+library+website","Search")</f>
        <v>Search</v>
      </c>
      <c r="L2935" s="7"/>
      <c r="M2935" s="7"/>
    </row>
    <row r="2936" customFormat="false" ht="15" hidden="false" customHeight="true" outlineLevel="0" collapsed="false">
      <c r="A2936" s="4" t="s">
        <v>11231</v>
      </c>
      <c r="B2936" s="4" t="s">
        <v>11723</v>
      </c>
      <c r="C2936" s="4" t="s">
        <v>11724</v>
      </c>
      <c r="D2936" s="4" t="s">
        <v>11241</v>
      </c>
      <c r="E2936" s="5" t="n">
        <v>12092</v>
      </c>
      <c r="F2936" s="4" t="n">
        <v>1</v>
      </c>
      <c r="G2936" s="4" t="s">
        <v>11725</v>
      </c>
      <c r="H2936" s="4" t="n">
        <v>40.24338</v>
      </c>
      <c r="I2936" s="4" t="n">
        <v>-79.238</v>
      </c>
      <c r="J2936" s="4" t="s">
        <v>11726</v>
      </c>
      <c r="K2936" s="6" t="str">
        <f aca="false">HYPERLINK("https://www.google.com/search?q=Ligonier+Valley+Library+Ligonier+PA+library+website","Search")</f>
        <v>Search</v>
      </c>
      <c r="L2936" s="7"/>
      <c r="M2936" s="7"/>
    </row>
    <row r="2937" customFormat="false" ht="15" hidden="false" customHeight="true" outlineLevel="0" collapsed="false">
      <c r="A2937" s="4" t="s">
        <v>11231</v>
      </c>
      <c r="B2937" s="4" t="s">
        <v>11727</v>
      </c>
      <c r="C2937" s="4" t="s">
        <v>11728</v>
      </c>
      <c r="D2937" s="4" t="s">
        <v>4923</v>
      </c>
      <c r="E2937" s="5" t="n">
        <v>32388</v>
      </c>
      <c r="F2937" s="4" t="n">
        <v>1</v>
      </c>
      <c r="G2937" s="4" t="s">
        <v>11729</v>
      </c>
      <c r="H2937" s="4" t="n">
        <v>40.14689</v>
      </c>
      <c r="I2937" s="4" t="n">
        <v>-76.29489</v>
      </c>
      <c r="J2937" s="4" t="s">
        <v>11730</v>
      </c>
      <c r="K2937" s="6" t="str">
        <f aca="false">HYPERLINK("https://www.google.com/search?q=Lititz+Public+Library+Lititz+PA+library+website","Search")</f>
        <v>Search</v>
      </c>
      <c r="L2937" s="7"/>
      <c r="M2937" s="7"/>
    </row>
    <row r="2938" customFormat="false" ht="15" hidden="false" customHeight="true" outlineLevel="0" collapsed="false">
      <c r="A2938" s="4" t="s">
        <v>11231</v>
      </c>
      <c r="B2938" s="4" t="s">
        <v>11731</v>
      </c>
      <c r="C2938" s="4" t="s">
        <v>11732</v>
      </c>
      <c r="D2938" s="4" t="s">
        <v>11257</v>
      </c>
      <c r="E2938" s="5" t="n">
        <v>35022</v>
      </c>
      <c r="F2938" s="4" t="n">
        <v>1</v>
      </c>
      <c r="G2938" s="4" t="s">
        <v>11733</v>
      </c>
      <c r="H2938" s="4" t="n">
        <v>40.52256</v>
      </c>
      <c r="I2938" s="4" t="n">
        <v>-75.54875</v>
      </c>
      <c r="J2938" s="4" t="s">
        <v>11734</v>
      </c>
      <c r="K2938" s="6" t="str">
        <f aca="false">HYPERLINK("https://www.google.com/search?q=Lower+Macungie+Library+Macungie+PA+library+website","Search")</f>
        <v>Search</v>
      </c>
      <c r="L2938" s="7"/>
      <c r="M2938" s="7"/>
    </row>
    <row r="2939" customFormat="false" ht="15" hidden="false" customHeight="true" outlineLevel="0" collapsed="false">
      <c r="A2939" s="4" t="s">
        <v>11231</v>
      </c>
      <c r="B2939" s="4" t="s">
        <v>11735</v>
      </c>
      <c r="C2939" s="4" t="s">
        <v>10857</v>
      </c>
      <c r="D2939" s="4" t="s">
        <v>315</v>
      </c>
      <c r="E2939" s="5" t="n">
        <v>63633</v>
      </c>
      <c r="F2939" s="4" t="n">
        <v>7</v>
      </c>
      <c r="G2939" s="4" t="s">
        <v>11736</v>
      </c>
      <c r="H2939" s="4" t="n">
        <v>40.00649</v>
      </c>
      <c r="I2939" s="4" t="n">
        <v>-75.28823</v>
      </c>
      <c r="J2939" s="4" t="s">
        <v>11737</v>
      </c>
      <c r="K2939" s="6" t="str">
        <f aca="false">HYPERLINK("https://www.google.com/search?q=Lower+Merion+Library+System+Ardmore+PA+library+website","Search")</f>
        <v>Search</v>
      </c>
      <c r="L2939" s="7"/>
      <c r="M2939" s="7"/>
    </row>
    <row r="2940" customFormat="false" ht="15" hidden="false" customHeight="true" outlineLevel="0" collapsed="false">
      <c r="A2940" s="4" t="s">
        <v>11231</v>
      </c>
      <c r="B2940" s="4" t="s">
        <v>11738</v>
      </c>
      <c r="C2940" s="4" t="s">
        <v>11739</v>
      </c>
      <c r="D2940" s="4" t="s">
        <v>315</v>
      </c>
      <c r="E2940" s="5" t="n">
        <v>25625</v>
      </c>
      <c r="F2940" s="4" t="n">
        <v>1</v>
      </c>
      <c r="G2940" s="4" t="s">
        <v>11740</v>
      </c>
      <c r="H2940" s="4" t="n">
        <v>40.1603</v>
      </c>
      <c r="I2940" s="4" t="n">
        <v>-75.40783</v>
      </c>
      <c r="J2940" s="4" t="s">
        <v>11741</v>
      </c>
      <c r="K2940" s="6" t="str">
        <f aca="false">HYPERLINK("https://www.google.com/search?q=Lower+Providence+Com+Library+Eagleville+PA+library+website","Search")</f>
        <v>Search</v>
      </c>
      <c r="L2940" s="7"/>
      <c r="M2940" s="7"/>
    </row>
    <row r="2941" customFormat="false" ht="15" hidden="false" customHeight="true" outlineLevel="0" collapsed="false">
      <c r="A2941" s="4" t="s">
        <v>11231</v>
      </c>
      <c r="B2941" s="4" t="s">
        <v>11742</v>
      </c>
      <c r="C2941" s="4" t="s">
        <v>11743</v>
      </c>
      <c r="D2941" s="4" t="s">
        <v>11744</v>
      </c>
      <c r="E2941" s="5" t="n">
        <v>10267</v>
      </c>
      <c r="F2941" s="4" t="n">
        <v>1</v>
      </c>
      <c r="G2941" s="4" t="s">
        <v>11745</v>
      </c>
      <c r="H2941" s="4" t="n">
        <v>40.81121</v>
      </c>
      <c r="I2941" s="4" t="n">
        <v>-76.1418</v>
      </c>
      <c r="J2941" s="4" t="s">
        <v>11746</v>
      </c>
      <c r="K2941" s="6" t="str">
        <f aca="false">HYPERLINK("https://www.google.com/search?q=Mahanoy+City+Public+Library+Mahanoy+City+PA+library+website","Search")</f>
        <v>Search</v>
      </c>
      <c r="L2941" s="7"/>
      <c r="M2941" s="7"/>
    </row>
    <row r="2942" customFormat="false" ht="15" hidden="false" customHeight="true" outlineLevel="0" collapsed="false">
      <c r="A2942" s="4" t="s">
        <v>11231</v>
      </c>
      <c r="B2942" s="4" t="s">
        <v>11747</v>
      </c>
      <c r="C2942" s="4" t="s">
        <v>576</v>
      </c>
      <c r="D2942" s="4" t="s">
        <v>9374</v>
      </c>
      <c r="E2942" s="5" t="n">
        <v>41383</v>
      </c>
      <c r="F2942" s="4" t="n">
        <v>1</v>
      </c>
      <c r="G2942" s="4" t="s">
        <v>11748</v>
      </c>
      <c r="H2942" s="4" t="n">
        <v>40.03344</v>
      </c>
      <c r="I2942" s="4" t="n">
        <v>-75.51196</v>
      </c>
      <c r="J2942" s="4" t="s">
        <v>11749</v>
      </c>
      <c r="K2942" s="6" t="str">
        <f aca="false">HYPERLINK("https://www.google.com/search?q=Malvern+Public+Library+Malvern+PA+library+website","Search")</f>
        <v>Search</v>
      </c>
      <c r="L2942" s="7"/>
      <c r="M2942" s="7"/>
    </row>
    <row r="2943" customFormat="false" ht="15" hidden="false" customHeight="true" outlineLevel="0" collapsed="false">
      <c r="A2943" s="4" t="s">
        <v>11231</v>
      </c>
      <c r="B2943" s="4" t="s">
        <v>11750</v>
      </c>
      <c r="C2943" s="4" t="s">
        <v>11751</v>
      </c>
      <c r="D2943" s="4" t="s">
        <v>4923</v>
      </c>
      <c r="E2943" s="5" t="n">
        <v>21268</v>
      </c>
      <c r="F2943" s="4" t="n">
        <v>1</v>
      </c>
      <c r="G2943" s="4" t="s">
        <v>11752</v>
      </c>
      <c r="H2943" s="4" t="n">
        <v>40.16411</v>
      </c>
      <c r="I2943" s="4" t="n">
        <v>-76.39455</v>
      </c>
      <c r="J2943" s="4" t="s">
        <v>11753</v>
      </c>
      <c r="K2943" s="6" t="str">
        <f aca="false">HYPERLINK("https://www.google.com/search?q=Manheim+Community+Library+Manheim+PA+library+website","Search")</f>
        <v>Search</v>
      </c>
      <c r="L2943" s="7"/>
      <c r="M2943" s="7"/>
    </row>
    <row r="2944" customFormat="false" ht="15" hidden="false" customHeight="true" outlineLevel="0" collapsed="false">
      <c r="A2944" s="4" t="s">
        <v>11231</v>
      </c>
      <c r="B2944" s="4" t="s">
        <v>11754</v>
      </c>
      <c r="C2944" s="4" t="s">
        <v>4923</v>
      </c>
      <c r="D2944" s="4" t="s">
        <v>4923</v>
      </c>
      <c r="E2944" s="5" t="n">
        <v>43977</v>
      </c>
      <c r="F2944" s="4" t="n">
        <v>1</v>
      </c>
      <c r="G2944" s="4" t="s">
        <v>11755</v>
      </c>
      <c r="H2944" s="4" t="n">
        <v>40.07884</v>
      </c>
      <c r="I2944" s="4" t="n">
        <v>-76.32144</v>
      </c>
      <c r="J2944" s="4" t="s">
        <v>11756</v>
      </c>
      <c r="K2944" s="6" t="str">
        <f aca="false">HYPERLINK("https://www.google.com/search?q=Manheim+Township+Public+Library+Lancaster+PA+library+website","Search")</f>
        <v>Search</v>
      </c>
      <c r="L2944" s="7"/>
      <c r="M2944" s="7"/>
    </row>
    <row r="2945" customFormat="false" ht="15" hidden="false" customHeight="true" outlineLevel="0" collapsed="false">
      <c r="A2945" s="4" t="s">
        <v>11231</v>
      </c>
      <c r="B2945" s="4" t="s">
        <v>11757</v>
      </c>
      <c r="C2945" s="4" t="s">
        <v>11758</v>
      </c>
      <c r="D2945" s="4" t="s">
        <v>11290</v>
      </c>
      <c r="E2945" s="5" t="n">
        <v>18510</v>
      </c>
      <c r="F2945" s="4" t="n">
        <v>1</v>
      </c>
      <c r="G2945" s="4" t="s">
        <v>11759</v>
      </c>
      <c r="H2945" s="4" t="n">
        <v>41.16121</v>
      </c>
      <c r="I2945" s="4" t="n">
        <v>-75.8843</v>
      </c>
      <c r="J2945" s="4" t="s">
        <v>11760</v>
      </c>
      <c r="K2945" s="6" t="str">
        <f aca="false">HYPERLINK("https://www.google.com/search?q=Marian+Sutherland+Kirby+Lib+Mountaintop+PA+library+website","Search")</f>
        <v>Search</v>
      </c>
      <c r="L2945" s="7"/>
      <c r="M2945" s="7"/>
    </row>
    <row r="2946" customFormat="false" ht="15" hidden="false" customHeight="true" outlineLevel="0" collapsed="false">
      <c r="A2946" s="4" t="s">
        <v>11231</v>
      </c>
      <c r="B2946" s="4" t="s">
        <v>11761</v>
      </c>
      <c r="C2946" s="4" t="s">
        <v>11762</v>
      </c>
      <c r="D2946" s="4" t="s">
        <v>3041</v>
      </c>
      <c r="E2946" s="5" t="n">
        <v>24214</v>
      </c>
      <c r="F2946" s="4" t="n">
        <v>1</v>
      </c>
      <c r="G2946" s="4" t="s">
        <v>11763</v>
      </c>
      <c r="H2946" s="4" t="n">
        <v>39.97444</v>
      </c>
      <c r="I2946" s="4" t="n">
        <v>-75.36353</v>
      </c>
      <c r="J2946" s="4" t="s">
        <v>11764</v>
      </c>
      <c r="K2946" s="6" t="str">
        <f aca="false">HYPERLINK("https://www.google.com/search?q=Marple+Public+Library+Broomall+PA+library+website","Search")</f>
        <v>Search</v>
      </c>
      <c r="L2946" s="7"/>
      <c r="M2946" s="7"/>
    </row>
    <row r="2947" customFormat="false" ht="15" hidden="false" customHeight="true" outlineLevel="0" collapsed="false">
      <c r="A2947" s="4" t="s">
        <v>11231</v>
      </c>
      <c r="B2947" s="4" t="s">
        <v>11765</v>
      </c>
      <c r="C2947" s="4" t="s">
        <v>11766</v>
      </c>
      <c r="D2947" s="4" t="s">
        <v>138</v>
      </c>
      <c r="E2947" s="5" t="n">
        <v>23659</v>
      </c>
      <c r="F2947" s="4" t="n">
        <v>1</v>
      </c>
      <c r="G2947" s="4" t="s">
        <v>11767</v>
      </c>
      <c r="H2947" s="4" t="n">
        <v>40.69846</v>
      </c>
      <c r="I2947" s="4" t="n">
        <v>-80.01106</v>
      </c>
      <c r="J2947" s="4" t="s">
        <v>11768</v>
      </c>
      <c r="K2947" s="6" t="str">
        <f aca="false">HYPERLINK("https://www.google.com/search?q=Mars+Area+Public+Library+Mars+PA+library+website","Search")</f>
        <v>Search</v>
      </c>
      <c r="L2947" s="7"/>
      <c r="M2947" s="7"/>
    </row>
    <row r="2948" customFormat="false" ht="15" hidden="false" customHeight="true" outlineLevel="0" collapsed="false">
      <c r="A2948" s="4" t="s">
        <v>11231</v>
      </c>
      <c r="B2948" s="4" t="s">
        <v>11769</v>
      </c>
      <c r="C2948" s="4" t="s">
        <v>6252</v>
      </c>
      <c r="D2948" s="4" t="s">
        <v>5666</v>
      </c>
      <c r="E2948" s="5" t="n">
        <v>16450</v>
      </c>
      <c r="F2948" s="4" t="n">
        <v>1</v>
      </c>
      <c r="G2948" s="4" t="s">
        <v>11770</v>
      </c>
      <c r="H2948" s="4" t="n">
        <v>40.68965</v>
      </c>
      <c r="I2948" s="4" t="n">
        <v>-75.23742</v>
      </c>
      <c r="J2948" s="4" t="s">
        <v>11771</v>
      </c>
      <c r="K2948" s="6" t="str">
        <f aca="false">HYPERLINK("https://www.google.com/search?q=Mary+Meuser+Memorial+Library+Easton+PA+library+website","Search")</f>
        <v>Search</v>
      </c>
      <c r="L2948" s="7"/>
      <c r="M2948" s="7"/>
    </row>
    <row r="2949" customFormat="false" ht="15" hidden="false" customHeight="true" outlineLevel="0" collapsed="false">
      <c r="A2949" s="4" t="s">
        <v>11231</v>
      </c>
      <c r="B2949" s="4" t="s">
        <v>11772</v>
      </c>
      <c r="C2949" s="4" t="s">
        <v>11773</v>
      </c>
      <c r="D2949" s="4" t="s">
        <v>6292</v>
      </c>
      <c r="E2949" s="5" t="n">
        <v>13833</v>
      </c>
      <c r="F2949" s="4" t="n">
        <v>1</v>
      </c>
      <c r="G2949" s="4" t="s">
        <v>11774</v>
      </c>
      <c r="H2949" s="4" t="n">
        <v>39.75461</v>
      </c>
      <c r="I2949" s="4" t="n">
        <v>-76.59736</v>
      </c>
      <c r="J2949" s="4" t="s">
        <v>11775</v>
      </c>
      <c r="K2949" s="6" t="str">
        <f aca="false">HYPERLINK("https://www.google.com/search?q=Mason+Dixon+Public+Library+Stewartstown+PA+library+website","Search")</f>
        <v>Search</v>
      </c>
      <c r="L2949" s="7"/>
      <c r="M2949" s="7"/>
    </row>
    <row r="2950" customFormat="false" ht="15" hidden="false" customHeight="true" outlineLevel="0" collapsed="false">
      <c r="A2950" s="4" t="s">
        <v>11231</v>
      </c>
      <c r="B2950" s="4" t="s">
        <v>11776</v>
      </c>
      <c r="C2950" s="4" t="s">
        <v>11777</v>
      </c>
      <c r="D2950" s="4" t="s">
        <v>4459</v>
      </c>
      <c r="E2950" s="5" t="n">
        <v>17480</v>
      </c>
      <c r="F2950" s="4" t="n">
        <v>1</v>
      </c>
      <c r="G2950" s="4" t="s">
        <v>11778</v>
      </c>
      <c r="H2950" s="4" t="n">
        <v>40.44415</v>
      </c>
      <c r="I2950" s="4" t="n">
        <v>-76.43119</v>
      </c>
      <c r="J2950" s="4" t="s">
        <v>11779</v>
      </c>
      <c r="K2950" s="6" t="str">
        <f aca="false">HYPERLINK("https://www.google.com/search?q=Matthews+Public+Library+Fredericksburg+PA+library+website","Search")</f>
        <v>Search</v>
      </c>
      <c r="L2950" s="7"/>
      <c r="M2950" s="7"/>
    </row>
    <row r="2951" customFormat="false" ht="15" hidden="false" customHeight="true" outlineLevel="0" collapsed="false">
      <c r="A2951" s="4" t="s">
        <v>11231</v>
      </c>
      <c r="B2951" s="4" t="s">
        <v>11780</v>
      </c>
      <c r="C2951" s="4" t="s">
        <v>11781</v>
      </c>
      <c r="D2951" s="4" t="s">
        <v>506</v>
      </c>
      <c r="E2951" s="5" t="n">
        <v>13906</v>
      </c>
      <c r="F2951" s="4" t="n">
        <v>1</v>
      </c>
      <c r="G2951" s="4" t="s">
        <v>11782</v>
      </c>
      <c r="H2951" s="4" t="n">
        <v>41.05786</v>
      </c>
      <c r="I2951" s="4" t="n">
        <v>-76.23613</v>
      </c>
      <c r="J2951" s="4" t="s">
        <v>11783</v>
      </c>
      <c r="K2951" s="6" t="str">
        <f aca="false">HYPERLINK("https://www.google.com/search?q=Mcbride+Memorial+Library+Berwick+PA+library+website","Search")</f>
        <v>Search</v>
      </c>
      <c r="L2951" s="7"/>
      <c r="M2951" s="7"/>
    </row>
    <row r="2952" customFormat="false" ht="15" hidden="false" customHeight="true" outlineLevel="0" collapsed="false">
      <c r="A2952" s="4" t="s">
        <v>11231</v>
      </c>
      <c r="B2952" s="4" t="s">
        <v>11784</v>
      </c>
      <c r="C2952" s="4" t="s">
        <v>6190</v>
      </c>
      <c r="D2952" s="4" t="s">
        <v>9253</v>
      </c>
      <c r="E2952" s="5" t="n">
        <v>10635</v>
      </c>
      <c r="F2952" s="4" t="n">
        <v>1</v>
      </c>
      <c r="G2952" s="4" t="s">
        <v>11785</v>
      </c>
      <c r="H2952" s="4" t="n">
        <v>42.21564</v>
      </c>
      <c r="I2952" s="4" t="n">
        <v>-79.83603</v>
      </c>
      <c r="J2952" s="4" t="s">
        <v>11786</v>
      </c>
      <c r="K2952" s="6" t="str">
        <f aca="false">HYPERLINK("https://www.google.com/search?q=Mccord+Memorial+Library+North+East+PA+library+website","Search")</f>
        <v>Search</v>
      </c>
      <c r="L2952" s="7"/>
      <c r="M2952" s="7"/>
    </row>
    <row r="2953" customFormat="false" ht="15" hidden="false" customHeight="true" outlineLevel="0" collapsed="false">
      <c r="A2953" s="4" t="s">
        <v>11231</v>
      </c>
      <c r="B2953" s="4" t="s">
        <v>11787</v>
      </c>
      <c r="C2953" s="4" t="s">
        <v>11788</v>
      </c>
      <c r="D2953" s="4" t="s">
        <v>516</v>
      </c>
      <c r="E2953" s="5" t="n">
        <v>36589</v>
      </c>
      <c r="F2953" s="4" t="n">
        <v>1</v>
      </c>
      <c r="G2953" s="4" t="s">
        <v>11789</v>
      </c>
      <c r="H2953" s="4" t="n">
        <v>41.63961</v>
      </c>
      <c r="I2953" s="4" t="n">
        <v>-80.14965</v>
      </c>
      <c r="J2953" s="4" t="s">
        <v>11790</v>
      </c>
      <c r="K2953" s="6" t="str">
        <f aca="false">HYPERLINK("https://www.google.com/search?q=Meadville+Public+Library+Meadville+PA+library+website","Search")</f>
        <v>Search</v>
      </c>
      <c r="L2953" s="7"/>
      <c r="M2953" s="7"/>
    </row>
    <row r="2954" customFormat="false" ht="15" hidden="false" customHeight="true" outlineLevel="0" collapsed="false">
      <c r="A2954" s="4" t="s">
        <v>11231</v>
      </c>
      <c r="B2954" s="4" t="s">
        <v>11791</v>
      </c>
      <c r="C2954" s="4" t="s">
        <v>11792</v>
      </c>
      <c r="D2954" s="4" t="s">
        <v>3041</v>
      </c>
      <c r="E2954" s="5" t="n">
        <v>16753</v>
      </c>
      <c r="F2954" s="4" t="n">
        <v>1</v>
      </c>
      <c r="G2954" s="4" t="s">
        <v>11793</v>
      </c>
      <c r="H2954" s="4" t="n">
        <v>39.91888</v>
      </c>
      <c r="I2954" s="4" t="n">
        <v>-75.38913</v>
      </c>
      <c r="J2954" s="4" t="s">
        <v>11794</v>
      </c>
      <c r="K2954" s="6" t="str">
        <f aca="false">HYPERLINK("https://www.google.com/search?q=Media+Upper+Providence+Free+Library+Media+PA+library+website","Search")</f>
        <v>Search</v>
      </c>
      <c r="L2954" s="7"/>
      <c r="M2954" s="7"/>
    </row>
    <row r="2955" customFormat="false" ht="15" hidden="false" customHeight="true" outlineLevel="0" collapsed="false">
      <c r="A2955" s="4" t="s">
        <v>11231</v>
      </c>
      <c r="B2955" s="4" t="s">
        <v>11795</v>
      </c>
      <c r="C2955" s="4" t="s">
        <v>11796</v>
      </c>
      <c r="D2955" s="4" t="s">
        <v>5666</v>
      </c>
      <c r="E2955" s="5" t="n">
        <v>29584</v>
      </c>
      <c r="F2955" s="4" t="n">
        <v>1</v>
      </c>
      <c r="G2955" s="4" t="s">
        <v>11797</v>
      </c>
      <c r="H2955" s="4" t="n">
        <v>40.74256</v>
      </c>
      <c r="I2955" s="4" t="n">
        <v>-75.30645</v>
      </c>
      <c r="J2955" s="4" t="s">
        <v>11798</v>
      </c>
      <c r="K2955" s="6" t="str">
        <f aca="false">HYPERLINK("https://www.google.com/search?q=Mem+Lib+Of+Nazareth+%26+Vicinity+Nazareth+PA+library+website","Search")</f>
        <v>Search</v>
      </c>
      <c r="L2955" s="7"/>
      <c r="M2955" s="7"/>
    </row>
    <row r="2956" customFormat="false" ht="15" hidden="false" customHeight="true" outlineLevel="0" collapsed="false">
      <c r="A2956" s="4" t="s">
        <v>11231</v>
      </c>
      <c r="B2956" s="4" t="s">
        <v>11799</v>
      </c>
      <c r="C2956" s="4" t="s">
        <v>2849</v>
      </c>
      <c r="D2956" s="4" t="s">
        <v>3041</v>
      </c>
      <c r="E2956" s="5" t="n">
        <v>33228</v>
      </c>
      <c r="F2956" s="4" t="n">
        <v>1</v>
      </c>
      <c r="G2956" s="4" t="s">
        <v>11800</v>
      </c>
      <c r="H2956" s="4" t="n">
        <v>40.04326</v>
      </c>
      <c r="I2956" s="4" t="n">
        <v>-75.38907</v>
      </c>
      <c r="J2956" s="4" t="s">
        <v>11801</v>
      </c>
      <c r="K2956" s="6" t="str">
        <f aca="false">HYPERLINK("https://www.google.com/search?q=Mem+Library+Of+Radnor+Twnshp+Wayne+PA+library+website","Search")</f>
        <v>Search</v>
      </c>
      <c r="L2956" s="7"/>
      <c r="M2956" s="7"/>
    </row>
    <row r="2957" customFormat="false" ht="15" hidden="false" customHeight="true" outlineLevel="0" collapsed="false">
      <c r="A2957" s="4" t="s">
        <v>11231</v>
      </c>
      <c r="B2957" s="4" t="s">
        <v>11802</v>
      </c>
      <c r="C2957" s="4" t="s">
        <v>5095</v>
      </c>
      <c r="D2957" s="4" t="s">
        <v>5095</v>
      </c>
      <c r="E2957" s="5" t="n">
        <v>10520</v>
      </c>
      <c r="F2957" s="4" t="n">
        <v>1</v>
      </c>
      <c r="G2957" s="4" t="s">
        <v>11803</v>
      </c>
      <c r="H2957" s="4" t="n">
        <v>41.22852</v>
      </c>
      <c r="I2957" s="4" t="n">
        <v>-80.23859</v>
      </c>
      <c r="J2957" s="4" t="s">
        <v>11804</v>
      </c>
      <c r="K2957" s="6" t="str">
        <f aca="false">HYPERLINK("https://www.google.com/search?q=Mercer+Area+Library+Mercer+PA+library+website","Search")</f>
        <v>Search</v>
      </c>
      <c r="L2957" s="7"/>
      <c r="M2957" s="7"/>
    </row>
    <row r="2958" customFormat="false" ht="15" hidden="false" customHeight="true" outlineLevel="0" collapsed="false">
      <c r="A2958" s="4" t="s">
        <v>11231</v>
      </c>
      <c r="B2958" s="4" t="s">
        <v>11805</v>
      </c>
      <c r="C2958" s="4" t="s">
        <v>11806</v>
      </c>
      <c r="D2958" s="4" t="s">
        <v>5152</v>
      </c>
      <c r="E2958" s="5" t="n">
        <v>18387</v>
      </c>
      <c r="F2958" s="4" t="n">
        <v>1</v>
      </c>
      <c r="G2958" s="4" t="s">
        <v>11807</v>
      </c>
      <c r="H2958" s="4" t="n">
        <v>39.81514</v>
      </c>
      <c r="I2958" s="4" t="n">
        <v>-79.02575</v>
      </c>
      <c r="J2958" s="4" t="s">
        <v>11808</v>
      </c>
      <c r="K2958" s="6" t="str">
        <f aca="false">HYPERLINK("https://www.google.com/search?q=Meyersdale+Public+Library+Meyersdale+PA+library+website","Search")</f>
        <v>Search</v>
      </c>
      <c r="L2958" s="7"/>
      <c r="M2958" s="7"/>
    </row>
    <row r="2959" customFormat="false" ht="15" hidden="false" customHeight="true" outlineLevel="0" collapsed="false">
      <c r="A2959" s="4" t="s">
        <v>11231</v>
      </c>
      <c r="B2959" s="4" t="s">
        <v>11809</v>
      </c>
      <c r="C2959" s="4" t="s">
        <v>11792</v>
      </c>
      <c r="D2959" s="4" t="s">
        <v>3041</v>
      </c>
      <c r="E2959" s="5" t="n">
        <v>16373</v>
      </c>
      <c r="F2959" s="4" t="n">
        <v>1</v>
      </c>
      <c r="G2959" s="4" t="s">
        <v>11810</v>
      </c>
      <c r="H2959" s="4" t="n">
        <v>39.8959</v>
      </c>
      <c r="I2959" s="4" t="n">
        <v>-75.40231</v>
      </c>
      <c r="J2959" s="4" t="s">
        <v>11811</v>
      </c>
      <c r="K2959" s="6" t="str">
        <f aca="false">HYPERLINK("https://www.google.com/search?q=Middletown+Free+Library+Media+PA+library+website","Search")</f>
        <v>Search</v>
      </c>
      <c r="L2959" s="7"/>
      <c r="M2959" s="7"/>
    </row>
    <row r="2960" customFormat="false" ht="15" hidden="false" customHeight="true" outlineLevel="0" collapsed="false">
      <c r="A2960" s="4" t="s">
        <v>11231</v>
      </c>
      <c r="B2960" s="4" t="s">
        <v>11812</v>
      </c>
      <c r="C2960" s="4" t="s">
        <v>11813</v>
      </c>
      <c r="D2960" s="4" t="s">
        <v>11328</v>
      </c>
      <c r="E2960" s="5" t="n">
        <v>27022</v>
      </c>
      <c r="F2960" s="4" t="n">
        <v>1</v>
      </c>
      <c r="G2960" s="4" t="s">
        <v>11814</v>
      </c>
      <c r="H2960" s="4" t="n">
        <v>40.30333</v>
      </c>
      <c r="I2960" s="4" t="n">
        <v>-75.96782</v>
      </c>
      <c r="J2960" s="4" t="s">
        <v>11815</v>
      </c>
      <c r="K2960" s="6" t="str">
        <f aca="false">HYPERLINK("https://www.google.com/search?q=Mifflin+Community+Library+Shillington+PA+library+website","Search")</f>
        <v>Search</v>
      </c>
      <c r="L2960" s="7"/>
      <c r="M2960" s="7"/>
    </row>
    <row r="2961" customFormat="false" ht="15" hidden="false" customHeight="true" outlineLevel="0" collapsed="false">
      <c r="A2961" s="4" t="s">
        <v>11231</v>
      </c>
      <c r="B2961" s="4" t="s">
        <v>11816</v>
      </c>
      <c r="C2961" s="4" t="s">
        <v>11817</v>
      </c>
      <c r="D2961" s="4" t="s">
        <v>11818</v>
      </c>
      <c r="E2961" s="5" t="n">
        <v>46143</v>
      </c>
      <c r="F2961" s="4" t="n">
        <v>2</v>
      </c>
      <c r="G2961" s="4" t="s">
        <v>11819</v>
      </c>
      <c r="H2961" s="4" t="n">
        <v>40.59831</v>
      </c>
      <c r="I2961" s="4" t="n">
        <v>-77.57755</v>
      </c>
      <c r="J2961" s="4" t="s">
        <v>11820</v>
      </c>
      <c r="K2961" s="6" t="str">
        <f aca="false">HYPERLINK("https://www.google.com/search?q=Mifflin+County+Library+Lewistown+PA+library+website","Search")</f>
        <v>Search</v>
      </c>
      <c r="L2961" s="7"/>
      <c r="M2961" s="7"/>
    </row>
    <row r="2962" customFormat="false" ht="15" hidden="false" customHeight="true" outlineLevel="0" collapsed="false">
      <c r="A2962" s="4" t="s">
        <v>11231</v>
      </c>
      <c r="B2962" s="4" t="s">
        <v>11821</v>
      </c>
      <c r="C2962" s="4" t="s">
        <v>11822</v>
      </c>
      <c r="D2962" s="4" t="s">
        <v>4923</v>
      </c>
      <c r="E2962" s="5" t="n">
        <v>28324</v>
      </c>
      <c r="F2962" s="4" t="n">
        <v>1</v>
      </c>
      <c r="G2962" s="4" t="s">
        <v>11823</v>
      </c>
      <c r="H2962" s="4" t="n">
        <v>40.10406</v>
      </c>
      <c r="I2962" s="4" t="n">
        <v>-76.51157</v>
      </c>
      <c r="J2962" s="4" t="s">
        <v>11824</v>
      </c>
      <c r="K2962" s="6" t="str">
        <f aca="false">HYPERLINK("https://www.google.com/search?q=Milanof-Schock+Library+Mount+Joy+PA+library+website","Search")</f>
        <v>Search</v>
      </c>
      <c r="L2962" s="7"/>
      <c r="M2962" s="7"/>
    </row>
    <row r="2963" customFormat="false" ht="15" hidden="false" customHeight="true" outlineLevel="0" collapsed="false">
      <c r="A2963" s="4" t="s">
        <v>11231</v>
      </c>
      <c r="B2963" s="4" t="s">
        <v>11825</v>
      </c>
      <c r="C2963" s="4" t="s">
        <v>11826</v>
      </c>
      <c r="D2963" s="4" t="s">
        <v>11290</v>
      </c>
      <c r="E2963" s="5" t="n">
        <v>20979</v>
      </c>
      <c r="F2963" s="4" t="n">
        <v>1</v>
      </c>
      <c r="G2963" s="4" t="s">
        <v>11827</v>
      </c>
      <c r="H2963" s="4" t="n">
        <v>41.20572</v>
      </c>
      <c r="I2963" s="4" t="n">
        <v>-75.99459</v>
      </c>
      <c r="J2963" s="4" t="s">
        <v>11828</v>
      </c>
      <c r="K2963" s="6" t="str">
        <f aca="false">HYPERLINK("https://www.google.com/search?q=Mill+Memorial+Library+Nanticoke+PA+library+website","Search")</f>
        <v>Search</v>
      </c>
      <c r="L2963" s="7"/>
      <c r="M2963" s="7"/>
    </row>
    <row r="2964" customFormat="false" ht="15" hidden="false" customHeight="true" outlineLevel="0" collapsed="false">
      <c r="A2964" s="4" t="s">
        <v>11231</v>
      </c>
      <c r="B2964" s="4" t="s">
        <v>5864</v>
      </c>
      <c r="C2964" s="4" t="s">
        <v>2535</v>
      </c>
      <c r="D2964" s="4" t="s">
        <v>11478</v>
      </c>
      <c r="E2964" s="5" t="n">
        <v>11697</v>
      </c>
      <c r="F2964" s="4" t="n">
        <v>1</v>
      </c>
      <c r="G2964" s="4" t="s">
        <v>11829</v>
      </c>
      <c r="H2964" s="4" t="n">
        <v>41.02068</v>
      </c>
      <c r="I2964" s="4" t="n">
        <v>-76.84412</v>
      </c>
      <c r="J2964" s="4" t="s">
        <v>11830</v>
      </c>
      <c r="K2964" s="6" t="str">
        <f aca="false">HYPERLINK("https://www.google.com/search?q=Milton+Public+Library+Milton+PA+library+website","Search")</f>
        <v>Search</v>
      </c>
      <c r="L2964" s="7"/>
      <c r="M2964" s="7"/>
    </row>
    <row r="2965" customFormat="false" ht="15" hidden="false" customHeight="true" outlineLevel="0" collapsed="false">
      <c r="A2965" s="4" t="s">
        <v>11231</v>
      </c>
      <c r="B2965" s="4" t="s">
        <v>11831</v>
      </c>
      <c r="C2965" s="4" t="s">
        <v>11832</v>
      </c>
      <c r="D2965" s="4" t="s">
        <v>441</v>
      </c>
      <c r="E2965" s="5" t="n">
        <v>15636</v>
      </c>
      <c r="F2965" s="4" t="n">
        <v>1</v>
      </c>
      <c r="G2965" s="4" t="s">
        <v>11833</v>
      </c>
      <c r="H2965" s="4" t="n">
        <v>40.20562</v>
      </c>
      <c r="I2965" s="4" t="n">
        <v>-79.93343</v>
      </c>
      <c r="J2965" s="4" t="s">
        <v>11834</v>
      </c>
      <c r="K2965" s="6" t="str">
        <f aca="false">HYPERLINK("https://www.google.com/search?q=Monongahela+Area+Library+Monongahela+PA+library+website","Search")</f>
        <v>Search</v>
      </c>
      <c r="L2965" s="7"/>
      <c r="M2965" s="7"/>
    </row>
    <row r="2966" customFormat="false" ht="15" hidden="false" customHeight="true" outlineLevel="0" collapsed="false">
      <c r="A2966" s="4" t="s">
        <v>11231</v>
      </c>
      <c r="B2966" s="4" t="s">
        <v>11835</v>
      </c>
      <c r="C2966" s="4" t="s">
        <v>310</v>
      </c>
      <c r="D2966" s="4" t="s">
        <v>11295</v>
      </c>
      <c r="E2966" s="5" t="n">
        <v>31741</v>
      </c>
      <c r="F2966" s="4" t="n">
        <v>1</v>
      </c>
      <c r="G2966" s="4" t="s">
        <v>11836</v>
      </c>
      <c r="H2966" s="4" t="n">
        <v>40.43044</v>
      </c>
      <c r="I2966" s="4" t="n">
        <v>-79.75384</v>
      </c>
      <c r="J2966" s="4" t="s">
        <v>11837</v>
      </c>
      <c r="K2966" s="6" t="str">
        <f aca="false">HYPERLINK("https://www.google.com/search?q=Monroeville+Public+Library+Monroeville+PA+library+website","Search")</f>
        <v>Search</v>
      </c>
      <c r="L2966" s="7"/>
      <c r="M2966" s="7"/>
    </row>
    <row r="2967" customFormat="false" ht="15" hidden="false" customHeight="true" outlineLevel="0" collapsed="false">
      <c r="A2967" s="4" t="s">
        <v>11231</v>
      </c>
      <c r="B2967" s="4" t="s">
        <v>11838</v>
      </c>
      <c r="C2967" s="4" t="s">
        <v>11839</v>
      </c>
      <c r="D2967" s="4" t="s">
        <v>315</v>
      </c>
      <c r="E2967" s="5" t="n">
        <v>336716</v>
      </c>
      <c r="F2967" s="4" t="n">
        <v>5</v>
      </c>
      <c r="G2967" s="4" t="s">
        <v>11840</v>
      </c>
      <c r="H2967" s="4" t="n">
        <v>40.12148</v>
      </c>
      <c r="I2967" s="4" t="n">
        <v>-75.33973</v>
      </c>
      <c r="J2967" s="4" t="s">
        <v>11841</v>
      </c>
      <c r="K2967" s="6" t="str">
        <f aca="false">HYPERLINK("https://www.google.com/search?q=Mont+Co-Norristown+Pub+Lib+Norristown+PA+library+website","Search")</f>
        <v>Search</v>
      </c>
      <c r="L2967" s="7"/>
      <c r="M2967" s="7"/>
    </row>
    <row r="2968" customFormat="false" ht="15" hidden="false" customHeight="true" outlineLevel="0" collapsed="false">
      <c r="A2968" s="4" t="s">
        <v>11231</v>
      </c>
      <c r="B2968" s="4" t="s">
        <v>11842</v>
      </c>
      <c r="C2968" s="4" t="s">
        <v>11843</v>
      </c>
      <c r="D2968" s="4" t="s">
        <v>11295</v>
      </c>
      <c r="E2968" s="5" t="n">
        <v>27240</v>
      </c>
      <c r="F2968" s="4" t="n">
        <v>1</v>
      </c>
      <c r="G2968" s="4" t="s">
        <v>11844</v>
      </c>
      <c r="H2968" s="4" t="n">
        <v>40.49691</v>
      </c>
      <c r="I2968" s="4" t="n">
        <v>-80.20163</v>
      </c>
      <c r="J2968" s="4" t="s">
        <v>11845</v>
      </c>
      <c r="K2968" s="6" t="str">
        <f aca="false">HYPERLINK("https://www.google.com/search?q=Moon+Township+Public+Library+Moon+Township+PA+library+website","Search")</f>
        <v>Search</v>
      </c>
      <c r="L2968" s="7"/>
      <c r="M2968" s="7"/>
    </row>
    <row r="2969" customFormat="false" ht="15" hidden="false" customHeight="true" outlineLevel="0" collapsed="false">
      <c r="A2969" s="4" t="s">
        <v>11231</v>
      </c>
      <c r="B2969" s="4" t="s">
        <v>11846</v>
      </c>
      <c r="C2969" s="4" t="s">
        <v>11847</v>
      </c>
      <c r="D2969" s="4" t="s">
        <v>11478</v>
      </c>
      <c r="E2969" s="5" t="n">
        <v>11548</v>
      </c>
      <c r="F2969" s="4" t="n">
        <v>1</v>
      </c>
      <c r="G2969" s="4" t="s">
        <v>11848</v>
      </c>
      <c r="H2969" s="4" t="n">
        <v>40.79639</v>
      </c>
      <c r="I2969" s="4" t="n">
        <v>-76.41307</v>
      </c>
      <c r="J2969" s="4" t="s">
        <v>11849</v>
      </c>
      <c r="K2969" s="6" t="str">
        <f aca="false">HYPERLINK("https://www.google.com/search?q=Mount+Carmel+Public+Library+Mount+Carmel+PA+library+website","Search")</f>
        <v>Search</v>
      </c>
      <c r="L2969" s="7"/>
      <c r="M2969" s="7"/>
    </row>
    <row r="2970" customFormat="false" ht="15" hidden="false" customHeight="true" outlineLevel="0" collapsed="false">
      <c r="A2970" s="4" t="s">
        <v>11231</v>
      </c>
      <c r="B2970" s="4" t="s">
        <v>11850</v>
      </c>
      <c r="C2970" s="4" t="s">
        <v>3064</v>
      </c>
      <c r="D2970" s="4" t="s">
        <v>11241</v>
      </c>
      <c r="E2970" s="5" t="n">
        <v>14364</v>
      </c>
      <c r="F2970" s="4" t="n">
        <v>1</v>
      </c>
      <c r="G2970" s="4" t="s">
        <v>11851</v>
      </c>
      <c r="H2970" s="4" t="n">
        <v>40.14904</v>
      </c>
      <c r="I2970" s="4" t="n">
        <v>-79.54614</v>
      </c>
      <c r="J2970" s="4" t="s">
        <v>11852</v>
      </c>
      <c r="K2970" s="6" t="str">
        <f aca="false">HYPERLINK("https://www.google.com/search?q=Mt+Pleasant+Fr+Pub+Lib+Assoc+Mount+Pleasant+PA+library+website","Search")</f>
        <v>Search</v>
      </c>
      <c r="L2970" s="7"/>
      <c r="M2970" s="7"/>
    </row>
    <row r="2971" customFormat="false" ht="15" hidden="false" customHeight="true" outlineLevel="0" collapsed="false">
      <c r="A2971" s="4" t="s">
        <v>11231</v>
      </c>
      <c r="B2971" s="4" t="s">
        <v>11853</v>
      </c>
      <c r="C2971" s="4" t="s">
        <v>11294</v>
      </c>
      <c r="D2971" s="4" t="s">
        <v>11295</v>
      </c>
      <c r="E2971" s="5" t="n">
        <v>34075</v>
      </c>
      <c r="F2971" s="4" t="n">
        <v>1</v>
      </c>
      <c r="G2971" s="4" t="s">
        <v>11854</v>
      </c>
      <c r="H2971" s="4" t="n">
        <v>40.37735</v>
      </c>
      <c r="I2971" s="4" t="n">
        <v>-80.04528</v>
      </c>
      <c r="J2971" s="4" t="s">
        <v>11855</v>
      </c>
      <c r="K2971" s="6" t="str">
        <f aca="false">HYPERLINK("https://www.google.com/search?q=Mt.+Lebanon+Public+Library+Pittsburgh+PA+library+website","Search")</f>
        <v>Search</v>
      </c>
      <c r="L2971" s="7"/>
      <c r="M2971" s="7"/>
    </row>
    <row r="2972" customFormat="false" ht="15" hidden="false" customHeight="true" outlineLevel="0" collapsed="false">
      <c r="A2972" s="4" t="s">
        <v>11231</v>
      </c>
      <c r="B2972" s="4" t="s">
        <v>11856</v>
      </c>
      <c r="C2972" s="4" t="s">
        <v>11857</v>
      </c>
      <c r="D2972" s="4" t="s">
        <v>11328</v>
      </c>
      <c r="E2972" s="5" t="n">
        <v>30026</v>
      </c>
      <c r="F2972" s="4" t="n">
        <v>1</v>
      </c>
      <c r="G2972" s="4" t="s">
        <v>11858</v>
      </c>
      <c r="H2972" s="4" t="n">
        <v>40.39125</v>
      </c>
      <c r="I2972" s="4" t="n">
        <v>-75.92004</v>
      </c>
      <c r="J2972" s="4" t="s">
        <v>11859</v>
      </c>
      <c r="K2972" s="6" t="str">
        <f aca="false">HYPERLINK("https://www.google.com/search?q=Muhlenberg+Community+Library+Laureldale+PA+library+website","Search")</f>
        <v>Search</v>
      </c>
      <c r="L2972" s="7"/>
      <c r="M2972" s="7"/>
    </row>
    <row r="2973" customFormat="false" ht="15" hidden="false" customHeight="true" outlineLevel="0" collapsed="false">
      <c r="A2973" s="4" t="s">
        <v>11231</v>
      </c>
      <c r="B2973" s="4" t="s">
        <v>11860</v>
      </c>
      <c r="C2973" s="4" t="s">
        <v>11861</v>
      </c>
      <c r="D2973" s="4" t="s">
        <v>11241</v>
      </c>
      <c r="E2973" s="5" t="n">
        <v>28783</v>
      </c>
      <c r="F2973" s="4" t="n">
        <v>1</v>
      </c>
      <c r="G2973" s="4" t="s">
        <v>11862</v>
      </c>
      <c r="H2973" s="4" t="n">
        <v>40.45533</v>
      </c>
      <c r="I2973" s="4" t="n">
        <v>-79.66691</v>
      </c>
      <c r="J2973" s="4" t="s">
        <v>11863</v>
      </c>
      <c r="K2973" s="6" t="str">
        <f aca="false">HYPERLINK("https://www.google.com/search?q=Murrysville+Community+Library+Murrysville+PA+library+website","Search")</f>
        <v>Search</v>
      </c>
      <c r="L2973" s="7"/>
      <c r="M2973" s="7"/>
    </row>
    <row r="2974" customFormat="false" ht="15" hidden="false" customHeight="true" outlineLevel="0" collapsed="false">
      <c r="A2974" s="4" t="s">
        <v>11231</v>
      </c>
      <c r="B2974" s="4" t="s">
        <v>11864</v>
      </c>
      <c r="C2974" s="4" t="s">
        <v>11865</v>
      </c>
      <c r="D2974" s="4" t="s">
        <v>4459</v>
      </c>
      <c r="E2974" s="5" t="n">
        <v>16537</v>
      </c>
      <c r="F2974" s="4" t="n">
        <v>1</v>
      </c>
      <c r="G2974" s="4" t="s">
        <v>11866</v>
      </c>
      <c r="H2974" s="4" t="n">
        <v>40.37777</v>
      </c>
      <c r="I2974" s="4" t="n">
        <v>-76.30627</v>
      </c>
      <c r="J2974" s="4" t="s">
        <v>11867</v>
      </c>
      <c r="K2974" s="6" t="str">
        <f aca="false">HYPERLINK("https://www.google.com/search?q=Myerstown+Community+Library+Myerstown+PA+library+website","Search")</f>
        <v>Search</v>
      </c>
      <c r="L2974" s="7"/>
      <c r="M2974" s="7"/>
    </row>
    <row r="2975" customFormat="false" ht="15" hidden="false" customHeight="true" outlineLevel="0" collapsed="false">
      <c r="A2975" s="4" t="s">
        <v>11231</v>
      </c>
      <c r="B2975" s="4" t="s">
        <v>2259</v>
      </c>
      <c r="C2975" s="4" t="s">
        <v>2222</v>
      </c>
      <c r="D2975" s="4" t="s">
        <v>279</v>
      </c>
      <c r="E2975" s="5" t="n">
        <v>62414</v>
      </c>
      <c r="F2975" s="4" t="n">
        <v>1</v>
      </c>
      <c r="G2975" s="4" t="s">
        <v>11868</v>
      </c>
      <c r="H2975" s="4" t="n">
        <v>41.00141</v>
      </c>
      <c r="I2975" s="4" t="n">
        <v>-80.34395</v>
      </c>
      <c r="J2975" s="4" t="s">
        <v>11869</v>
      </c>
      <c r="K2975" s="6" t="str">
        <f aca="false">HYPERLINK("https://www.google.com/search?q=New+Castle+Public+Library+New+Castle+PA+library+website","Search")</f>
        <v>Search</v>
      </c>
      <c r="L2975" s="7"/>
      <c r="M2975" s="7"/>
    </row>
    <row r="2976" customFormat="false" ht="15" hidden="false" customHeight="true" outlineLevel="0" collapsed="false">
      <c r="A2976" s="4" t="s">
        <v>11231</v>
      </c>
      <c r="B2976" s="4" t="s">
        <v>11870</v>
      </c>
      <c r="C2976" s="4" t="s">
        <v>11871</v>
      </c>
      <c r="D2976" s="4" t="s">
        <v>3041</v>
      </c>
      <c r="E2976" s="5" t="n">
        <v>15002</v>
      </c>
      <c r="F2976" s="4" t="n">
        <v>1</v>
      </c>
      <c r="G2976" s="4" t="s">
        <v>11872</v>
      </c>
      <c r="H2976" s="4" t="n">
        <v>39.98077</v>
      </c>
      <c r="I2976" s="4" t="n">
        <v>-75.40688</v>
      </c>
      <c r="J2976" s="4" t="s">
        <v>11873</v>
      </c>
      <c r="K2976" s="6" t="str">
        <f aca="false">HYPERLINK("https://www.google.com/search?q=Newtown+Public+Library+Newtown+Square+PA+library+website","Search")</f>
        <v>Search</v>
      </c>
      <c r="L2976" s="7"/>
      <c r="M2976" s="7"/>
    </row>
    <row r="2977" customFormat="false" ht="15" hidden="false" customHeight="true" outlineLevel="0" collapsed="false">
      <c r="A2977" s="4" t="s">
        <v>11231</v>
      </c>
      <c r="B2977" s="4" t="s">
        <v>11874</v>
      </c>
      <c r="C2977" s="4" t="s">
        <v>3235</v>
      </c>
      <c r="D2977" s="4" t="s">
        <v>9707</v>
      </c>
      <c r="E2977" s="5" t="n">
        <v>18835</v>
      </c>
      <c r="F2977" s="4" t="n">
        <v>1</v>
      </c>
      <c r="G2977" s="4" t="s">
        <v>11875</v>
      </c>
      <c r="H2977" s="4" t="n">
        <v>41.33531</v>
      </c>
      <c r="I2977" s="4" t="n">
        <v>-75.55191</v>
      </c>
      <c r="J2977" s="4" t="s">
        <v>11876</v>
      </c>
      <c r="K2977" s="6" t="str">
        <f aca="false">HYPERLINK("https://www.google.com/search?q=North+Pocono+Public+Library+Moscow+PA+library+website","Search")</f>
        <v>Search</v>
      </c>
      <c r="L2977" s="7"/>
      <c r="M2977" s="7"/>
    </row>
    <row r="2978" customFormat="false" ht="15" hidden="false" customHeight="true" outlineLevel="0" collapsed="false">
      <c r="A2978" s="4" t="s">
        <v>11231</v>
      </c>
      <c r="B2978" s="4" t="s">
        <v>11877</v>
      </c>
      <c r="C2978" s="4" t="s">
        <v>11878</v>
      </c>
      <c r="D2978" s="4" t="s">
        <v>11295</v>
      </c>
      <c r="E2978" s="5" t="n">
        <v>10074</v>
      </c>
      <c r="F2978" s="4" t="n">
        <v>1</v>
      </c>
      <c r="G2978" s="4" t="s">
        <v>11879</v>
      </c>
      <c r="H2978" s="4" t="n">
        <v>40.38135</v>
      </c>
      <c r="I2978" s="4" t="n">
        <v>-79.81752</v>
      </c>
      <c r="J2978" s="4" t="s">
        <v>11880</v>
      </c>
      <c r="K2978" s="6" t="str">
        <f aca="false">HYPERLINK("https://www.google.com/search?q=North+Versailles+Public+Library+North+Versailles+PA+library+website","Search")</f>
        <v>Search</v>
      </c>
      <c r="L2978" s="7"/>
      <c r="M2978" s="7"/>
    </row>
    <row r="2979" customFormat="false" ht="15" hidden="false" customHeight="true" outlineLevel="0" collapsed="false">
      <c r="A2979" s="4" t="s">
        <v>11231</v>
      </c>
      <c r="B2979" s="4" t="s">
        <v>11881</v>
      </c>
      <c r="C2979" s="4" t="s">
        <v>11882</v>
      </c>
      <c r="D2979" s="4" t="s">
        <v>315</v>
      </c>
      <c r="E2979" s="5" t="n">
        <v>20498</v>
      </c>
      <c r="F2979" s="4" t="n">
        <v>1</v>
      </c>
      <c r="G2979" s="4" t="s">
        <v>11883</v>
      </c>
      <c r="H2979" s="4" t="n">
        <v>40.20808</v>
      </c>
      <c r="I2979" s="4" t="n">
        <v>-75.2767</v>
      </c>
      <c r="J2979" s="4" t="s">
        <v>11884</v>
      </c>
      <c r="K2979" s="6" t="str">
        <f aca="false">HYPERLINK("https://www.google.com/search?q=North+Wales+Area+Library+North+Wales+PA+library+website","Search")</f>
        <v>Search</v>
      </c>
      <c r="L2979" s="7"/>
      <c r="M2979" s="7"/>
    </row>
    <row r="2980" customFormat="false" ht="15" hidden="false" customHeight="true" outlineLevel="0" collapsed="false">
      <c r="A2980" s="4" t="s">
        <v>11231</v>
      </c>
      <c r="B2980" s="4" t="s">
        <v>11885</v>
      </c>
      <c r="C2980" s="4" t="s">
        <v>5666</v>
      </c>
      <c r="D2980" s="4" t="s">
        <v>5666</v>
      </c>
      <c r="E2980" s="5" t="n">
        <v>43991</v>
      </c>
      <c r="F2980" s="4" t="n">
        <v>1</v>
      </c>
      <c r="G2980" s="4" t="s">
        <v>11886</v>
      </c>
      <c r="H2980" s="4" t="n">
        <v>40.6869</v>
      </c>
      <c r="I2980" s="4" t="n">
        <v>-75.49195</v>
      </c>
      <c r="J2980" s="4" t="s">
        <v>11887</v>
      </c>
      <c r="K2980" s="6" t="str">
        <f aca="false">HYPERLINK("https://www.google.com/search?q=Northampton+Area+Pub+Library+Northampton+PA+library+website","Search")</f>
        <v>Search</v>
      </c>
      <c r="L2980" s="7"/>
      <c r="M2980" s="7"/>
    </row>
    <row r="2981" customFormat="false" ht="15" hidden="false" customHeight="true" outlineLevel="0" collapsed="false">
      <c r="A2981" s="4" t="s">
        <v>11231</v>
      </c>
      <c r="B2981" s="4" t="s">
        <v>11888</v>
      </c>
      <c r="C2981" s="4" t="s">
        <v>11889</v>
      </c>
      <c r="D2981" s="4" t="s">
        <v>11295</v>
      </c>
      <c r="E2981" s="5" t="n">
        <v>26633</v>
      </c>
      <c r="F2981" s="4" t="n">
        <v>1</v>
      </c>
      <c r="G2981" s="4" t="s">
        <v>11890</v>
      </c>
      <c r="H2981" s="4" t="n">
        <v>40.64066</v>
      </c>
      <c r="I2981" s="4" t="n">
        <v>-79.95177</v>
      </c>
      <c r="J2981" s="4" t="s">
        <v>11891</v>
      </c>
      <c r="K2981" s="6" t="str">
        <f aca="false">HYPERLINK("https://www.google.com/search?q=Northern+Tier+Regional+Library+Gibsonia+PA+library+website","Search")</f>
        <v>Search</v>
      </c>
      <c r="L2981" s="7"/>
      <c r="M2981" s="7"/>
    </row>
    <row r="2982" customFormat="false" ht="15" hidden="false" customHeight="true" outlineLevel="0" collapsed="false">
      <c r="A2982" s="4" t="s">
        <v>11231</v>
      </c>
      <c r="B2982" s="4" t="s">
        <v>11892</v>
      </c>
      <c r="C2982" s="4" t="s">
        <v>11294</v>
      </c>
      <c r="D2982" s="4" t="s">
        <v>11295</v>
      </c>
      <c r="E2982" s="5" t="n">
        <v>90007</v>
      </c>
      <c r="F2982" s="4" t="n">
        <v>1</v>
      </c>
      <c r="G2982" s="4" t="s">
        <v>11893</v>
      </c>
      <c r="H2982" s="4" t="n">
        <v>40.57196</v>
      </c>
      <c r="I2982" s="4" t="n">
        <v>-80.03475</v>
      </c>
      <c r="J2982" s="4" t="s">
        <v>11894</v>
      </c>
      <c r="K2982" s="6" t="str">
        <f aca="false">HYPERLINK("https://www.google.com/search?q=Northland+Public+Library+Authority+Pittsburgh+PA+library+website","Search")</f>
        <v>Search</v>
      </c>
      <c r="L2982" s="7"/>
      <c r="M2982" s="7"/>
    </row>
    <row r="2983" customFormat="false" ht="15" hidden="false" customHeight="true" outlineLevel="0" collapsed="false">
      <c r="A2983" s="4" t="s">
        <v>11231</v>
      </c>
      <c r="B2983" s="4" t="s">
        <v>11895</v>
      </c>
      <c r="C2983" s="4" t="s">
        <v>11896</v>
      </c>
      <c r="D2983" s="4" t="s">
        <v>11241</v>
      </c>
      <c r="E2983" s="5" t="n">
        <v>36605</v>
      </c>
      <c r="F2983" s="4" t="n">
        <v>1</v>
      </c>
      <c r="G2983" s="4" t="s">
        <v>11897</v>
      </c>
      <c r="H2983" s="4" t="n">
        <v>40.32229</v>
      </c>
      <c r="I2983" s="4" t="n">
        <v>-79.69894</v>
      </c>
      <c r="J2983" s="4" t="s">
        <v>11898</v>
      </c>
      <c r="K2983" s="6" t="str">
        <f aca="false">HYPERLINK("https://www.google.com/search?q=Norwin+Pub+Lib+Assoc+Irwin+PA+library+website","Search")</f>
        <v>Search</v>
      </c>
      <c r="L2983" s="7"/>
      <c r="M2983" s="7"/>
    </row>
    <row r="2984" customFormat="false" ht="15" hidden="false" customHeight="true" outlineLevel="0" collapsed="false">
      <c r="A2984" s="4" t="s">
        <v>11231</v>
      </c>
      <c r="B2984" s="4" t="s">
        <v>11899</v>
      </c>
      <c r="C2984" s="4" t="s">
        <v>11900</v>
      </c>
      <c r="D2984" s="4" t="s">
        <v>11901</v>
      </c>
      <c r="E2984" s="5" t="n">
        <v>36213</v>
      </c>
      <c r="F2984" s="4" t="n">
        <v>3</v>
      </c>
      <c r="G2984" s="4" t="s">
        <v>11902</v>
      </c>
      <c r="H2984" s="4" t="n">
        <v>41.42899</v>
      </c>
      <c r="I2984" s="4" t="n">
        <v>-79.71112</v>
      </c>
      <c r="J2984" s="4" t="s">
        <v>11903</v>
      </c>
      <c r="K2984" s="6" t="str">
        <f aca="false">HYPERLINK("https://www.google.com/search?q=Oil+City+Library+Oil+City+PA+library+website","Search")</f>
        <v>Search</v>
      </c>
      <c r="L2984" s="7"/>
      <c r="M2984" s="7"/>
    </row>
    <row r="2985" customFormat="false" ht="15" hidden="false" customHeight="true" outlineLevel="0" collapsed="false">
      <c r="A2985" s="4" t="s">
        <v>11231</v>
      </c>
      <c r="B2985" s="4" t="s">
        <v>11904</v>
      </c>
      <c r="C2985" s="4" t="s">
        <v>11905</v>
      </c>
      <c r="D2985" s="4" t="s">
        <v>11290</v>
      </c>
      <c r="E2985" s="5" t="n">
        <v>120502</v>
      </c>
      <c r="F2985" s="4" t="n">
        <v>4</v>
      </c>
      <c r="G2985" s="4" t="s">
        <v>11906</v>
      </c>
      <c r="H2985" s="4" t="n">
        <v>41.2458</v>
      </c>
      <c r="I2985" s="4" t="n">
        <v>-75.88522</v>
      </c>
      <c r="J2985" s="4" t="s">
        <v>11907</v>
      </c>
      <c r="K2985" s="6" t="str">
        <f aca="false">HYPERLINK("https://www.google.com/search?q=Osterhout+Free+Library+Wilkes-Barre+PA+library+website","Search")</f>
        <v>Search</v>
      </c>
      <c r="L2985" s="7"/>
      <c r="M2985" s="7"/>
    </row>
    <row r="2986" customFormat="false" ht="15" hidden="false" customHeight="true" outlineLevel="0" collapsed="false">
      <c r="A2986" s="4" t="s">
        <v>11231</v>
      </c>
      <c r="B2986" s="4" t="s">
        <v>351</v>
      </c>
      <c r="C2986" s="4" t="s">
        <v>352</v>
      </c>
      <c r="D2986" s="4" t="s">
        <v>9374</v>
      </c>
      <c r="E2986" s="5" t="n">
        <v>27160</v>
      </c>
      <c r="F2986" s="4" t="n">
        <v>1</v>
      </c>
      <c r="G2986" s="4" t="s">
        <v>11908</v>
      </c>
      <c r="H2986" s="4" t="n">
        <v>39.78456</v>
      </c>
      <c r="I2986" s="4" t="n">
        <v>-75.98116</v>
      </c>
      <c r="J2986" s="4" t="s">
        <v>11909</v>
      </c>
      <c r="K2986" s="6" t="str">
        <f aca="false">HYPERLINK("https://www.google.com/search?q=Oxford+Public+Library+Oxford+PA+library+website","Search")</f>
        <v>Search</v>
      </c>
      <c r="L2986" s="7"/>
      <c r="M2986" s="7"/>
    </row>
    <row r="2987" customFormat="false" ht="15" hidden="false" customHeight="true" outlineLevel="0" collapsed="false">
      <c r="A2987" s="4" t="s">
        <v>11231</v>
      </c>
      <c r="B2987" s="4" t="s">
        <v>11910</v>
      </c>
      <c r="C2987" s="4" t="s">
        <v>11911</v>
      </c>
      <c r="D2987" s="4" t="s">
        <v>11487</v>
      </c>
      <c r="E2987" s="5" t="n">
        <v>13955</v>
      </c>
      <c r="F2987" s="4" t="n">
        <v>1</v>
      </c>
      <c r="G2987" s="4" t="s">
        <v>11912</v>
      </c>
      <c r="H2987" s="4" t="n">
        <v>40.80271</v>
      </c>
      <c r="I2987" s="4" t="n">
        <v>-75.60744</v>
      </c>
      <c r="J2987" s="4" t="s">
        <v>11913</v>
      </c>
      <c r="K2987" s="6" t="str">
        <f aca="false">HYPERLINK("https://www.google.com/search?q=Palmerton+Area+Library+Palmerton+PA+library+website","Search")</f>
        <v>Search</v>
      </c>
      <c r="L2987" s="7"/>
      <c r="M2987" s="7"/>
    </row>
    <row r="2988" customFormat="false" ht="15" hidden="false" customHeight="true" outlineLevel="0" collapsed="false">
      <c r="A2988" s="4" t="s">
        <v>11231</v>
      </c>
      <c r="B2988" s="4" t="s">
        <v>11914</v>
      </c>
      <c r="C2988" s="4" t="s">
        <v>11273</v>
      </c>
      <c r="D2988" s="4" t="s">
        <v>4459</v>
      </c>
      <c r="E2988" s="5" t="n">
        <v>25517</v>
      </c>
      <c r="F2988" s="4" t="n">
        <v>1</v>
      </c>
      <c r="G2988" s="4" t="s">
        <v>11915</v>
      </c>
      <c r="H2988" s="4" t="n">
        <v>40.2876</v>
      </c>
      <c r="I2988" s="4" t="n">
        <v>-76.5667</v>
      </c>
      <c r="J2988" s="4" t="s">
        <v>11916</v>
      </c>
      <c r="K2988" s="6" t="str">
        <f aca="false">HYPERLINK("https://www.google.com/search?q=Palmyra+Public+Library+Annville+PA+library+website","Search")</f>
        <v>Search</v>
      </c>
      <c r="L2988" s="7"/>
      <c r="M2988" s="7"/>
    </row>
    <row r="2989" customFormat="false" ht="15" hidden="false" customHeight="true" outlineLevel="0" collapsed="false">
      <c r="A2989" s="4" t="s">
        <v>11231</v>
      </c>
      <c r="B2989" s="4" t="s">
        <v>11917</v>
      </c>
      <c r="C2989" s="4" t="s">
        <v>11918</v>
      </c>
      <c r="D2989" s="4" t="s">
        <v>9374</v>
      </c>
      <c r="E2989" s="5" t="n">
        <v>12931</v>
      </c>
      <c r="F2989" s="4" t="n">
        <v>1</v>
      </c>
      <c r="G2989" s="4" t="s">
        <v>11919</v>
      </c>
      <c r="H2989" s="4" t="n">
        <v>39.95794</v>
      </c>
      <c r="I2989" s="4" t="n">
        <v>-75.91849</v>
      </c>
      <c r="J2989" s="4" t="s">
        <v>11920</v>
      </c>
      <c r="K2989" s="6" t="str">
        <f aca="false">HYPERLINK("https://www.google.com/search?q=Parkesburg+Free+Library+Parkesburg+PA+library+website","Search")</f>
        <v>Search</v>
      </c>
      <c r="L2989" s="7"/>
      <c r="M2989" s="7"/>
    </row>
    <row r="2990" customFormat="false" ht="15" hidden="false" customHeight="true" outlineLevel="0" collapsed="false">
      <c r="A2990" s="4" t="s">
        <v>11231</v>
      </c>
      <c r="B2990" s="4" t="s">
        <v>11921</v>
      </c>
      <c r="C2990" s="4" t="s">
        <v>11256</v>
      </c>
      <c r="D2990" s="4" t="s">
        <v>11257</v>
      </c>
      <c r="E2990" s="5" t="n">
        <v>63112</v>
      </c>
      <c r="F2990" s="4" t="n">
        <v>1</v>
      </c>
      <c r="G2990" s="4" t="s">
        <v>11922</v>
      </c>
      <c r="H2990" s="4" t="n">
        <v>40.61166</v>
      </c>
      <c r="I2990" s="4" t="n">
        <v>-75.56526</v>
      </c>
      <c r="J2990" s="4" t="s">
        <v>11923</v>
      </c>
      <c r="K2990" s="6" t="str">
        <f aca="false">HYPERLINK("https://www.google.com/search?q=Parkland+Community+Library+Allentown+PA+library+website","Search")</f>
        <v>Search</v>
      </c>
      <c r="L2990" s="7"/>
      <c r="M2990" s="7"/>
    </row>
    <row r="2991" customFormat="false" ht="15" hidden="false" customHeight="true" outlineLevel="0" collapsed="false">
      <c r="A2991" s="4" t="s">
        <v>11231</v>
      </c>
      <c r="B2991" s="4" t="s">
        <v>11924</v>
      </c>
      <c r="C2991" s="4" t="s">
        <v>6004</v>
      </c>
      <c r="D2991" s="4" t="s">
        <v>6292</v>
      </c>
      <c r="E2991" s="5" t="n">
        <v>15630</v>
      </c>
      <c r="F2991" s="4" t="n">
        <v>1</v>
      </c>
      <c r="G2991" s="4" t="s">
        <v>11925</v>
      </c>
      <c r="H2991" s="4" t="n">
        <v>39.75117</v>
      </c>
      <c r="I2991" s="4" t="n">
        <v>-76.68074</v>
      </c>
      <c r="J2991" s="4" t="s">
        <v>11926</v>
      </c>
      <c r="K2991" s="6" t="str">
        <f aca="false">HYPERLINK("https://www.google.com/search?q=Paul+Smith+Library+Of+Southern+York+County+Shrewsbury+PA+library+website","Search")</f>
        <v>Search</v>
      </c>
      <c r="L2991" s="7"/>
      <c r="M2991" s="7"/>
    </row>
    <row r="2992" customFormat="false" ht="15" hidden="false" customHeight="true" outlineLevel="0" collapsed="false">
      <c r="A2992" s="4" t="s">
        <v>11231</v>
      </c>
      <c r="B2992" s="4" t="s">
        <v>11927</v>
      </c>
      <c r="C2992" s="4" t="s">
        <v>11928</v>
      </c>
      <c r="D2992" s="4" t="s">
        <v>11241</v>
      </c>
      <c r="E2992" s="5" t="n">
        <v>20514</v>
      </c>
      <c r="F2992" s="4" t="n">
        <v>1</v>
      </c>
      <c r="G2992" s="4" t="s">
        <v>11929</v>
      </c>
      <c r="H2992" s="4" t="n">
        <v>40.35784</v>
      </c>
      <c r="I2992" s="4" t="n">
        <v>-79.65069</v>
      </c>
      <c r="J2992" s="4" t="s">
        <v>11930</v>
      </c>
      <c r="K2992" s="6" t="str">
        <f aca="false">HYPERLINK("https://www.google.com/search?q=Penn+Area+Library+Harrison+City+PA+library+website","Search")</f>
        <v>Search</v>
      </c>
      <c r="L2992" s="7"/>
      <c r="M2992" s="7"/>
    </row>
    <row r="2993" customFormat="false" ht="15" hidden="false" customHeight="true" outlineLevel="0" collapsed="false">
      <c r="A2993" s="4" t="s">
        <v>11231</v>
      </c>
      <c r="B2993" s="4" t="s">
        <v>11931</v>
      </c>
      <c r="C2993" s="4" t="s">
        <v>11294</v>
      </c>
      <c r="D2993" s="4" t="s">
        <v>11295</v>
      </c>
      <c r="E2993" s="5" t="n">
        <v>41059</v>
      </c>
      <c r="F2993" s="4" t="n">
        <v>1</v>
      </c>
      <c r="G2993" s="4" t="s">
        <v>11932</v>
      </c>
      <c r="H2993" s="4" t="n">
        <v>40.48246</v>
      </c>
      <c r="I2993" s="4" t="n">
        <v>-79.80987</v>
      </c>
      <c r="J2993" s="4" t="s">
        <v>11933</v>
      </c>
      <c r="K2993" s="6" t="str">
        <f aca="false">HYPERLINK("https://www.google.com/search?q=Penn+Hills+Library+Pittsburgh+PA+library+website","Search")</f>
        <v>Search</v>
      </c>
      <c r="L2993" s="7"/>
      <c r="M2993" s="7"/>
    </row>
    <row r="2994" customFormat="false" ht="15" hidden="false" customHeight="true" outlineLevel="0" collapsed="false">
      <c r="A2994" s="4" t="s">
        <v>11231</v>
      </c>
      <c r="B2994" s="4" t="s">
        <v>11934</v>
      </c>
      <c r="C2994" s="4" t="s">
        <v>11935</v>
      </c>
      <c r="D2994" s="4" t="s">
        <v>11241</v>
      </c>
      <c r="E2994" s="5" t="n">
        <v>40970</v>
      </c>
      <c r="F2994" s="4" t="n">
        <v>2</v>
      </c>
      <c r="G2994" s="4" t="s">
        <v>11936</v>
      </c>
      <c r="H2994" s="4" t="n">
        <v>40.56521</v>
      </c>
      <c r="I2994" s="4" t="n">
        <v>-79.76445</v>
      </c>
      <c r="J2994" s="4" t="s">
        <v>11937</v>
      </c>
      <c r="K2994" s="6" t="str">
        <f aca="false">HYPERLINK("https://www.google.com/search?q=Peoples+Library+New+Kensington+PA+library+website","Search")</f>
        <v>Search</v>
      </c>
      <c r="L2994" s="7"/>
      <c r="M2994" s="7"/>
    </row>
    <row r="2995" customFormat="false" ht="15" hidden="false" customHeight="true" outlineLevel="0" collapsed="false">
      <c r="A2995" s="4" t="s">
        <v>11231</v>
      </c>
      <c r="B2995" s="4" t="s">
        <v>11938</v>
      </c>
      <c r="C2995" s="4" t="s">
        <v>11939</v>
      </c>
      <c r="D2995" s="4" t="s">
        <v>441</v>
      </c>
      <c r="E2995" s="5" t="n">
        <v>22946</v>
      </c>
      <c r="F2995" s="4" t="n">
        <v>1</v>
      </c>
      <c r="G2995" s="4" t="s">
        <v>11940</v>
      </c>
      <c r="H2995" s="4" t="n">
        <v>40.28071</v>
      </c>
      <c r="I2995" s="4" t="n">
        <v>-80.08126</v>
      </c>
      <c r="J2995" s="4" t="s">
        <v>11941</v>
      </c>
      <c r="K2995" s="6" t="str">
        <f aca="false">HYPERLINK("https://www.google.com/search?q=Peters+Township+Public+Library+Mcmurray+PA+library+website","Search")</f>
        <v>Search</v>
      </c>
      <c r="L2995" s="7"/>
      <c r="M2995" s="7"/>
    </row>
    <row r="2996" customFormat="false" ht="15" hidden="false" customHeight="true" outlineLevel="0" collapsed="false">
      <c r="A2996" s="4" t="s">
        <v>11231</v>
      </c>
      <c r="B2996" s="4" t="s">
        <v>11942</v>
      </c>
      <c r="C2996" s="4" t="s">
        <v>11943</v>
      </c>
      <c r="D2996" s="4" t="s">
        <v>9374</v>
      </c>
      <c r="E2996" s="5" t="n">
        <v>41643</v>
      </c>
      <c r="F2996" s="4" t="n">
        <v>1</v>
      </c>
      <c r="G2996" s="4" t="s">
        <v>11944</v>
      </c>
      <c r="H2996" s="4" t="n">
        <v>40.12884</v>
      </c>
      <c r="I2996" s="4" t="n">
        <v>-75.51415</v>
      </c>
      <c r="J2996" s="4" t="s">
        <v>11945</v>
      </c>
      <c r="K2996" s="6" t="str">
        <f aca="false">HYPERLINK("https://www.google.com/search?q=Phoenixville+Public+Library+Phoenixville+PA+library+website","Search")</f>
        <v>Search</v>
      </c>
      <c r="L2996" s="7"/>
      <c r="M2996" s="7"/>
    </row>
    <row r="2997" customFormat="false" ht="15" hidden="false" customHeight="true" outlineLevel="0" collapsed="false">
      <c r="A2997" s="4" t="s">
        <v>11231</v>
      </c>
      <c r="B2997" s="4" t="s">
        <v>4567</v>
      </c>
      <c r="C2997" s="4" t="s">
        <v>2008</v>
      </c>
      <c r="D2997" s="4" t="s">
        <v>415</v>
      </c>
      <c r="E2997" s="5" t="n">
        <v>58535</v>
      </c>
      <c r="F2997" s="4" t="n">
        <v>2</v>
      </c>
      <c r="G2997" s="4" t="s">
        <v>11946</v>
      </c>
      <c r="H2997" s="4" t="n">
        <v>41.32131</v>
      </c>
      <c r="I2997" s="4" t="n">
        <v>-74.80243</v>
      </c>
      <c r="J2997" s="4" t="s">
        <v>11947</v>
      </c>
      <c r="K2997" s="6" t="str">
        <f aca="false">HYPERLINK("https://www.google.com/search?q=Pike+County+Public+Library+Milford+PA+library+website","Search")</f>
        <v>Search</v>
      </c>
      <c r="L2997" s="7"/>
      <c r="M2997" s="7"/>
    </row>
    <row r="2998" customFormat="false" ht="15" hidden="false" customHeight="true" outlineLevel="0" collapsed="false">
      <c r="A2998" s="4" t="s">
        <v>11231</v>
      </c>
      <c r="B2998" s="4" t="s">
        <v>11948</v>
      </c>
      <c r="C2998" s="4" t="s">
        <v>11294</v>
      </c>
      <c r="D2998" s="4" t="s">
        <v>11295</v>
      </c>
      <c r="E2998" s="5" t="n">
        <v>27144</v>
      </c>
      <c r="F2998" s="4" t="n">
        <v>1</v>
      </c>
      <c r="G2998" s="4" t="s">
        <v>11949</v>
      </c>
      <c r="H2998" s="4" t="n">
        <v>40.48756</v>
      </c>
      <c r="I2998" s="4" t="n">
        <v>-79.75393</v>
      </c>
      <c r="J2998" s="4" t="s">
        <v>11950</v>
      </c>
      <c r="K2998" s="6" t="str">
        <f aca="false">HYPERLINK("https://www.google.com/search?q=Plum+Borough+Library+Pittsburgh+PA+library+website","Search")</f>
        <v>Search</v>
      </c>
      <c r="L2998" s="7"/>
      <c r="M2998" s="7"/>
    </row>
    <row r="2999" customFormat="false" ht="15" hidden="false" customHeight="true" outlineLevel="0" collapsed="false">
      <c r="A2999" s="4" t="s">
        <v>11231</v>
      </c>
      <c r="B2999" s="4" t="s">
        <v>11951</v>
      </c>
      <c r="C2999" s="4" t="s">
        <v>11952</v>
      </c>
      <c r="D2999" s="4" t="s">
        <v>311</v>
      </c>
      <c r="E2999" s="5" t="n">
        <v>23894</v>
      </c>
      <c r="F2999" s="4" t="n">
        <v>1</v>
      </c>
      <c r="G2999" s="4" t="s">
        <v>11953</v>
      </c>
      <c r="H2999" s="4" t="n">
        <v>41.17101</v>
      </c>
      <c r="I2999" s="4" t="n">
        <v>-75.40734</v>
      </c>
      <c r="J2999" s="4" t="s">
        <v>11954</v>
      </c>
      <c r="K2999" s="6" t="str">
        <f aca="false">HYPERLINK("https://www.google.com/search?q=Pocono+Mountain+Public+Library+Tobyhanna+PA+library+website","Search")</f>
        <v>Search</v>
      </c>
      <c r="L2999" s="7"/>
      <c r="M2999" s="7"/>
    </row>
    <row r="3000" customFormat="false" ht="15" hidden="false" customHeight="true" outlineLevel="0" collapsed="false">
      <c r="A3000" s="4" t="s">
        <v>11231</v>
      </c>
      <c r="B3000" s="4" t="s">
        <v>11955</v>
      </c>
      <c r="C3000" s="4" t="s">
        <v>11956</v>
      </c>
      <c r="D3000" s="4" t="s">
        <v>315</v>
      </c>
      <c r="E3000" s="5" t="n">
        <v>45318</v>
      </c>
      <c r="F3000" s="4" t="n">
        <v>1</v>
      </c>
      <c r="G3000" s="4" t="s">
        <v>11957</v>
      </c>
      <c r="H3000" s="4" t="n">
        <v>40.24457</v>
      </c>
      <c r="I3000" s="4" t="n">
        <v>-75.64183</v>
      </c>
      <c r="J3000" s="4" t="s">
        <v>11958</v>
      </c>
      <c r="K3000" s="6" t="str">
        <f aca="false">HYPERLINK("https://www.google.com/search?q=Pottstown+Regional+Public+Library+Pottstown+PA+library+website","Search")</f>
        <v>Search</v>
      </c>
      <c r="L3000" s="7"/>
      <c r="M3000" s="7"/>
    </row>
    <row r="3001" customFormat="false" ht="15" hidden="false" customHeight="true" outlineLevel="0" collapsed="false">
      <c r="A3001" s="4" t="s">
        <v>11231</v>
      </c>
      <c r="B3001" s="4" t="s">
        <v>11959</v>
      </c>
      <c r="C3001" s="4" t="s">
        <v>11960</v>
      </c>
      <c r="D3001" s="4" t="s">
        <v>11744</v>
      </c>
      <c r="E3001" s="5" t="n">
        <v>60113</v>
      </c>
      <c r="F3001" s="4" t="n">
        <v>1</v>
      </c>
      <c r="G3001" s="4" t="s">
        <v>11961</v>
      </c>
      <c r="H3001" s="4" t="n">
        <v>40.68514</v>
      </c>
      <c r="I3001" s="4" t="n">
        <v>-76.197</v>
      </c>
      <c r="J3001" s="4" t="s">
        <v>11962</v>
      </c>
      <c r="K3001" s="6" t="str">
        <f aca="false">HYPERLINK("https://www.google.com/search?q=Pottsville+Free+Public+Library+Pottsville+PA+library+website","Search")</f>
        <v>Search</v>
      </c>
      <c r="L3001" s="7"/>
      <c r="M3001" s="7"/>
    </row>
    <row r="3002" customFormat="false" ht="15" hidden="false" customHeight="true" outlineLevel="0" collapsed="false">
      <c r="A3002" s="4" t="s">
        <v>11231</v>
      </c>
      <c r="B3002" s="4" t="s">
        <v>11963</v>
      </c>
      <c r="C3002" s="4" t="s">
        <v>11964</v>
      </c>
      <c r="D3002" s="4" t="s">
        <v>467</v>
      </c>
      <c r="E3002" s="5" t="n">
        <v>30283</v>
      </c>
      <c r="F3002" s="4" t="n">
        <v>1</v>
      </c>
      <c r="G3002" s="4" t="s">
        <v>11965</v>
      </c>
      <c r="H3002" s="4" t="n">
        <v>40.96163</v>
      </c>
      <c r="I3002" s="4" t="n">
        <v>-76.91119</v>
      </c>
      <c r="J3002" s="4" t="s">
        <v>11966</v>
      </c>
      <c r="K3002" s="6" t="str">
        <f aca="false">HYPERLINK("https://www.google.com/search?q=Public+Library+For+Union+Co+Lewisburg+PA+library+website","Search")</f>
        <v>Search</v>
      </c>
      <c r="L3002" s="7"/>
      <c r="M3002" s="7"/>
    </row>
    <row r="3003" customFormat="false" ht="15" hidden="false" customHeight="true" outlineLevel="0" collapsed="false">
      <c r="A3003" s="4" t="s">
        <v>11231</v>
      </c>
      <c r="B3003" s="4" t="s">
        <v>11967</v>
      </c>
      <c r="C3003" s="4" t="s">
        <v>11968</v>
      </c>
      <c r="D3003" s="4" t="s">
        <v>11257</v>
      </c>
      <c r="E3003" s="5" t="n">
        <v>11178</v>
      </c>
      <c r="F3003" s="4" t="n">
        <v>1</v>
      </c>
      <c r="G3003" s="4" t="s">
        <v>11969</v>
      </c>
      <c r="H3003" s="4" t="n">
        <v>40.65497</v>
      </c>
      <c r="I3003" s="4" t="n">
        <v>-75.47212</v>
      </c>
      <c r="J3003" s="4" t="s">
        <v>11970</v>
      </c>
      <c r="K3003" s="6" t="str">
        <f aca="false">HYPERLINK("https://www.google.com/search?q=Public+Library+Of+Catasauqua+Catasauqua+PA+library+website","Search")</f>
        <v>Search</v>
      </c>
      <c r="L3003" s="7"/>
      <c r="M3003" s="7"/>
    </row>
    <row r="3004" customFormat="false" ht="15" hidden="false" customHeight="true" outlineLevel="0" collapsed="false">
      <c r="A3004" s="4" t="s">
        <v>11231</v>
      </c>
      <c r="B3004" s="4" t="s">
        <v>11971</v>
      </c>
      <c r="C3004" s="4" t="s">
        <v>11972</v>
      </c>
      <c r="D3004" s="4" t="s">
        <v>98</v>
      </c>
      <c r="E3004" s="5" t="n">
        <v>15490</v>
      </c>
      <c r="F3004" s="4" t="n">
        <v>1</v>
      </c>
      <c r="G3004" s="4" t="s">
        <v>11973</v>
      </c>
      <c r="H3004" s="4" t="n">
        <v>40.94413</v>
      </c>
      <c r="I3004" s="4" t="n">
        <v>-78.96849</v>
      </c>
      <c r="J3004" s="4" t="s">
        <v>11974</v>
      </c>
      <c r="K3004" s="6" t="str">
        <f aca="false">HYPERLINK("https://www.google.com/search?q=Punxsutawney+Memorial+Library+Punxsutawney+PA+library+website","Search")</f>
        <v>Search</v>
      </c>
      <c r="L3004" s="7"/>
      <c r="M3004" s="7"/>
    </row>
    <row r="3005" customFormat="false" ht="15" hidden="false" customHeight="true" outlineLevel="0" collapsed="false">
      <c r="A3005" s="4" t="s">
        <v>11231</v>
      </c>
      <c r="B3005" s="4" t="s">
        <v>11975</v>
      </c>
      <c r="C3005" s="4" t="s">
        <v>11976</v>
      </c>
      <c r="D3005" s="4" t="s">
        <v>4923</v>
      </c>
      <c r="E3005" s="5" t="n">
        <v>38191</v>
      </c>
      <c r="F3005" s="4" t="n">
        <v>1</v>
      </c>
      <c r="G3005" s="4" t="s">
        <v>11977</v>
      </c>
      <c r="H3005" s="4" t="n">
        <v>39.89109</v>
      </c>
      <c r="I3005" s="4" t="n">
        <v>-76.17491</v>
      </c>
      <c r="J3005" s="4" t="s">
        <v>11978</v>
      </c>
      <c r="K3005" s="6" t="str">
        <f aca="false">HYPERLINK("https://www.google.com/search?q=Quarryville+Library+Center+Quarryville+PA+library+website","Search")</f>
        <v>Search</v>
      </c>
      <c r="L3005" s="7"/>
      <c r="M3005" s="7"/>
    </row>
    <row r="3006" customFormat="false" ht="15" hidden="false" customHeight="true" outlineLevel="0" collapsed="false">
      <c r="A3006" s="4" t="s">
        <v>11231</v>
      </c>
      <c r="B3006" s="4" t="s">
        <v>11979</v>
      </c>
      <c r="C3006" s="4" t="s">
        <v>11980</v>
      </c>
      <c r="D3006" s="4" t="s">
        <v>3041</v>
      </c>
      <c r="E3006" s="5" t="n">
        <v>21192</v>
      </c>
      <c r="F3006" s="4" t="n">
        <v>1</v>
      </c>
      <c r="G3006" s="4" t="s">
        <v>11981</v>
      </c>
      <c r="H3006" s="4" t="n">
        <v>39.86667</v>
      </c>
      <c r="I3006" s="4" t="n">
        <v>-75.51303</v>
      </c>
      <c r="J3006" s="4" t="s">
        <v>11982</v>
      </c>
      <c r="K3006" s="6" t="str">
        <f aca="false">HYPERLINK("https://www.google.com/search?q=Rachel+Kohl+Community+Library+Glen+Mills+PA+library+website","Search")</f>
        <v>Search</v>
      </c>
      <c r="L3006" s="7"/>
      <c r="M3006" s="7"/>
    </row>
    <row r="3007" customFormat="false" ht="15" hidden="false" customHeight="true" outlineLevel="0" collapsed="false">
      <c r="A3007" s="4" t="s">
        <v>11231</v>
      </c>
      <c r="B3007" s="4" t="s">
        <v>5947</v>
      </c>
      <c r="C3007" s="4" t="s">
        <v>5948</v>
      </c>
      <c r="D3007" s="4" t="s">
        <v>11328</v>
      </c>
      <c r="E3007" s="5" t="n">
        <v>130706</v>
      </c>
      <c r="F3007" s="4" t="n">
        <v>4</v>
      </c>
      <c r="G3007" s="4" t="s">
        <v>11983</v>
      </c>
      <c r="H3007" s="4" t="n">
        <v>40.33363</v>
      </c>
      <c r="I3007" s="4" t="n">
        <v>-75.92797</v>
      </c>
      <c r="J3007" s="4" t="s">
        <v>11984</v>
      </c>
      <c r="K3007" s="6" t="str">
        <f aca="false">HYPERLINK("https://www.google.com/search?q=Reading+Public+Library+Reading+PA+library+website","Search")</f>
        <v>Search</v>
      </c>
      <c r="L3007" s="7"/>
      <c r="M3007" s="7"/>
    </row>
    <row r="3008" customFormat="false" ht="15" hidden="false" customHeight="true" outlineLevel="0" collapsed="false">
      <c r="A3008" s="4" t="s">
        <v>11231</v>
      </c>
      <c r="B3008" s="4" t="s">
        <v>11985</v>
      </c>
      <c r="C3008" s="4" t="s">
        <v>4346</v>
      </c>
      <c r="D3008" s="4" t="s">
        <v>98</v>
      </c>
      <c r="E3008" s="5" t="n">
        <v>11316</v>
      </c>
      <c r="F3008" s="4" t="n">
        <v>1</v>
      </c>
      <c r="G3008" s="4" t="s">
        <v>11986</v>
      </c>
      <c r="H3008" s="4" t="n">
        <v>41.1661</v>
      </c>
      <c r="I3008" s="4" t="n">
        <v>-79.08511</v>
      </c>
      <c r="J3008" s="4" t="s">
        <v>11987</v>
      </c>
      <c r="K3008" s="6" t="str">
        <f aca="false">HYPERLINK("https://www.google.com/search?q=Rebecca+M+Arthurs+Mem+Library+Brookville+PA+library+website","Search")</f>
        <v>Search</v>
      </c>
      <c r="L3008" s="7"/>
      <c r="M3008" s="7"/>
    </row>
    <row r="3009" customFormat="false" ht="15" hidden="false" customHeight="true" outlineLevel="0" collapsed="false">
      <c r="A3009" s="4" t="s">
        <v>11231</v>
      </c>
      <c r="B3009" s="4" t="s">
        <v>11988</v>
      </c>
      <c r="C3009" s="4" t="s">
        <v>1049</v>
      </c>
      <c r="D3009" s="4" t="s">
        <v>3041</v>
      </c>
      <c r="E3009" s="5" t="n">
        <v>31053</v>
      </c>
      <c r="F3009" s="4" t="n">
        <v>1</v>
      </c>
      <c r="G3009" s="4" t="s">
        <v>11989</v>
      </c>
      <c r="H3009" s="4" t="n">
        <v>39.8869</v>
      </c>
      <c r="I3009" s="4" t="n">
        <v>-75.33018</v>
      </c>
      <c r="J3009" s="4" t="s">
        <v>11990</v>
      </c>
      <c r="K3009" s="6" t="str">
        <f aca="false">HYPERLINK("https://www.google.com/search?q=Ridley+Township+Public+Library+Folsom+PA+library+website","Search")</f>
        <v>Search</v>
      </c>
      <c r="L3009" s="7"/>
      <c r="M3009" s="7"/>
    </row>
    <row r="3010" customFormat="false" ht="15" hidden="false" customHeight="true" outlineLevel="0" collapsed="false">
      <c r="A3010" s="4" t="s">
        <v>11231</v>
      </c>
      <c r="B3010" s="4" t="s">
        <v>11991</v>
      </c>
      <c r="C3010" s="4" t="s">
        <v>11294</v>
      </c>
      <c r="D3010" s="4" t="s">
        <v>11295</v>
      </c>
      <c r="E3010" s="5" t="n">
        <v>24204</v>
      </c>
      <c r="F3010" s="4" t="n">
        <v>1</v>
      </c>
      <c r="G3010" s="4" t="s">
        <v>11992</v>
      </c>
      <c r="H3010" s="4" t="n">
        <v>40.43855</v>
      </c>
      <c r="I3010" s="4" t="n">
        <v>-80.14458</v>
      </c>
      <c r="J3010" s="4" t="s">
        <v>11993</v>
      </c>
      <c r="K3010" s="6" t="str">
        <f aca="false">HYPERLINK("https://www.google.com/search?q=Robinson+Township+Library+Pittsburgh+PA+library+website","Search")</f>
        <v>Search</v>
      </c>
      <c r="L3010" s="7"/>
      <c r="M3010" s="7"/>
    </row>
    <row r="3011" customFormat="false" ht="15" hidden="false" customHeight="true" outlineLevel="0" collapsed="false">
      <c r="A3011" s="4" t="s">
        <v>11231</v>
      </c>
      <c r="B3011" s="4" t="s">
        <v>11994</v>
      </c>
      <c r="C3011" s="4" t="s">
        <v>11995</v>
      </c>
      <c r="D3011" s="4" t="s">
        <v>11241</v>
      </c>
      <c r="E3011" s="5" t="n">
        <v>17723</v>
      </c>
      <c r="F3011" s="4" t="n">
        <v>1</v>
      </c>
      <c r="G3011" s="4" t="s">
        <v>11996</v>
      </c>
      <c r="H3011" s="4" t="n">
        <v>40.186</v>
      </c>
      <c r="I3011" s="4" t="n">
        <v>-79.80781</v>
      </c>
      <c r="J3011" s="4" t="s">
        <v>11997</v>
      </c>
      <c r="K3011" s="6" t="str">
        <f aca="false">HYPERLINK("https://www.google.com/search?q=Rostraver+Public+Library+Rostraver+Township+PA+library+website","Search")</f>
        <v>Search</v>
      </c>
      <c r="L3011" s="7"/>
      <c r="M3011" s="7"/>
    </row>
    <row r="3012" customFormat="false" ht="15" hidden="false" customHeight="true" outlineLevel="0" collapsed="false">
      <c r="A3012" s="4" t="s">
        <v>11231</v>
      </c>
      <c r="B3012" s="4" t="s">
        <v>11998</v>
      </c>
      <c r="C3012" s="4" t="s">
        <v>11999</v>
      </c>
      <c r="D3012" s="4" t="s">
        <v>12000</v>
      </c>
      <c r="E3012" s="5" t="n">
        <v>12738</v>
      </c>
      <c r="F3012" s="4" t="n">
        <v>1</v>
      </c>
      <c r="G3012" s="4" t="s">
        <v>12001</v>
      </c>
      <c r="H3012" s="4" t="n">
        <v>41.42812</v>
      </c>
      <c r="I3012" s="4" t="n">
        <v>-78.56236</v>
      </c>
      <c r="J3012" s="4" t="s">
        <v>12002</v>
      </c>
      <c r="K3012" s="6" t="str">
        <f aca="false">HYPERLINK("https://www.google.com/search?q=Saint+Marys+Public+Library+St+Marys+PA+library+website","Search")</f>
        <v>Search</v>
      </c>
      <c r="L3012" s="7"/>
      <c r="M3012" s="7"/>
    </row>
    <row r="3013" customFormat="false" ht="15" hidden="false" customHeight="true" outlineLevel="0" collapsed="false">
      <c r="A3013" s="4" t="s">
        <v>11231</v>
      </c>
      <c r="B3013" s="4" t="s">
        <v>12003</v>
      </c>
      <c r="C3013" s="4" t="s">
        <v>12004</v>
      </c>
      <c r="D3013" s="4" t="s">
        <v>11406</v>
      </c>
      <c r="E3013" s="5" t="n">
        <v>94625</v>
      </c>
      <c r="F3013" s="4" t="n">
        <v>1</v>
      </c>
      <c r="G3013" s="4" t="s">
        <v>12005</v>
      </c>
      <c r="H3013" s="4" t="n">
        <v>40.79318</v>
      </c>
      <c r="I3013" s="4" t="n">
        <v>-77.85996</v>
      </c>
      <c r="J3013" s="4" t="s">
        <v>12006</v>
      </c>
      <c r="K3013" s="6" t="str">
        <f aca="false">HYPERLINK("https://www.google.com/search?q=Schlow+Centre+Region+Library+State+College+PA+library+website","Search")</f>
        <v>Search</v>
      </c>
      <c r="L3013" s="7"/>
      <c r="M3013" s="7"/>
    </row>
    <row r="3014" customFormat="false" ht="15" hidden="false" customHeight="true" outlineLevel="0" collapsed="false">
      <c r="A3014" s="4" t="s">
        <v>11231</v>
      </c>
      <c r="B3014" s="4" t="s">
        <v>12007</v>
      </c>
      <c r="C3014" s="4" t="s">
        <v>12008</v>
      </c>
      <c r="D3014" s="4" t="s">
        <v>11328</v>
      </c>
      <c r="E3014" s="5" t="n">
        <v>15702</v>
      </c>
      <c r="F3014" s="4" t="n">
        <v>1</v>
      </c>
      <c r="G3014" s="4" t="s">
        <v>12009</v>
      </c>
      <c r="H3014" s="4" t="n">
        <v>40.43846</v>
      </c>
      <c r="I3014" s="4" t="n">
        <v>-75.96333</v>
      </c>
      <c r="J3014" s="4" t="s">
        <v>12010</v>
      </c>
      <c r="K3014" s="6" t="str">
        <f aca="false">HYPERLINK("https://www.google.com/search?q=Schuylkill+Valley+Community+Library+Leesport+PA+library+website","Search")</f>
        <v>Search</v>
      </c>
      <c r="L3014" s="7"/>
      <c r="M3014" s="7"/>
    </row>
    <row r="3015" customFormat="false" ht="15" hidden="false" customHeight="true" outlineLevel="0" collapsed="false">
      <c r="A3015" s="4" t="s">
        <v>11231</v>
      </c>
      <c r="B3015" s="4" t="s">
        <v>12011</v>
      </c>
      <c r="C3015" s="4" t="s">
        <v>12012</v>
      </c>
      <c r="D3015" s="4" t="s">
        <v>11295</v>
      </c>
      <c r="E3015" s="5" t="n">
        <v>17649</v>
      </c>
      <c r="F3015" s="4" t="n">
        <v>1</v>
      </c>
      <c r="G3015" s="4" t="s">
        <v>12013</v>
      </c>
      <c r="H3015" s="4" t="n">
        <v>40.38676</v>
      </c>
      <c r="I3015" s="4" t="n">
        <v>-80.0846</v>
      </c>
      <c r="J3015" s="4" t="s">
        <v>12014</v>
      </c>
      <c r="K3015" s="6" t="str">
        <f aca="false">HYPERLINK("https://www.google.com/search?q=Scott+Township+Public+Library+Scott+Township+PA+library+website","Search")</f>
        <v>Search</v>
      </c>
      <c r="L3015" s="7"/>
      <c r="M3015" s="7"/>
    </row>
    <row r="3016" customFormat="false" ht="15" hidden="false" customHeight="true" outlineLevel="0" collapsed="false">
      <c r="A3016" s="4" t="s">
        <v>11231</v>
      </c>
      <c r="B3016" s="4" t="s">
        <v>12015</v>
      </c>
      <c r="C3016" s="4" t="s">
        <v>12016</v>
      </c>
      <c r="D3016" s="4" t="s">
        <v>11241</v>
      </c>
      <c r="E3016" s="5" t="n">
        <v>14695</v>
      </c>
      <c r="F3016" s="4" t="n">
        <v>1</v>
      </c>
      <c r="G3016" s="4" t="s">
        <v>12017</v>
      </c>
      <c r="H3016" s="4" t="n">
        <v>40.10227</v>
      </c>
      <c r="I3016" s="4" t="n">
        <v>-79.58794</v>
      </c>
      <c r="J3016" s="4" t="s">
        <v>12018</v>
      </c>
      <c r="K3016" s="6" t="str">
        <f aca="false">HYPERLINK("https://www.google.com/search?q=Scottdale+Public+Library+Scottdale+PA+library+website","Search")</f>
        <v>Search</v>
      </c>
      <c r="L3016" s="7"/>
      <c r="M3016" s="7"/>
    </row>
    <row r="3017" customFormat="false" ht="15" hidden="false" customHeight="true" outlineLevel="0" collapsed="false">
      <c r="A3017" s="4" t="s">
        <v>11231</v>
      </c>
      <c r="B3017" s="4" t="s">
        <v>12019</v>
      </c>
      <c r="C3017" s="4" t="s">
        <v>12020</v>
      </c>
      <c r="D3017" s="4" t="s">
        <v>9707</v>
      </c>
      <c r="E3017" s="5" t="n">
        <v>96329</v>
      </c>
      <c r="F3017" s="4" t="n">
        <v>3</v>
      </c>
      <c r="G3017" s="4" t="s">
        <v>12021</v>
      </c>
      <c r="H3017" s="4" t="n">
        <v>41.4113</v>
      </c>
      <c r="I3017" s="4" t="n">
        <v>-75.65946</v>
      </c>
      <c r="J3017" s="4" t="s">
        <v>12022</v>
      </c>
      <c r="K3017" s="6" t="str">
        <f aca="false">HYPERLINK("https://www.google.com/search?q=Scranton+Public+Library+Scranton+PA+library+website","Search")</f>
        <v>Search</v>
      </c>
      <c r="L3017" s="7"/>
      <c r="M3017" s="7"/>
    </row>
    <row r="3018" customFormat="false" ht="15" hidden="false" customHeight="true" outlineLevel="0" collapsed="false">
      <c r="A3018" s="4" t="s">
        <v>11231</v>
      </c>
      <c r="B3018" s="4" t="s">
        <v>12023</v>
      </c>
      <c r="C3018" s="4" t="s">
        <v>12024</v>
      </c>
      <c r="D3018" s="4" t="s">
        <v>11295</v>
      </c>
      <c r="E3018" s="5" t="n">
        <v>14121</v>
      </c>
      <c r="F3018" s="4" t="n">
        <v>1</v>
      </c>
      <c r="G3018" s="4" t="s">
        <v>12025</v>
      </c>
      <c r="H3018" s="4" t="n">
        <v>40.539</v>
      </c>
      <c r="I3018" s="4" t="n">
        <v>-80.18132</v>
      </c>
      <c r="J3018" s="4" t="s">
        <v>12026</v>
      </c>
      <c r="K3018" s="6" t="str">
        <f aca="false">HYPERLINK("https://www.google.com/search?q=Sewickley+Public+Library+Sewickley+PA+library+website","Search")</f>
        <v>Search</v>
      </c>
      <c r="L3018" s="7"/>
      <c r="M3018" s="7"/>
    </row>
    <row r="3019" customFormat="false" ht="15" hidden="false" customHeight="true" outlineLevel="0" collapsed="false">
      <c r="A3019" s="4" t="s">
        <v>11231</v>
      </c>
      <c r="B3019" s="4" t="s">
        <v>12027</v>
      </c>
      <c r="C3019" s="4" t="s">
        <v>12028</v>
      </c>
      <c r="D3019" s="4" t="s">
        <v>11295</v>
      </c>
      <c r="E3019" s="5" t="n">
        <v>28132</v>
      </c>
      <c r="F3019" s="4" t="n">
        <v>1</v>
      </c>
      <c r="G3019" s="4" t="s">
        <v>12029</v>
      </c>
      <c r="H3019" s="4" t="n">
        <v>40.52806</v>
      </c>
      <c r="I3019" s="4" t="n">
        <v>-79.96456</v>
      </c>
      <c r="J3019" s="4" t="s">
        <v>12030</v>
      </c>
      <c r="K3019" s="6" t="str">
        <f aca="false">HYPERLINK("https://www.google.com/search?q=Shaler+North+Hills+Library+Glenshaw+PA+library+website","Search")</f>
        <v>Search</v>
      </c>
      <c r="L3019" s="7"/>
      <c r="M3019" s="7"/>
    </row>
    <row r="3020" customFormat="false" ht="15" hidden="false" customHeight="true" outlineLevel="0" collapsed="false">
      <c r="A3020" s="4" t="s">
        <v>11231</v>
      </c>
      <c r="B3020" s="4" t="s">
        <v>12031</v>
      </c>
      <c r="C3020" s="4" t="s">
        <v>12032</v>
      </c>
      <c r="D3020" s="4" t="s">
        <v>11478</v>
      </c>
      <c r="E3020" s="5" t="n">
        <v>20080</v>
      </c>
      <c r="F3020" s="4" t="n">
        <v>1</v>
      </c>
      <c r="G3020" s="4" t="s">
        <v>12033</v>
      </c>
      <c r="H3020" s="4" t="n">
        <v>40.79195</v>
      </c>
      <c r="I3020" s="4" t="n">
        <v>-76.55353</v>
      </c>
      <c r="J3020" s="4" t="s">
        <v>12034</v>
      </c>
      <c r="K3020" s="6" t="str">
        <f aca="false">HYPERLINK("https://www.google.com/search?q=Shamokin+%26+Coal+Twp+Pub+Lib+Shamokin+PA+library+website","Search")</f>
        <v>Search</v>
      </c>
      <c r="L3020" s="7"/>
      <c r="M3020" s="7"/>
    </row>
    <row r="3021" customFormat="false" ht="15" hidden="false" customHeight="true" outlineLevel="0" collapsed="false">
      <c r="A3021" s="4" t="s">
        <v>11231</v>
      </c>
      <c r="B3021" s="4" t="s">
        <v>12035</v>
      </c>
      <c r="C3021" s="4" t="s">
        <v>12036</v>
      </c>
      <c r="D3021" s="4" t="s">
        <v>6161</v>
      </c>
      <c r="E3021" s="5" t="n">
        <v>31554</v>
      </c>
      <c r="F3021" s="4" t="n">
        <v>1</v>
      </c>
      <c r="G3021" s="4" t="s">
        <v>12037</v>
      </c>
      <c r="H3021" s="4" t="n">
        <v>40.04952</v>
      </c>
      <c r="I3021" s="4" t="n">
        <v>-77.52343</v>
      </c>
      <c r="J3021" s="4" t="s">
        <v>12038</v>
      </c>
      <c r="K3021" s="6" t="str">
        <f aca="false">HYPERLINK("https://www.google.com/search?q=Shippensburg+Public+Library+Shippensburg+PA+library+website","Search")</f>
        <v>Search</v>
      </c>
      <c r="L3021" s="7"/>
      <c r="M3021" s="7"/>
    </row>
    <row r="3022" customFormat="false" ht="15" hidden="false" customHeight="true" outlineLevel="0" collapsed="false">
      <c r="A3022" s="4" t="s">
        <v>11231</v>
      </c>
      <c r="B3022" s="4" t="s">
        <v>12039</v>
      </c>
      <c r="C3022" s="4" t="s">
        <v>12040</v>
      </c>
      <c r="D3022" s="4" t="s">
        <v>11257</v>
      </c>
      <c r="E3022" s="5" t="n">
        <v>12901</v>
      </c>
      <c r="F3022" s="4" t="n">
        <v>1</v>
      </c>
      <c r="G3022" s="4" t="s">
        <v>12041</v>
      </c>
      <c r="H3022" s="4" t="n">
        <v>40.75083</v>
      </c>
      <c r="I3022" s="4" t="n">
        <v>-75.61273</v>
      </c>
      <c r="J3022" s="4" t="s">
        <v>12042</v>
      </c>
      <c r="K3022" s="6" t="str">
        <f aca="false">HYPERLINK("https://www.google.com/search?q=Slatington+Library+Inc+Slatington+PA+library+website","Search")</f>
        <v>Search</v>
      </c>
      <c r="L3022" s="7"/>
      <c r="M3022" s="7"/>
    </row>
    <row r="3023" customFormat="false" ht="15" hidden="false" customHeight="true" outlineLevel="0" collapsed="false">
      <c r="A3023" s="4" t="s">
        <v>11231</v>
      </c>
      <c r="B3023" s="4" t="s">
        <v>12043</v>
      </c>
      <c r="C3023" s="4" t="s">
        <v>12044</v>
      </c>
      <c r="D3023" s="4" t="s">
        <v>12045</v>
      </c>
      <c r="E3023" s="5" t="n">
        <v>39736</v>
      </c>
      <c r="F3023" s="4" t="n">
        <v>4</v>
      </c>
      <c r="G3023" s="4" t="s">
        <v>12046</v>
      </c>
      <c r="H3023" s="4" t="n">
        <v>40.7998</v>
      </c>
      <c r="I3023" s="4" t="n">
        <v>-76.86325</v>
      </c>
      <c r="J3023" s="4" t="s">
        <v>12047</v>
      </c>
      <c r="K3023" s="6" t="str">
        <f aca="false">HYPERLINK("https://www.google.com/search?q=Snyder+County+Libraries%2C+Inc.+Selinsgrove+PA+library+website","Search")</f>
        <v>Search</v>
      </c>
      <c r="L3023" s="7"/>
      <c r="M3023" s="7"/>
    </row>
    <row r="3024" customFormat="false" ht="15" hidden="false" customHeight="true" outlineLevel="0" collapsed="false">
      <c r="A3024" s="4" t="s">
        <v>11231</v>
      </c>
      <c r="B3024" s="4" t="s">
        <v>6238</v>
      </c>
      <c r="C3024" s="4" t="s">
        <v>5152</v>
      </c>
      <c r="D3024" s="4" t="s">
        <v>5152</v>
      </c>
      <c r="E3024" s="5" t="n">
        <v>37498</v>
      </c>
      <c r="F3024" s="4" t="n">
        <v>2</v>
      </c>
      <c r="G3024" s="4" t="s">
        <v>12048</v>
      </c>
      <c r="H3024" s="4" t="n">
        <v>40.00028</v>
      </c>
      <c r="I3024" s="4" t="n">
        <v>-79.02736</v>
      </c>
      <c r="J3024" s="4" t="s">
        <v>12049</v>
      </c>
      <c r="K3024" s="6" t="str">
        <f aca="false">HYPERLINK("https://www.google.com/search?q=Somerset+County+Library+Somerset+PA+library+website","Search")</f>
        <v>Search</v>
      </c>
      <c r="L3024" s="7"/>
      <c r="M3024" s="7"/>
    </row>
    <row r="3025" customFormat="false" ht="15" hidden="false" customHeight="true" outlineLevel="0" collapsed="false">
      <c r="A3025" s="4" t="s">
        <v>11231</v>
      </c>
      <c r="B3025" s="4" t="s">
        <v>12050</v>
      </c>
      <c r="C3025" s="4" t="s">
        <v>156</v>
      </c>
      <c r="D3025" s="4" t="s">
        <v>11295</v>
      </c>
      <c r="E3025" s="5" t="n">
        <v>18358</v>
      </c>
      <c r="F3025" s="4" t="n">
        <v>1</v>
      </c>
      <c r="G3025" s="4" t="s">
        <v>12051</v>
      </c>
      <c r="H3025" s="4" t="n">
        <v>40.3545</v>
      </c>
      <c r="I3025" s="4" t="n">
        <v>-80.14325</v>
      </c>
      <c r="J3025" s="4" t="s">
        <v>12052</v>
      </c>
      <c r="K3025" s="6" t="str">
        <f aca="false">HYPERLINK("https://www.google.com/search?q=South+Fayette+Township+Library+Morgan+PA+library+website","Search")</f>
        <v>Search</v>
      </c>
      <c r="L3025" s="7"/>
      <c r="M3025" s="7"/>
    </row>
    <row r="3026" customFormat="false" ht="15" hidden="false" customHeight="true" outlineLevel="0" collapsed="false">
      <c r="A3026" s="4" t="s">
        <v>11231</v>
      </c>
      <c r="B3026" s="4" t="s">
        <v>12053</v>
      </c>
      <c r="C3026" s="4" t="s">
        <v>12054</v>
      </c>
      <c r="D3026" s="4" t="s">
        <v>11295</v>
      </c>
      <c r="E3026" s="5" t="n">
        <v>13727</v>
      </c>
      <c r="F3026" s="4" t="n">
        <v>1</v>
      </c>
      <c r="G3026" s="4" t="s">
        <v>12055</v>
      </c>
      <c r="H3026" s="4" t="n">
        <v>40.29193</v>
      </c>
      <c r="I3026" s="4" t="n">
        <v>-79.99671</v>
      </c>
      <c r="J3026" s="4" t="s">
        <v>12056</v>
      </c>
      <c r="K3026" s="6" t="str">
        <f aca="false">HYPERLINK("https://www.google.com/search?q=South+Park+Township+Library+South+Park+PA+library+website","Search")</f>
        <v>Search</v>
      </c>
      <c r="L3026" s="7"/>
      <c r="M3026" s="7"/>
    </row>
    <row r="3027" customFormat="false" ht="15" hidden="false" customHeight="true" outlineLevel="0" collapsed="false">
      <c r="A3027" s="4" t="s">
        <v>11231</v>
      </c>
      <c r="B3027" s="4" t="s">
        <v>12057</v>
      </c>
      <c r="C3027" s="4" t="s">
        <v>10038</v>
      </c>
      <c r="D3027" s="4" t="s">
        <v>11363</v>
      </c>
      <c r="E3027" s="5" t="n">
        <v>15269</v>
      </c>
      <c r="F3027" s="4" t="n">
        <v>1</v>
      </c>
      <c r="G3027" s="4" t="s">
        <v>12058</v>
      </c>
      <c r="H3027" s="4" t="n">
        <v>40.17089</v>
      </c>
      <c r="I3027" s="4" t="n">
        <v>-75.03719</v>
      </c>
      <c r="J3027" s="4" t="s">
        <v>12059</v>
      </c>
      <c r="K3027" s="6" t="str">
        <f aca="false">HYPERLINK("https://www.google.com/search?q=Southampton+Free+Library+Southampton+PA+library+website","Search")</f>
        <v>Search</v>
      </c>
      <c r="L3027" s="7"/>
      <c r="M3027" s="7"/>
    </row>
    <row r="3028" customFormat="false" ht="15" hidden="false" customHeight="true" outlineLevel="0" collapsed="false">
      <c r="A3028" s="4" t="s">
        <v>11231</v>
      </c>
      <c r="B3028" s="4" t="s">
        <v>12060</v>
      </c>
      <c r="C3028" s="4" t="s">
        <v>12061</v>
      </c>
      <c r="D3028" s="4" t="s">
        <v>11257</v>
      </c>
      <c r="E3028" s="5" t="n">
        <v>23281</v>
      </c>
      <c r="F3028" s="4" t="n">
        <v>1</v>
      </c>
      <c r="G3028" s="4" t="s">
        <v>12062</v>
      </c>
      <c r="H3028" s="4" t="n">
        <v>40.53467</v>
      </c>
      <c r="I3028" s="4" t="n">
        <v>-75.3896</v>
      </c>
      <c r="J3028" s="4" t="s">
        <v>12063</v>
      </c>
      <c r="K3028" s="6" t="str">
        <f aca="false">HYPERLINK("https://www.google.com/search?q=Southern+Lehigh+Public+Library+Center+Valley+PA+library+website","Search")</f>
        <v>Search</v>
      </c>
      <c r="L3028" s="7"/>
      <c r="M3028" s="7"/>
    </row>
    <row r="3029" customFormat="false" ht="15" hidden="false" customHeight="true" outlineLevel="0" collapsed="false">
      <c r="A3029" s="4" t="s">
        <v>11231</v>
      </c>
      <c r="B3029" s="4" t="s">
        <v>12064</v>
      </c>
      <c r="C3029" s="4" t="s">
        <v>12065</v>
      </c>
      <c r="D3029" s="4" t="s">
        <v>9374</v>
      </c>
      <c r="E3029" s="5" t="n">
        <v>14461</v>
      </c>
      <c r="F3029" s="4" t="n">
        <v>1</v>
      </c>
      <c r="G3029" s="4" t="s">
        <v>12066</v>
      </c>
      <c r="H3029" s="4" t="n">
        <v>40.17756</v>
      </c>
      <c r="I3029" s="4" t="n">
        <v>-75.54945</v>
      </c>
      <c r="J3029" s="4" t="s">
        <v>12067</v>
      </c>
      <c r="K3029" s="6" t="str">
        <f aca="false">HYPERLINK("https://www.google.com/search?q=Spring+City+Fr+Public+Library+Spring+City+PA+library+website","Search")</f>
        <v>Search</v>
      </c>
      <c r="L3029" s="7"/>
      <c r="M3029" s="7"/>
    </row>
    <row r="3030" customFormat="false" ht="15" hidden="false" customHeight="true" outlineLevel="0" collapsed="false">
      <c r="A3030" s="4" t="s">
        <v>11231</v>
      </c>
      <c r="B3030" s="4" t="s">
        <v>12068</v>
      </c>
      <c r="C3030" s="4" t="s">
        <v>12069</v>
      </c>
      <c r="D3030" s="4" t="s">
        <v>11328</v>
      </c>
      <c r="E3030" s="5" t="n">
        <v>28407</v>
      </c>
      <c r="F3030" s="4" t="n">
        <v>2</v>
      </c>
      <c r="G3030" s="4" t="s">
        <v>12070</v>
      </c>
      <c r="H3030" s="4" t="n">
        <v>40.34633</v>
      </c>
      <c r="I3030" s="4" t="n">
        <v>-75.99026</v>
      </c>
      <c r="J3030" s="4" t="s">
        <v>12071</v>
      </c>
      <c r="K3030" s="6" t="str">
        <f aca="false">HYPERLINK("https://www.google.com/search?q=Spring+Township+Library+Wyomissing+PA+library+website","Search")</f>
        <v>Search</v>
      </c>
      <c r="L3030" s="7"/>
      <c r="M3030" s="7"/>
    </row>
    <row r="3031" customFormat="false" ht="15" hidden="false" customHeight="true" outlineLevel="0" collapsed="false">
      <c r="A3031" s="4" t="s">
        <v>11231</v>
      </c>
      <c r="B3031" s="4" t="s">
        <v>7021</v>
      </c>
      <c r="C3031" s="4" t="s">
        <v>3770</v>
      </c>
      <c r="D3031" s="4" t="s">
        <v>3041</v>
      </c>
      <c r="E3031" s="5" t="n">
        <v>25070</v>
      </c>
      <c r="F3031" s="4" t="n">
        <v>1</v>
      </c>
      <c r="G3031" s="4" t="s">
        <v>12072</v>
      </c>
      <c r="H3031" s="4" t="n">
        <v>39.93045</v>
      </c>
      <c r="I3031" s="4" t="n">
        <v>-75.32955</v>
      </c>
      <c r="J3031" s="4" t="s">
        <v>12073</v>
      </c>
      <c r="K3031" s="6" t="str">
        <f aca="false">HYPERLINK("https://www.google.com/search?q=Springfield+Township+Library+Springfield+PA+library+website","Search")</f>
        <v>Search</v>
      </c>
      <c r="L3031" s="7"/>
      <c r="M3031" s="7"/>
    </row>
    <row r="3032" customFormat="false" ht="15" hidden="false" customHeight="true" outlineLevel="0" collapsed="false">
      <c r="A3032" s="4" t="s">
        <v>11231</v>
      </c>
      <c r="B3032" s="4" t="s">
        <v>12074</v>
      </c>
      <c r="C3032" s="4" t="s">
        <v>1716</v>
      </c>
      <c r="D3032" s="4" t="s">
        <v>12075</v>
      </c>
      <c r="E3032" s="5" t="n">
        <v>38434</v>
      </c>
      <c r="F3032" s="4" t="n">
        <v>4</v>
      </c>
      <c r="G3032" s="4" t="s">
        <v>12076</v>
      </c>
      <c r="H3032" s="4" t="n">
        <v>41.84005</v>
      </c>
      <c r="I3032" s="4" t="n">
        <v>-75.84725</v>
      </c>
      <c r="J3032" s="4" t="s">
        <v>12077</v>
      </c>
      <c r="K3032" s="6" t="str">
        <f aca="false">HYPERLINK("https://www.google.com/search?q=Sus+Que+Co+Hist+Soc+%26+Free+Lib+Montrose+PA+library+website","Search")</f>
        <v>Search</v>
      </c>
      <c r="L3032" s="7"/>
      <c r="M3032" s="7"/>
    </row>
    <row r="3033" customFormat="false" ht="15" hidden="false" customHeight="true" outlineLevel="0" collapsed="false">
      <c r="A3033" s="4" t="s">
        <v>11231</v>
      </c>
      <c r="B3033" s="4" t="s">
        <v>12078</v>
      </c>
      <c r="C3033" s="4" t="s">
        <v>12079</v>
      </c>
      <c r="D3033" s="4" t="s">
        <v>11744</v>
      </c>
      <c r="E3033" s="5" t="n">
        <v>16766</v>
      </c>
      <c r="F3033" s="4" t="n">
        <v>1</v>
      </c>
      <c r="G3033" s="4" t="s">
        <v>12080</v>
      </c>
      <c r="H3033" s="4" t="n">
        <v>40.79647</v>
      </c>
      <c r="I3033" s="4" t="n">
        <v>-75.97009</v>
      </c>
      <c r="J3033" s="4" t="s">
        <v>12081</v>
      </c>
      <c r="K3033" s="6" t="str">
        <f aca="false">HYPERLINK("https://www.google.com/search?q=Tamaqua+Public+Library+Tamaqua+PA+library+website","Search")</f>
        <v>Search</v>
      </c>
      <c r="L3033" s="7"/>
      <c r="M3033" s="7"/>
    </row>
    <row r="3034" customFormat="false" ht="15" hidden="false" customHeight="true" outlineLevel="0" collapsed="false">
      <c r="A3034" s="4" t="s">
        <v>11231</v>
      </c>
      <c r="B3034" s="4" t="s">
        <v>7043</v>
      </c>
      <c r="C3034" s="4" t="s">
        <v>5179</v>
      </c>
      <c r="D3034" s="4" t="s">
        <v>9707</v>
      </c>
      <c r="E3034" s="5" t="n">
        <v>14791</v>
      </c>
      <c r="F3034" s="4" t="n">
        <v>1</v>
      </c>
      <c r="G3034" s="4" t="s">
        <v>12082</v>
      </c>
      <c r="H3034" s="4" t="n">
        <v>41.37882</v>
      </c>
      <c r="I3034" s="4" t="n">
        <v>-75.71838</v>
      </c>
      <c r="J3034" s="4" t="s">
        <v>12083</v>
      </c>
      <c r="K3034" s="6" t="str">
        <f aca="false">HYPERLINK("https://www.google.com/search?q=Taylor+Community+Library+Taylor+PA+library+website","Search")</f>
        <v>Search</v>
      </c>
      <c r="L3034" s="7"/>
      <c r="M3034" s="7"/>
    </row>
    <row r="3035" customFormat="false" ht="15" hidden="false" customHeight="true" outlineLevel="0" collapsed="false">
      <c r="A3035" s="4" t="s">
        <v>11231</v>
      </c>
      <c r="B3035" s="4" t="s">
        <v>12084</v>
      </c>
      <c r="C3035" s="4" t="s">
        <v>3479</v>
      </c>
      <c r="D3035" s="4" t="s">
        <v>12085</v>
      </c>
      <c r="E3035" s="5" t="n">
        <v>21375</v>
      </c>
      <c r="F3035" s="4" t="n">
        <v>1</v>
      </c>
      <c r="G3035" s="4" t="s">
        <v>12086</v>
      </c>
      <c r="H3035" s="4" t="n">
        <v>40.96014</v>
      </c>
      <c r="I3035" s="4" t="n">
        <v>-76.61752</v>
      </c>
      <c r="J3035" s="4" t="s">
        <v>12087</v>
      </c>
      <c r="K3035" s="6" t="str">
        <f aca="false">HYPERLINK("https://www.google.com/search?q=Thomas+Beaver+Free+Library+Danville+PA+library+website","Search")</f>
        <v>Search</v>
      </c>
      <c r="L3035" s="7"/>
      <c r="M3035" s="7"/>
    </row>
    <row r="3036" customFormat="false" ht="15" hidden="false" customHeight="true" outlineLevel="0" collapsed="false">
      <c r="A3036" s="4" t="s">
        <v>11231</v>
      </c>
      <c r="B3036" s="4" t="s">
        <v>12088</v>
      </c>
      <c r="C3036" s="4" t="s">
        <v>12089</v>
      </c>
      <c r="D3036" s="4" t="s">
        <v>11344</v>
      </c>
      <c r="E3036" s="5" t="n">
        <v>10096</v>
      </c>
      <c r="F3036" s="4" t="n">
        <v>1</v>
      </c>
      <c r="G3036" s="4" t="s">
        <v>12090</v>
      </c>
      <c r="H3036" s="4" t="n">
        <v>41.76917</v>
      </c>
      <c r="I3036" s="4" t="n">
        <v>-76.44317</v>
      </c>
      <c r="J3036" s="4" t="s">
        <v>12091</v>
      </c>
      <c r="K3036" s="6" t="str">
        <f aca="false">HYPERLINK("https://www.google.com/search?q=Towanda+Public+Library+Towanda+PA+library+website","Search")</f>
        <v>Search</v>
      </c>
      <c r="L3036" s="7"/>
      <c r="M3036" s="7"/>
    </row>
    <row r="3037" customFormat="false" ht="15" hidden="false" customHeight="true" outlineLevel="0" collapsed="false">
      <c r="A3037" s="4" t="s">
        <v>11231</v>
      </c>
      <c r="B3037" s="4" t="s">
        <v>12092</v>
      </c>
      <c r="C3037" s="4" t="s">
        <v>2849</v>
      </c>
      <c r="D3037" s="4" t="s">
        <v>9374</v>
      </c>
      <c r="E3037" s="5" t="n">
        <v>37563</v>
      </c>
      <c r="F3037" s="4" t="n">
        <v>2</v>
      </c>
      <c r="G3037" s="4" t="s">
        <v>12093</v>
      </c>
      <c r="H3037" s="4" t="n">
        <v>40.05626</v>
      </c>
      <c r="I3037" s="4" t="n">
        <v>-75.40282</v>
      </c>
      <c r="J3037" s="4" t="s">
        <v>12094</v>
      </c>
      <c r="K3037" s="6" t="str">
        <f aca="false">HYPERLINK("https://www.google.com/search?q=Tredyffrin+Public+Library+Wayne+PA+library+website","Search")</f>
        <v>Search</v>
      </c>
      <c r="L3037" s="7"/>
      <c r="M3037" s="7"/>
    </row>
    <row r="3038" customFormat="false" ht="15" hidden="false" customHeight="true" outlineLevel="0" collapsed="false">
      <c r="A3038" s="4" t="s">
        <v>11231</v>
      </c>
      <c r="B3038" s="4" t="s">
        <v>12095</v>
      </c>
      <c r="C3038" s="4" t="s">
        <v>12096</v>
      </c>
      <c r="D3038" s="4" t="s">
        <v>10123</v>
      </c>
      <c r="E3038" s="5" t="n">
        <v>26069</v>
      </c>
      <c r="F3038" s="4" t="n">
        <v>1</v>
      </c>
      <c r="G3038" s="4" t="s">
        <v>12097</v>
      </c>
      <c r="H3038" s="4" t="n">
        <v>41.54568</v>
      </c>
      <c r="I3038" s="4" t="n">
        <v>-75.96509</v>
      </c>
      <c r="J3038" s="4" t="s">
        <v>12098</v>
      </c>
      <c r="K3038" s="6" t="str">
        <f aca="false">HYPERLINK("https://www.google.com/search?q=Tunkhannock+Public+Library+Tunkhannock+PA+library+website","Search")</f>
        <v>Search</v>
      </c>
      <c r="L3038" s="7"/>
      <c r="M3038" s="7"/>
    </row>
    <row r="3039" customFormat="false" ht="15" hidden="false" customHeight="true" outlineLevel="0" collapsed="false">
      <c r="A3039" s="4" t="s">
        <v>11231</v>
      </c>
      <c r="B3039" s="4" t="s">
        <v>12099</v>
      </c>
      <c r="C3039" s="4" t="s">
        <v>12100</v>
      </c>
      <c r="D3039" s="4" t="s">
        <v>11363</v>
      </c>
      <c r="E3039" s="5" t="n">
        <v>20599</v>
      </c>
      <c r="F3039" s="4" t="n">
        <v>1</v>
      </c>
      <c r="G3039" s="4" t="s">
        <v>12101</v>
      </c>
      <c r="H3039" s="4" t="n">
        <v>40.16292</v>
      </c>
      <c r="I3039" s="4" t="n">
        <v>-74.98438</v>
      </c>
      <c r="J3039" s="4" t="s">
        <v>12102</v>
      </c>
      <c r="K3039" s="6" t="str">
        <f aca="false">HYPERLINK("https://www.google.com/search?q=Twp+Lib+Of+Lower+Southampton+Feasterville+PA+library+website","Search")</f>
        <v>Search</v>
      </c>
      <c r="L3039" s="7"/>
      <c r="M3039" s="7"/>
    </row>
    <row r="3040" customFormat="false" ht="15" hidden="false" customHeight="true" outlineLevel="0" collapsed="false">
      <c r="A3040" s="4" t="s">
        <v>11231</v>
      </c>
      <c r="B3040" s="4" t="s">
        <v>12103</v>
      </c>
      <c r="C3040" s="4" t="s">
        <v>12104</v>
      </c>
      <c r="D3040" s="4" t="s">
        <v>3041</v>
      </c>
      <c r="E3040" s="5" t="n">
        <v>183227</v>
      </c>
      <c r="F3040" s="4" t="n">
        <v>3</v>
      </c>
      <c r="G3040" s="4" t="s">
        <v>12105</v>
      </c>
      <c r="H3040" s="4" t="n">
        <v>39.96175</v>
      </c>
      <c r="I3040" s="4" t="n">
        <v>-75.27358</v>
      </c>
      <c r="J3040" s="4" t="s">
        <v>12106</v>
      </c>
      <c r="K3040" s="6" t="str">
        <f aca="false">HYPERLINK("https://www.google.com/search?q=Upper+Darby+Township+%26+Sellers+Memorial+Free+Public+Library+Upper+Darby+PA+library+website","Search")</f>
        <v>Search</v>
      </c>
      <c r="L3040" s="7"/>
      <c r="M3040" s="7"/>
    </row>
    <row r="3041" customFormat="false" ht="15" hidden="false" customHeight="true" outlineLevel="0" collapsed="false">
      <c r="A3041" s="4" t="s">
        <v>11231</v>
      </c>
      <c r="B3041" s="4" t="s">
        <v>12107</v>
      </c>
      <c r="C3041" s="4" t="s">
        <v>12108</v>
      </c>
      <c r="D3041" s="4" t="s">
        <v>315</v>
      </c>
      <c r="E3041" s="5" t="n">
        <v>26665</v>
      </c>
      <c r="F3041" s="4" t="n">
        <v>1</v>
      </c>
      <c r="G3041" s="4" t="s">
        <v>12109</v>
      </c>
      <c r="H3041" s="4" t="n">
        <v>40.13737</v>
      </c>
      <c r="I3041" s="4" t="n">
        <v>-75.19103</v>
      </c>
      <c r="J3041" s="4" t="s">
        <v>12110</v>
      </c>
      <c r="K3041" s="6" t="str">
        <f aca="false">HYPERLINK("https://www.google.com/search?q=Upper+Dublin+Public+Library+Fort+Washington+PA+library+website","Search")</f>
        <v>Search</v>
      </c>
      <c r="L3041" s="7"/>
      <c r="M3041" s="7"/>
    </row>
    <row r="3042" customFormat="false" ht="15" hidden="false" customHeight="true" outlineLevel="0" collapsed="false">
      <c r="A3042" s="4" t="s">
        <v>11231</v>
      </c>
      <c r="B3042" s="4" t="s">
        <v>12111</v>
      </c>
      <c r="C3042" s="4" t="s">
        <v>12112</v>
      </c>
      <c r="D3042" s="4" t="s">
        <v>315</v>
      </c>
      <c r="E3042" s="5" t="n">
        <v>33613</v>
      </c>
      <c r="F3042" s="4" t="n">
        <v>1</v>
      </c>
      <c r="G3042" s="4" t="s">
        <v>12113</v>
      </c>
      <c r="H3042" s="4" t="n">
        <v>40.10248</v>
      </c>
      <c r="I3042" s="4" t="n">
        <v>-75.37075</v>
      </c>
      <c r="J3042" s="4" t="s">
        <v>12114</v>
      </c>
      <c r="K3042" s="6" t="str">
        <f aca="false">HYPERLINK("https://www.google.com/search?q=Upper+Merion+Township+Library+King+Of+Prussia+PA+library+website","Search")</f>
        <v>Search</v>
      </c>
      <c r="L3042" s="7"/>
      <c r="M3042" s="7"/>
    </row>
    <row r="3043" customFormat="false" ht="15" hidden="false" customHeight="true" outlineLevel="0" collapsed="false">
      <c r="A3043" s="4" t="s">
        <v>11231</v>
      </c>
      <c r="B3043" s="4" t="s">
        <v>12115</v>
      </c>
      <c r="C3043" s="4" t="s">
        <v>12116</v>
      </c>
      <c r="D3043" s="4" t="s">
        <v>315</v>
      </c>
      <c r="E3043" s="5" t="n">
        <v>26116</v>
      </c>
      <c r="F3043" s="4" t="n">
        <v>1</v>
      </c>
      <c r="G3043" s="4" t="s">
        <v>12117</v>
      </c>
      <c r="H3043" s="4" t="n">
        <v>40.14411</v>
      </c>
      <c r="I3043" s="4" t="n">
        <v>-75.11787</v>
      </c>
      <c r="J3043" s="4" t="s">
        <v>12118</v>
      </c>
      <c r="K3043" s="6" t="str">
        <f aca="false">HYPERLINK("https://www.google.com/search?q=Upper+Moreland+Fr+Pub+Library+Willow+Grove+PA+library+website","Search")</f>
        <v>Search</v>
      </c>
      <c r="L3043" s="7"/>
      <c r="M3043" s="7"/>
    </row>
    <row r="3044" customFormat="false" ht="15" hidden="false" customHeight="true" outlineLevel="0" collapsed="false">
      <c r="A3044" s="4" t="s">
        <v>11231</v>
      </c>
      <c r="B3044" s="4" t="s">
        <v>12119</v>
      </c>
      <c r="C3044" s="4" t="s">
        <v>12120</v>
      </c>
      <c r="D3044" s="4" t="s">
        <v>11295</v>
      </c>
      <c r="E3044" s="5" t="n">
        <v>21160</v>
      </c>
      <c r="F3044" s="4" t="n">
        <v>1</v>
      </c>
      <c r="G3044" s="4" t="s">
        <v>12121</v>
      </c>
      <c r="H3044" s="4" t="n">
        <v>40.33365</v>
      </c>
      <c r="I3044" s="4" t="n">
        <v>-80.07138</v>
      </c>
      <c r="J3044" s="4" t="s">
        <v>12122</v>
      </c>
      <c r="K3044" s="6" t="str">
        <f aca="false">HYPERLINK("https://www.google.com/search?q=Upper+St.+Clair+Township+Library+Upper+St+Clair+PA+library+website","Search")</f>
        <v>Search</v>
      </c>
      <c r="L3044" s="7"/>
      <c r="M3044" s="7"/>
    </row>
    <row r="3045" customFormat="false" ht="15" hidden="false" customHeight="true" outlineLevel="0" collapsed="false">
      <c r="A3045" s="4" t="s">
        <v>11231</v>
      </c>
      <c r="B3045" s="4" t="s">
        <v>12123</v>
      </c>
      <c r="C3045" s="4" t="s">
        <v>12124</v>
      </c>
      <c r="D3045" s="4" t="s">
        <v>9707</v>
      </c>
      <c r="E3045" s="5" t="n">
        <v>33960</v>
      </c>
      <c r="F3045" s="4" t="n">
        <v>1</v>
      </c>
      <c r="G3045" s="4" t="s">
        <v>12125</v>
      </c>
      <c r="H3045" s="4" t="n">
        <v>41.47755</v>
      </c>
      <c r="I3045" s="4" t="n">
        <v>-75.5802</v>
      </c>
      <c r="J3045" s="4" t="s">
        <v>12126</v>
      </c>
      <c r="K3045" s="6" t="str">
        <f aca="false">HYPERLINK("https://www.google.com/search?q=Valley+Community+Library+Peckville+PA+library+website","Search")</f>
        <v>Search</v>
      </c>
      <c r="L3045" s="7"/>
      <c r="M3045" s="7"/>
    </row>
    <row r="3046" customFormat="false" ht="15" hidden="false" customHeight="true" outlineLevel="0" collapsed="false">
      <c r="A3046" s="4" t="s">
        <v>11231</v>
      </c>
      <c r="B3046" s="4" t="s">
        <v>12127</v>
      </c>
      <c r="C3046" s="4" t="s">
        <v>4858</v>
      </c>
      <c r="D3046" s="4" t="s">
        <v>11328</v>
      </c>
      <c r="E3046" s="5" t="n">
        <v>11826</v>
      </c>
      <c r="F3046" s="4" t="n">
        <v>1</v>
      </c>
      <c r="G3046" s="4" t="s">
        <v>12128</v>
      </c>
      <c r="H3046" s="4" t="n">
        <v>40.15664</v>
      </c>
      <c r="I3046" s="4" t="n">
        <v>-75.89351</v>
      </c>
      <c r="J3046" s="4" t="s">
        <v>12129</v>
      </c>
      <c r="K3046" s="6" t="str">
        <f aca="false">HYPERLINK("https://www.google.com/search?q=Village+Library+Of+Morgantown+Morgantown+PA+library+website","Search")</f>
        <v>Search</v>
      </c>
      <c r="L3046" s="7"/>
      <c r="M3046" s="7"/>
    </row>
    <row r="3047" customFormat="false" ht="15" hidden="false" customHeight="true" outlineLevel="0" collapsed="false">
      <c r="A3047" s="4" t="s">
        <v>11231</v>
      </c>
      <c r="B3047" s="4" t="s">
        <v>12130</v>
      </c>
      <c r="C3047" s="4" t="s">
        <v>12131</v>
      </c>
      <c r="D3047" s="4" t="s">
        <v>11363</v>
      </c>
      <c r="E3047" s="5" t="n">
        <v>34558</v>
      </c>
      <c r="F3047" s="4" t="n">
        <v>1</v>
      </c>
      <c r="G3047" s="4" t="s">
        <v>12132</v>
      </c>
      <c r="H3047" s="4" t="n">
        <v>40.21898</v>
      </c>
      <c r="I3047" s="4" t="n">
        <v>-75.10354</v>
      </c>
      <c r="J3047" s="4" t="s">
        <v>12133</v>
      </c>
      <c r="K3047" s="6" t="str">
        <f aca="false">HYPERLINK("https://www.google.com/search?q=Warminster+Township+Library+Warminster+PA+library+website","Search")</f>
        <v>Search</v>
      </c>
      <c r="L3047" s="7"/>
      <c r="M3047" s="7"/>
    </row>
    <row r="3048" customFormat="false" ht="15" hidden="false" customHeight="true" outlineLevel="0" collapsed="false">
      <c r="A3048" s="4" t="s">
        <v>11231</v>
      </c>
      <c r="B3048" s="4" t="s">
        <v>12134</v>
      </c>
      <c r="C3048" s="4" t="s">
        <v>3012</v>
      </c>
      <c r="D3048" s="4" t="s">
        <v>3012</v>
      </c>
      <c r="E3048" s="5" t="n">
        <v>26392</v>
      </c>
      <c r="F3048" s="4" t="n">
        <v>1</v>
      </c>
      <c r="G3048" s="4" t="s">
        <v>12135</v>
      </c>
      <c r="H3048" s="4" t="n">
        <v>41.84596</v>
      </c>
      <c r="I3048" s="4" t="n">
        <v>-79.14562</v>
      </c>
      <c r="J3048" s="4" t="s">
        <v>12136</v>
      </c>
      <c r="K3048" s="6" t="str">
        <f aca="false">HYPERLINK("https://www.google.com/search?q=Warren+Library+Association+Warren+PA+library+website","Search")</f>
        <v>Search</v>
      </c>
      <c r="L3048" s="7"/>
      <c r="M3048" s="7"/>
    </row>
    <row r="3049" customFormat="false" ht="15" hidden="false" customHeight="true" outlineLevel="0" collapsed="false">
      <c r="A3049" s="4" t="s">
        <v>11231</v>
      </c>
      <c r="B3049" s="4" t="s">
        <v>5197</v>
      </c>
      <c r="C3049" s="4" t="s">
        <v>12137</v>
      </c>
      <c r="D3049" s="4" t="s">
        <v>2849</v>
      </c>
      <c r="E3049" s="5" t="n">
        <v>26091</v>
      </c>
      <c r="F3049" s="4" t="n">
        <v>1</v>
      </c>
      <c r="G3049" s="4" t="s">
        <v>12138</v>
      </c>
      <c r="H3049" s="4" t="n">
        <v>41.57961</v>
      </c>
      <c r="I3049" s="4" t="n">
        <v>-75.25932</v>
      </c>
      <c r="J3049" s="4" t="s">
        <v>12139</v>
      </c>
      <c r="K3049" s="6" t="str">
        <f aca="false">HYPERLINK("https://www.google.com/search?q=Wayne+County+Public+Library+Honesdale+PA+library+website","Search")</f>
        <v>Search</v>
      </c>
      <c r="L3049" s="7"/>
      <c r="M3049" s="7"/>
    </row>
    <row r="3050" customFormat="false" ht="15" hidden="false" customHeight="true" outlineLevel="0" collapsed="false">
      <c r="A3050" s="4" t="s">
        <v>11231</v>
      </c>
      <c r="B3050" s="4" t="s">
        <v>12140</v>
      </c>
      <c r="C3050" s="4" t="s">
        <v>12141</v>
      </c>
      <c r="D3050" s="4" t="s">
        <v>11328</v>
      </c>
      <c r="E3050" s="5" t="n">
        <v>16669</v>
      </c>
      <c r="F3050" s="4" t="n">
        <v>1</v>
      </c>
      <c r="G3050" s="4" t="s">
        <v>12142</v>
      </c>
      <c r="H3050" s="4" t="n">
        <v>40.33092</v>
      </c>
      <c r="I3050" s="4" t="n">
        <v>-76.07673</v>
      </c>
      <c r="J3050" s="4" t="s">
        <v>12143</v>
      </c>
      <c r="K3050" s="6" t="str">
        <f aca="false">HYPERLINK("https://www.google.com/search?q=Wernersville+Public+Library+Wernersville+PA+library+website","Search")</f>
        <v>Search</v>
      </c>
      <c r="L3050" s="7"/>
      <c r="M3050" s="7"/>
    </row>
    <row r="3051" customFormat="false" ht="15" hidden="false" customHeight="true" outlineLevel="0" collapsed="false">
      <c r="A3051" s="4" t="s">
        <v>11231</v>
      </c>
      <c r="B3051" s="4" t="s">
        <v>12144</v>
      </c>
      <c r="C3051" s="4" t="s">
        <v>12145</v>
      </c>
      <c r="D3051" s="4" t="s">
        <v>9374</v>
      </c>
      <c r="E3051" s="5" t="n">
        <v>53570</v>
      </c>
      <c r="F3051" s="4" t="n">
        <v>1</v>
      </c>
      <c r="G3051" s="4" t="s">
        <v>12146</v>
      </c>
      <c r="H3051" s="4" t="n">
        <v>39.96347</v>
      </c>
      <c r="I3051" s="4" t="n">
        <v>-75.60878</v>
      </c>
      <c r="J3051" s="4" t="s">
        <v>12147</v>
      </c>
      <c r="K3051" s="6" t="str">
        <f aca="false">HYPERLINK("https://www.google.com/search?q=West+Chester+Public+Library+West+Chester+PA+library+website","Search")</f>
        <v>Search</v>
      </c>
      <c r="L3051" s="7"/>
      <c r="M3051" s="7"/>
    </row>
    <row r="3052" customFormat="false" ht="15" hidden="false" customHeight="true" outlineLevel="0" collapsed="false">
      <c r="A3052" s="4" t="s">
        <v>11231</v>
      </c>
      <c r="B3052" s="4" t="s">
        <v>12148</v>
      </c>
      <c r="C3052" s="4" t="s">
        <v>2072</v>
      </c>
      <c r="D3052" s="4" t="s">
        <v>11295</v>
      </c>
      <c r="E3052" s="5" t="n">
        <v>24014</v>
      </c>
      <c r="F3052" s="4" t="n">
        <v>1</v>
      </c>
      <c r="G3052" s="4" t="s">
        <v>12149</v>
      </c>
      <c r="H3052" s="4" t="n">
        <v>40.43602</v>
      </c>
      <c r="I3052" s="4" t="n">
        <v>-80.23347</v>
      </c>
      <c r="J3052" s="4" t="s">
        <v>12150</v>
      </c>
      <c r="K3052" s="6" t="str">
        <f aca="false">HYPERLINK("https://www.google.com/search?q=Western+Allegheny+Community+Library+Oakdale+PA+library+website","Search")</f>
        <v>Search</v>
      </c>
      <c r="L3052" s="7"/>
      <c r="M3052" s="7"/>
    </row>
    <row r="3053" customFormat="false" ht="15" hidden="false" customHeight="true" outlineLevel="0" collapsed="false">
      <c r="A3053" s="4" t="s">
        <v>11231</v>
      </c>
      <c r="B3053" s="4" t="s">
        <v>12151</v>
      </c>
      <c r="C3053" s="4" t="s">
        <v>12152</v>
      </c>
      <c r="D3053" s="4" t="s">
        <v>311</v>
      </c>
      <c r="E3053" s="5" t="n">
        <v>32267</v>
      </c>
      <c r="F3053" s="4" t="n">
        <v>1</v>
      </c>
      <c r="G3053" s="4" t="s">
        <v>12153</v>
      </c>
      <c r="H3053" s="4" t="n">
        <v>40.92777</v>
      </c>
      <c r="I3053" s="4" t="n">
        <v>-75.4066</v>
      </c>
      <c r="J3053" s="4" t="s">
        <v>12154</v>
      </c>
      <c r="K3053" s="6" t="str">
        <f aca="false">HYPERLINK("https://www.google.com/search?q=Western+Pocono+Community+Library+Brodheadsville+PA+library+website","Search")</f>
        <v>Search</v>
      </c>
      <c r="L3053" s="7"/>
      <c r="M3053" s="7"/>
    </row>
    <row r="3054" customFormat="false" ht="15" hidden="false" customHeight="true" outlineLevel="0" collapsed="false">
      <c r="A3054" s="4" t="s">
        <v>11231</v>
      </c>
      <c r="B3054" s="4" t="s">
        <v>12155</v>
      </c>
      <c r="C3054" s="4" t="s">
        <v>11294</v>
      </c>
      <c r="D3054" s="4" t="s">
        <v>11295</v>
      </c>
      <c r="E3054" s="5" t="n">
        <v>15064</v>
      </c>
      <c r="F3054" s="4" t="n">
        <v>1</v>
      </c>
      <c r="G3054" s="4" t="s">
        <v>12156</v>
      </c>
      <c r="H3054" s="4" t="n">
        <v>40.3515</v>
      </c>
      <c r="I3054" s="4" t="n">
        <v>-79.9801</v>
      </c>
      <c r="J3054" s="4" t="s">
        <v>12157</v>
      </c>
      <c r="K3054" s="6" t="str">
        <f aca="false">HYPERLINK("https://www.google.com/search?q=Whitehall+Public+Library+Pittsburgh+PA+library+website","Search")</f>
        <v>Search</v>
      </c>
      <c r="L3054" s="7"/>
      <c r="M3054" s="7"/>
    </row>
    <row r="3055" customFormat="false" ht="15" hidden="false" customHeight="true" outlineLevel="0" collapsed="false">
      <c r="A3055" s="4" t="s">
        <v>11231</v>
      </c>
      <c r="B3055" s="4" t="s">
        <v>12158</v>
      </c>
      <c r="C3055" s="4" t="s">
        <v>7097</v>
      </c>
      <c r="D3055" s="4" t="s">
        <v>11257</v>
      </c>
      <c r="E3055" s="5" t="n">
        <v>29173</v>
      </c>
      <c r="F3055" s="4" t="n">
        <v>1</v>
      </c>
      <c r="G3055" s="4" t="s">
        <v>12159</v>
      </c>
      <c r="H3055" s="4" t="n">
        <v>40.65048</v>
      </c>
      <c r="I3055" s="4" t="n">
        <v>-75.5028</v>
      </c>
      <c r="J3055" s="4" t="s">
        <v>12160</v>
      </c>
      <c r="K3055" s="6" t="str">
        <f aca="false">HYPERLINK("https://www.google.com/search?q=Whitehall+Township+Pub+Library+Whitehall+PA+library+website","Search")</f>
        <v>Search</v>
      </c>
      <c r="L3055" s="7"/>
      <c r="M3055" s="7"/>
    </row>
    <row r="3056" customFormat="false" ht="15" hidden="false" customHeight="true" outlineLevel="0" collapsed="false">
      <c r="A3056" s="4" t="s">
        <v>11231</v>
      </c>
      <c r="B3056" s="4" t="s">
        <v>12161</v>
      </c>
      <c r="C3056" s="4" t="s">
        <v>12162</v>
      </c>
      <c r="D3056" s="4" t="s">
        <v>11295</v>
      </c>
      <c r="E3056" s="5" t="n">
        <v>14349</v>
      </c>
      <c r="F3056" s="4" t="n">
        <v>2</v>
      </c>
      <c r="G3056" s="4" t="s">
        <v>12163</v>
      </c>
      <c r="H3056" s="4" t="n">
        <v>40.44315</v>
      </c>
      <c r="I3056" s="4" t="n">
        <v>-79.88592</v>
      </c>
      <c r="J3056" s="4" t="s">
        <v>12164</v>
      </c>
      <c r="K3056" s="6" t="str">
        <f aca="false">HYPERLINK("https://www.google.com/search?q=Wilkinsburg+Public+Library+Wilkinsburg+PA+library+website","Search")</f>
        <v>Search</v>
      </c>
      <c r="L3056" s="7"/>
      <c r="M3056" s="7"/>
    </row>
    <row r="3057" customFormat="false" ht="15" hidden="false" customHeight="true" outlineLevel="0" collapsed="false">
      <c r="A3057" s="4" t="s">
        <v>11231</v>
      </c>
      <c r="B3057" s="4" t="s">
        <v>12165</v>
      </c>
      <c r="C3057" s="4" t="s">
        <v>12166</v>
      </c>
      <c r="D3057" s="4" t="s">
        <v>315</v>
      </c>
      <c r="E3057" s="5" t="n">
        <v>19707</v>
      </c>
      <c r="F3057" s="4" t="n">
        <v>1</v>
      </c>
      <c r="G3057" s="4" t="s">
        <v>12167</v>
      </c>
      <c r="H3057" s="4" t="n">
        <v>40.09773</v>
      </c>
      <c r="I3057" s="4" t="n">
        <v>-75.25685</v>
      </c>
      <c r="J3057" s="4" t="s">
        <v>12168</v>
      </c>
      <c r="K3057" s="6" t="str">
        <f aca="false">HYPERLINK("https://www.google.com/search?q=William+Jeanes+Mem+Library+Lafayette+Hill+PA+library+website","Search")</f>
        <v>Search</v>
      </c>
      <c r="L3057" s="7"/>
      <c r="M3057" s="7"/>
    </row>
    <row r="3058" customFormat="false" ht="15" hidden="false" customHeight="true" outlineLevel="0" collapsed="false">
      <c r="A3058" s="4" t="s">
        <v>11231</v>
      </c>
      <c r="B3058" s="4" t="s">
        <v>12169</v>
      </c>
      <c r="C3058" s="4" t="s">
        <v>12170</v>
      </c>
      <c r="D3058" s="4" t="s">
        <v>5152</v>
      </c>
      <c r="E3058" s="5" t="n">
        <v>12196</v>
      </c>
      <c r="F3058" s="4" t="n">
        <v>1</v>
      </c>
      <c r="G3058" s="4" t="s">
        <v>12171</v>
      </c>
      <c r="H3058" s="4" t="n">
        <v>40.23239</v>
      </c>
      <c r="I3058" s="4" t="n">
        <v>-78.82697</v>
      </c>
      <c r="J3058" s="4" t="s">
        <v>12172</v>
      </c>
      <c r="K3058" s="6" t="str">
        <f aca="false">HYPERLINK("https://www.google.com/search?q=Windber+Public+Library+Windber+PA+library+website","Search")</f>
        <v>Search</v>
      </c>
      <c r="L3058" s="7"/>
      <c r="M3058" s="7"/>
    </row>
    <row r="3059" customFormat="false" ht="15" hidden="false" customHeight="true" outlineLevel="0" collapsed="false">
      <c r="A3059" s="4" t="s">
        <v>11231</v>
      </c>
      <c r="B3059" s="4" t="s">
        <v>12173</v>
      </c>
      <c r="C3059" s="4" t="s">
        <v>12174</v>
      </c>
      <c r="D3059" s="4" t="s">
        <v>315</v>
      </c>
      <c r="E3059" s="5" t="n">
        <v>39216</v>
      </c>
      <c r="F3059" s="4" t="n">
        <v>2</v>
      </c>
      <c r="G3059" s="4" t="s">
        <v>12175</v>
      </c>
      <c r="H3059" s="4" t="n">
        <v>40.15373</v>
      </c>
      <c r="I3059" s="4" t="n">
        <v>-75.26843</v>
      </c>
      <c r="J3059" s="4" t="s">
        <v>12176</v>
      </c>
      <c r="K3059" s="6" t="str">
        <f aca="false">HYPERLINK("https://www.google.com/search?q=Wissahickon+Valley+Pub+Library+Blue+Bell+PA+library+website","Search")</f>
        <v>Search</v>
      </c>
      <c r="L3059" s="7"/>
      <c r="M3059" s="7"/>
    </row>
    <row r="3060" customFormat="false" ht="15" hidden="false" customHeight="true" outlineLevel="0" collapsed="false">
      <c r="A3060" s="4" t="s">
        <v>11231</v>
      </c>
      <c r="B3060" s="4" t="s">
        <v>12177</v>
      </c>
      <c r="C3060" s="4" t="s">
        <v>12069</v>
      </c>
      <c r="D3060" s="4" t="s">
        <v>11328</v>
      </c>
      <c r="E3060" s="5" t="n">
        <v>11114</v>
      </c>
      <c r="F3060" s="4" t="n">
        <v>1</v>
      </c>
      <c r="G3060" s="4" t="s">
        <v>12178</v>
      </c>
      <c r="H3060" s="4" t="n">
        <v>40.33511</v>
      </c>
      <c r="I3060" s="4" t="n">
        <v>-75.95864</v>
      </c>
      <c r="J3060" s="4" t="s">
        <v>12179</v>
      </c>
      <c r="K3060" s="6" t="str">
        <f aca="false">HYPERLINK("https://www.google.com/search?q=Wyomissing+Public+Library+Wyomissing+PA+library+website","Search")</f>
        <v>Search</v>
      </c>
      <c r="L3060" s="7"/>
      <c r="M3060" s="7"/>
    </row>
    <row r="3061" customFormat="false" ht="15" hidden="false" customHeight="true" outlineLevel="0" collapsed="false">
      <c r="A3061" s="4" t="s">
        <v>11231</v>
      </c>
      <c r="B3061" s="4" t="s">
        <v>12180</v>
      </c>
      <c r="C3061" s="4" t="s">
        <v>12181</v>
      </c>
      <c r="D3061" s="4" t="s">
        <v>3041</v>
      </c>
      <c r="E3061" s="5" t="n">
        <v>12054</v>
      </c>
      <c r="F3061" s="4" t="n">
        <v>1</v>
      </c>
      <c r="G3061" s="4" t="s">
        <v>12182</v>
      </c>
      <c r="H3061" s="4" t="n">
        <v>39.93612</v>
      </c>
      <c r="I3061" s="4" t="n">
        <v>-75.2506</v>
      </c>
      <c r="J3061" s="4" t="s">
        <v>12183</v>
      </c>
      <c r="K3061" s="6" t="str">
        <f aca="false">HYPERLINK("https://www.google.com/search?q=Yeadon+Public+Library+Yeadon+PA+library+website","Search")</f>
        <v>Search</v>
      </c>
      <c r="L3061" s="7"/>
      <c r="M3061" s="7"/>
    </row>
    <row r="3062" customFormat="false" ht="15" hidden="false" customHeight="true" outlineLevel="0" collapsed="false">
      <c r="A3062" s="4" t="s">
        <v>11231</v>
      </c>
      <c r="B3062" s="4" t="s">
        <v>12184</v>
      </c>
      <c r="C3062" s="4" t="s">
        <v>6292</v>
      </c>
      <c r="D3062" s="4" t="s">
        <v>6292</v>
      </c>
      <c r="E3062" s="5" t="n">
        <v>282763</v>
      </c>
      <c r="F3062" s="4" t="n">
        <v>9</v>
      </c>
      <c r="G3062" s="4" t="s">
        <v>12185</v>
      </c>
      <c r="H3062" s="4" t="n">
        <v>39.96361</v>
      </c>
      <c r="I3062" s="4" t="n">
        <v>-76.72413</v>
      </c>
      <c r="J3062" s="4" t="s">
        <v>12186</v>
      </c>
      <c r="K3062" s="6" t="str">
        <f aca="false">HYPERLINK("https://www.google.com/search?q=York+Sys+Admin+Unit+York+PA+library+website","Search")</f>
        <v>Search</v>
      </c>
      <c r="L3062" s="7"/>
      <c r="M3062" s="7"/>
    </row>
    <row r="3063" customFormat="false" ht="15" hidden="false" customHeight="true" outlineLevel="0" collapsed="false">
      <c r="A3063" s="4" t="s">
        <v>11231</v>
      </c>
      <c r="B3063" s="4" t="s">
        <v>12187</v>
      </c>
      <c r="C3063" s="4" t="s">
        <v>12188</v>
      </c>
      <c r="D3063" s="4" t="s">
        <v>138</v>
      </c>
      <c r="E3063" s="5" t="n">
        <v>12482</v>
      </c>
      <c r="F3063" s="4" t="n">
        <v>1</v>
      </c>
      <c r="G3063" s="4" t="s">
        <v>12189</v>
      </c>
      <c r="H3063" s="4" t="n">
        <v>40.79343</v>
      </c>
      <c r="I3063" s="4" t="n">
        <v>-80.13519</v>
      </c>
      <c r="J3063" s="4" t="s">
        <v>12190</v>
      </c>
      <c r="K3063" s="6" t="str">
        <f aca="false">HYPERLINK("https://www.google.com/search?q=Zelienople+Public+Library+Zelienople+PA+library+website","Search")</f>
        <v>Search</v>
      </c>
      <c r="L3063" s="7"/>
      <c r="M3063" s="7"/>
    </row>
    <row r="3064" customFormat="false" ht="15" hidden="false" customHeight="true" outlineLevel="0" collapsed="false">
      <c r="A3064" s="4" t="s">
        <v>12191</v>
      </c>
      <c r="B3064" s="4" t="s">
        <v>12192</v>
      </c>
      <c r="C3064" s="4" t="s">
        <v>12193</v>
      </c>
      <c r="D3064" s="4" t="s">
        <v>12194</v>
      </c>
      <c r="E3064" s="5" t="n">
        <v>22583</v>
      </c>
      <c r="F3064" s="4" t="n">
        <v>1</v>
      </c>
      <c r="G3064" s="4" t="s">
        <v>12195</v>
      </c>
      <c r="H3064" s="4" t="n">
        <v>41.88567</v>
      </c>
      <c r="I3064" s="4" t="n">
        <v>-71.38788</v>
      </c>
      <c r="J3064" s="4" t="s">
        <v>12196</v>
      </c>
      <c r="K3064" s="6" t="str">
        <f aca="false">HYPERLINK("https://www.google.com/search?q=Adams+Public+Library+Central+Falls+RI+library+website","Search")</f>
        <v>Search</v>
      </c>
      <c r="L3064" s="7"/>
      <c r="M3064" s="7"/>
    </row>
    <row r="3065" customFormat="false" ht="15" hidden="false" customHeight="true" outlineLevel="0" collapsed="false">
      <c r="A3065" s="4" t="s">
        <v>12191</v>
      </c>
      <c r="B3065" s="4" t="s">
        <v>12197</v>
      </c>
      <c r="C3065" s="4" t="s">
        <v>3331</v>
      </c>
      <c r="D3065" s="4" t="s">
        <v>1845</v>
      </c>
      <c r="E3065" s="5" t="n">
        <v>17153</v>
      </c>
      <c r="F3065" s="4" t="n">
        <v>1</v>
      </c>
      <c r="G3065" s="4" t="s">
        <v>12198</v>
      </c>
      <c r="H3065" s="4" t="n">
        <v>41.73987</v>
      </c>
      <c r="I3065" s="4" t="n">
        <v>-71.30791</v>
      </c>
      <c r="J3065" s="4" t="s">
        <v>12199</v>
      </c>
      <c r="K3065" s="6" t="str">
        <f aca="false">HYPERLINK("https://www.google.com/search?q=Barrington+Public+Library+Barrington+RI+library+website","Search")</f>
        <v>Search</v>
      </c>
      <c r="L3065" s="7"/>
      <c r="M3065" s="7"/>
    </row>
    <row r="3066" customFormat="false" ht="15" hidden="false" customHeight="true" outlineLevel="0" collapsed="false">
      <c r="A3066" s="4" t="s">
        <v>12191</v>
      </c>
      <c r="B3066" s="4" t="s">
        <v>12200</v>
      </c>
      <c r="C3066" s="4" t="s">
        <v>1836</v>
      </c>
      <c r="D3066" s="4" t="s">
        <v>2230</v>
      </c>
      <c r="E3066" s="5" t="n">
        <v>35688</v>
      </c>
      <c r="F3066" s="4" t="n">
        <v>2</v>
      </c>
      <c r="G3066" s="4" t="s">
        <v>12201</v>
      </c>
      <c r="H3066" s="4" t="n">
        <v>41.70166</v>
      </c>
      <c r="I3066" s="4" t="n">
        <v>-71.59213</v>
      </c>
      <c r="J3066" s="4" t="s">
        <v>12202</v>
      </c>
      <c r="K3066" s="6" t="str">
        <f aca="false">HYPERLINK("https://www.google.com/search?q=Coventry+Public+Library+Coventry+RI+library+website","Search")</f>
        <v>Search</v>
      </c>
      <c r="L3066" s="7"/>
      <c r="M3066" s="7"/>
    </row>
    <row r="3067" customFormat="false" ht="15" hidden="false" customHeight="true" outlineLevel="0" collapsed="false">
      <c r="A3067" s="4" t="s">
        <v>12191</v>
      </c>
      <c r="B3067" s="4" t="s">
        <v>12203</v>
      </c>
      <c r="C3067" s="4" t="s">
        <v>12204</v>
      </c>
      <c r="D3067" s="4" t="s">
        <v>12194</v>
      </c>
      <c r="E3067" s="5" t="n">
        <v>82934</v>
      </c>
      <c r="F3067" s="4" t="n">
        <v>6</v>
      </c>
      <c r="G3067" s="4" t="s">
        <v>12205</v>
      </c>
      <c r="H3067" s="4" t="n">
        <v>41.755</v>
      </c>
      <c r="I3067" s="4" t="n">
        <v>-71.45651</v>
      </c>
      <c r="J3067" s="4" t="s">
        <v>12206</v>
      </c>
      <c r="K3067" s="6" t="str">
        <f aca="false">HYPERLINK("https://www.google.com/search?q=Cranston+Public+Library+Cranston+RI+library+website","Search")</f>
        <v>Search</v>
      </c>
      <c r="L3067" s="7"/>
      <c r="M3067" s="7"/>
    </row>
    <row r="3068" customFormat="false" ht="15" hidden="false" customHeight="true" outlineLevel="0" collapsed="false">
      <c r="A3068" s="4" t="s">
        <v>12191</v>
      </c>
      <c r="B3068" s="4" t="s">
        <v>12207</v>
      </c>
      <c r="C3068" s="4" t="s">
        <v>6161</v>
      </c>
      <c r="D3068" s="4" t="s">
        <v>12194</v>
      </c>
      <c r="E3068" s="5" t="n">
        <v>36405</v>
      </c>
      <c r="F3068" s="4" t="n">
        <v>1</v>
      </c>
      <c r="G3068" s="4" t="s">
        <v>12208</v>
      </c>
      <c r="H3068" s="4" t="n">
        <v>41.93429</v>
      </c>
      <c r="I3068" s="4" t="n">
        <v>-71.40409</v>
      </c>
      <c r="J3068" s="4" t="s">
        <v>12209</v>
      </c>
      <c r="K3068" s="6" t="str">
        <f aca="false">HYPERLINK("https://www.google.com/search?q=Cumberland+Public+Library+Cumberland+RI+library+website","Search")</f>
        <v>Search</v>
      </c>
      <c r="L3068" s="7"/>
      <c r="M3068" s="8" t="str">
        <f aca="false">HYPERLINK("https://cumberlandri.overdrive.com","https://cumberlandri.overdrive.com")</f>
        <v>https://cumberlandri.overdrive.com</v>
      </c>
    </row>
    <row r="3069" customFormat="false" ht="15" hidden="false" customHeight="true" outlineLevel="0" collapsed="false">
      <c r="A3069" s="4" t="s">
        <v>12191</v>
      </c>
      <c r="B3069" s="4" t="s">
        <v>12210</v>
      </c>
      <c r="C3069" s="4" t="s">
        <v>12211</v>
      </c>
      <c r="D3069" s="4" t="s">
        <v>2230</v>
      </c>
      <c r="E3069" s="5" t="n">
        <v>14312</v>
      </c>
      <c r="F3069" s="4" t="n">
        <v>1</v>
      </c>
      <c r="G3069" s="4" t="s">
        <v>12212</v>
      </c>
      <c r="H3069" s="4" t="n">
        <v>41.6614</v>
      </c>
      <c r="I3069" s="4" t="n">
        <v>-71.45105</v>
      </c>
      <c r="J3069" s="4" t="s">
        <v>12213</v>
      </c>
      <c r="K3069" s="6" t="str">
        <f aca="false">HYPERLINK("https://www.google.com/search?q=East+Greenwich+Free+Library+East+Greenwich+RI+library+website","Search")</f>
        <v>Search</v>
      </c>
      <c r="L3069" s="7"/>
      <c r="M3069" s="7"/>
    </row>
    <row r="3070" customFormat="false" ht="15" hidden="false" customHeight="true" outlineLevel="0" collapsed="false">
      <c r="A3070" s="4" t="s">
        <v>12191</v>
      </c>
      <c r="B3070" s="4" t="s">
        <v>12214</v>
      </c>
      <c r="C3070" s="4" t="s">
        <v>12215</v>
      </c>
      <c r="D3070" s="4" t="s">
        <v>12194</v>
      </c>
      <c r="E3070" s="5" t="n">
        <v>47139</v>
      </c>
      <c r="F3070" s="4" t="n">
        <v>3</v>
      </c>
      <c r="G3070" s="4" t="s">
        <v>12216</v>
      </c>
      <c r="H3070" s="4" t="n">
        <v>41.8188</v>
      </c>
      <c r="I3070" s="4" t="n">
        <v>-71.37519</v>
      </c>
      <c r="J3070" s="4" t="s">
        <v>12217</v>
      </c>
      <c r="K3070" s="6" t="str">
        <f aca="false">HYPERLINK("https://www.google.com/search?q=East+Providence+Public+Library+East+Providence+RI+library+website","Search")</f>
        <v>Search</v>
      </c>
      <c r="L3070" s="7"/>
      <c r="M3070" s="7"/>
    </row>
    <row r="3071" customFormat="false" ht="15" hidden="false" customHeight="true" outlineLevel="0" collapsed="false">
      <c r="A3071" s="4" t="s">
        <v>12191</v>
      </c>
      <c r="B3071" s="4" t="s">
        <v>12218</v>
      </c>
      <c r="C3071" s="4" t="s">
        <v>3012</v>
      </c>
      <c r="D3071" s="4" t="s">
        <v>1845</v>
      </c>
      <c r="E3071" s="5" t="n">
        <v>11147</v>
      </c>
      <c r="F3071" s="4" t="n">
        <v>1</v>
      </c>
      <c r="G3071" s="4" t="s">
        <v>12219</v>
      </c>
      <c r="H3071" s="4" t="n">
        <v>41.72842</v>
      </c>
      <c r="I3071" s="4" t="n">
        <v>-71.28207</v>
      </c>
      <c r="J3071" s="4" t="s">
        <v>12220</v>
      </c>
      <c r="K3071" s="6" t="str">
        <f aca="false">HYPERLINK("https://www.google.com/search?q=George+Hail+Free+Library+Warren+RI+library+website","Search")</f>
        <v>Search</v>
      </c>
      <c r="L3071" s="7"/>
      <c r="M3071" s="7"/>
    </row>
    <row r="3072" customFormat="false" ht="15" hidden="false" customHeight="true" outlineLevel="0" collapsed="false">
      <c r="A3072" s="4" t="s">
        <v>12191</v>
      </c>
      <c r="B3072" s="4" t="s">
        <v>10473</v>
      </c>
      <c r="C3072" s="4" t="s">
        <v>8113</v>
      </c>
      <c r="D3072" s="4" t="s">
        <v>12194</v>
      </c>
      <c r="E3072" s="5" t="n">
        <v>12642</v>
      </c>
      <c r="F3072" s="4" t="n">
        <v>1</v>
      </c>
      <c r="G3072" s="4" t="s">
        <v>12221</v>
      </c>
      <c r="H3072" s="4" t="n">
        <v>41.87081</v>
      </c>
      <c r="I3072" s="4" t="n">
        <v>-71.54927</v>
      </c>
      <c r="J3072" s="4" t="s">
        <v>12222</v>
      </c>
      <c r="K3072" s="6" t="str">
        <f aca="false">HYPERLINK("https://www.google.com/search?q=Greenville+Public+Library+Smithfield+RI+library+website","Search")</f>
        <v>Search</v>
      </c>
      <c r="L3072" s="7"/>
      <c r="M3072" s="7"/>
    </row>
    <row r="3073" customFormat="false" ht="15" hidden="false" customHeight="true" outlineLevel="0" collapsed="false">
      <c r="A3073" s="4" t="s">
        <v>12191</v>
      </c>
      <c r="B3073" s="4" t="s">
        <v>12223</v>
      </c>
      <c r="C3073" s="4" t="s">
        <v>12224</v>
      </c>
      <c r="D3073" s="4" t="s">
        <v>12194</v>
      </c>
      <c r="E3073" s="5" t="n">
        <v>12330</v>
      </c>
      <c r="F3073" s="4" t="n">
        <v>1</v>
      </c>
      <c r="G3073" s="4" t="s">
        <v>12225</v>
      </c>
      <c r="H3073" s="4" t="n">
        <v>41.96476</v>
      </c>
      <c r="I3073" s="4" t="n">
        <v>-71.67445</v>
      </c>
      <c r="J3073" s="4" t="s">
        <v>12226</v>
      </c>
      <c r="K3073" s="6" t="str">
        <f aca="false">HYPERLINK("https://www.google.com/search?q=Jesse+M.+Smith+Memorial+Library+Burrillville+RI+library+website","Search")</f>
        <v>Search</v>
      </c>
      <c r="L3073" s="7"/>
      <c r="M3073" s="7"/>
    </row>
    <row r="3074" customFormat="false" ht="15" hidden="false" customHeight="true" outlineLevel="0" collapsed="false">
      <c r="A3074" s="4" t="s">
        <v>12191</v>
      </c>
      <c r="B3074" s="4" t="s">
        <v>1130</v>
      </c>
      <c r="C3074" s="4" t="s">
        <v>1131</v>
      </c>
      <c r="D3074" s="4" t="s">
        <v>12194</v>
      </c>
      <c r="E3074" s="5" t="n">
        <v>22529</v>
      </c>
      <c r="F3074" s="4" t="n">
        <v>1</v>
      </c>
      <c r="G3074" s="4" t="s">
        <v>12227</v>
      </c>
      <c r="H3074" s="4" t="n">
        <v>41.93763</v>
      </c>
      <c r="I3074" s="4" t="n">
        <v>-71.45326</v>
      </c>
      <c r="J3074" s="4" t="s">
        <v>12228</v>
      </c>
      <c r="K3074" s="6" t="str">
        <f aca="false">HYPERLINK("https://www.google.com/search?q=Lincoln+Public+Library+Lincoln+RI+library+website","Search")</f>
        <v>Search</v>
      </c>
      <c r="L3074" s="7"/>
      <c r="M3074" s="7"/>
    </row>
    <row r="3075" customFormat="false" ht="15" hidden="false" customHeight="true" outlineLevel="0" collapsed="false">
      <c r="A3075" s="4" t="s">
        <v>12191</v>
      </c>
      <c r="B3075" s="4" t="s">
        <v>12229</v>
      </c>
      <c r="C3075" s="4" t="s">
        <v>3020</v>
      </c>
      <c r="D3075" s="4" t="s">
        <v>12194</v>
      </c>
      <c r="E3075" s="5" t="n">
        <v>29568</v>
      </c>
      <c r="F3075" s="4" t="n">
        <v>1</v>
      </c>
      <c r="G3075" s="4" t="s">
        <v>12230</v>
      </c>
      <c r="H3075" s="4" t="n">
        <v>41.83079</v>
      </c>
      <c r="I3075" s="4" t="n">
        <v>-71.50256</v>
      </c>
      <c r="J3075" s="4" t="s">
        <v>12231</v>
      </c>
      <c r="K3075" s="6" t="str">
        <f aca="false">HYPERLINK("https://www.google.com/search?q=Marian+J.+Mohr+Memorial+Library+Johnston+RI+library+website","Search")</f>
        <v>Search</v>
      </c>
      <c r="L3075" s="7"/>
      <c r="M3075" s="7"/>
    </row>
    <row r="3076" customFormat="false" ht="15" hidden="false" customHeight="true" outlineLevel="0" collapsed="false">
      <c r="A3076" s="4" t="s">
        <v>12191</v>
      </c>
      <c r="B3076" s="4" t="s">
        <v>12232</v>
      </c>
      <c r="C3076" s="4" t="s">
        <v>12233</v>
      </c>
      <c r="D3076" s="4" t="s">
        <v>441</v>
      </c>
      <c r="E3076" s="5" t="n">
        <v>14532</v>
      </c>
      <c r="F3076" s="4" t="n">
        <v>1</v>
      </c>
      <c r="G3076" s="4" t="s">
        <v>12234</v>
      </c>
      <c r="H3076" s="4" t="n">
        <v>41.43109</v>
      </c>
      <c r="I3076" s="4" t="n">
        <v>-71.45977</v>
      </c>
      <c r="J3076" s="4" t="s">
        <v>12235</v>
      </c>
      <c r="K3076" s="6" t="str">
        <f aca="false">HYPERLINK("https://www.google.com/search?q=Maury+Loontjens+Memorial+Library+%28Narragansett%29+Narragansett+RI+library+website","Search")</f>
        <v>Search</v>
      </c>
      <c r="L3076" s="7"/>
      <c r="M3076" s="7"/>
    </row>
    <row r="3077" customFormat="false" ht="15" hidden="false" customHeight="true" outlineLevel="0" collapsed="false">
      <c r="A3077" s="4" t="s">
        <v>12191</v>
      </c>
      <c r="B3077" s="4" t="s">
        <v>12236</v>
      </c>
      <c r="C3077" s="4" t="s">
        <v>12237</v>
      </c>
      <c r="D3077" s="4" t="s">
        <v>12194</v>
      </c>
      <c r="E3077" s="5" t="n">
        <v>34114</v>
      </c>
      <c r="F3077" s="4" t="n">
        <v>1</v>
      </c>
      <c r="G3077" s="4" t="s">
        <v>12238</v>
      </c>
      <c r="H3077" s="4" t="n">
        <v>41.86201</v>
      </c>
      <c r="I3077" s="4" t="n">
        <v>-71.45895</v>
      </c>
      <c r="J3077" s="4" t="s">
        <v>12239</v>
      </c>
      <c r="K3077" s="6" t="str">
        <f aca="false">HYPERLINK("https://www.google.com/search?q=Mayor+Salvatore+Mancini+Union+Free+Library+North+Providence+RI+library+website","Search")</f>
        <v>Search</v>
      </c>
      <c r="L3077" s="7"/>
      <c r="M3077" s="7"/>
    </row>
    <row r="3078" customFormat="false" ht="15" hidden="false" customHeight="true" outlineLevel="0" collapsed="false">
      <c r="A3078" s="4" t="s">
        <v>12191</v>
      </c>
      <c r="B3078" s="4" t="s">
        <v>12240</v>
      </c>
      <c r="C3078" s="4" t="s">
        <v>2087</v>
      </c>
      <c r="D3078" s="4" t="s">
        <v>647</v>
      </c>
      <c r="E3078" s="5" t="n">
        <v>17075</v>
      </c>
      <c r="F3078" s="4" t="n">
        <v>1</v>
      </c>
      <c r="G3078" s="4" t="s">
        <v>12241</v>
      </c>
      <c r="H3078" s="4" t="n">
        <v>41.52142</v>
      </c>
      <c r="I3078" s="4" t="n">
        <v>-71.29908</v>
      </c>
      <c r="J3078" s="4" t="s">
        <v>12242</v>
      </c>
      <c r="K3078" s="6" t="str">
        <f aca="false">HYPERLINK("https://www.google.com/search?q=Middletown+Public+Library+Middletown+RI+library+website","Search")</f>
        <v>Search</v>
      </c>
      <c r="L3078" s="7"/>
      <c r="M3078" s="7"/>
    </row>
    <row r="3079" customFormat="false" ht="15" hidden="false" customHeight="true" outlineLevel="0" collapsed="false">
      <c r="A3079" s="4" t="s">
        <v>12191</v>
      </c>
      <c r="B3079" s="4" t="s">
        <v>11142</v>
      </c>
      <c r="C3079" s="4" t="s">
        <v>647</v>
      </c>
      <c r="D3079" s="4" t="s">
        <v>647</v>
      </c>
      <c r="E3079" s="5" t="n">
        <v>25163</v>
      </c>
      <c r="F3079" s="4" t="n">
        <v>1</v>
      </c>
      <c r="G3079" s="4" t="s">
        <v>12243</v>
      </c>
      <c r="H3079" s="4" t="n">
        <v>41.48253</v>
      </c>
      <c r="I3079" s="4" t="n">
        <v>-71.31283</v>
      </c>
      <c r="J3079" s="4" t="s">
        <v>12244</v>
      </c>
      <c r="K3079" s="6" t="str">
        <f aca="false">HYPERLINK("https://www.google.com/search?q=Newport+Public+Library+Newport+RI+library+website","Search")</f>
        <v>Search</v>
      </c>
      <c r="L3079" s="7"/>
      <c r="M3079" s="7"/>
    </row>
    <row r="3080" customFormat="false" ht="15" hidden="false" customHeight="true" outlineLevel="0" collapsed="false">
      <c r="A3080" s="4" t="s">
        <v>12191</v>
      </c>
      <c r="B3080" s="4" t="s">
        <v>12245</v>
      </c>
      <c r="C3080" s="4" t="s">
        <v>12246</v>
      </c>
      <c r="D3080" s="4" t="s">
        <v>441</v>
      </c>
      <c r="E3080" s="5" t="n">
        <v>19821</v>
      </c>
      <c r="F3080" s="4" t="n">
        <v>1</v>
      </c>
      <c r="G3080" s="4" t="s">
        <v>12247</v>
      </c>
      <c r="H3080" s="4" t="n">
        <v>41.57018</v>
      </c>
      <c r="I3080" s="4" t="n">
        <v>-71.45593</v>
      </c>
      <c r="J3080" s="4" t="s">
        <v>12248</v>
      </c>
      <c r="K3080" s="6" t="str">
        <f aca="false">HYPERLINK("https://www.google.com/search?q=North+Kingstown+Free+Library+North+Kingstown+RI+library+website","Search")</f>
        <v>Search</v>
      </c>
      <c r="L3080" s="7"/>
      <c r="M3080" s="7"/>
    </row>
    <row r="3081" customFormat="false" ht="15" hidden="false" customHeight="true" outlineLevel="0" collapsed="false">
      <c r="A3081" s="4" t="s">
        <v>12191</v>
      </c>
      <c r="B3081" s="4" t="s">
        <v>12249</v>
      </c>
      <c r="C3081" s="4" t="s">
        <v>12250</v>
      </c>
      <c r="D3081" s="4" t="s">
        <v>12194</v>
      </c>
      <c r="E3081" s="5" t="n">
        <v>12588</v>
      </c>
      <c r="F3081" s="4" t="n">
        <v>1</v>
      </c>
      <c r="G3081" s="4" t="s">
        <v>12251</v>
      </c>
      <c r="H3081" s="4" t="n">
        <v>41.99979</v>
      </c>
      <c r="I3081" s="4" t="n">
        <v>-71.58066</v>
      </c>
      <c r="J3081" s="4" t="s">
        <v>12252</v>
      </c>
      <c r="K3081" s="6" t="str">
        <f aca="false">HYPERLINK("https://www.google.com/search?q=North+Smithfield+Public+Library+North+Smithfield+RI+library+website","Search")</f>
        <v>Search</v>
      </c>
      <c r="L3081" s="7"/>
      <c r="M3081" s="8" t="str">
        <f aca="false">HYPERLINK("https://northsmithfield.overdrive.com","https://northsmithfield.overdrive.com")</f>
        <v>https://northsmithfield.overdrive.com</v>
      </c>
    </row>
    <row r="3082" customFormat="false" ht="15" hidden="false" customHeight="true" outlineLevel="0" collapsed="false">
      <c r="A3082" s="4" t="s">
        <v>12191</v>
      </c>
      <c r="B3082" s="4" t="s">
        <v>12253</v>
      </c>
      <c r="C3082" s="4" t="s">
        <v>12254</v>
      </c>
      <c r="D3082" s="4" t="s">
        <v>12194</v>
      </c>
      <c r="E3082" s="5" t="n">
        <v>75604</v>
      </c>
      <c r="F3082" s="4" t="n">
        <v>1</v>
      </c>
      <c r="G3082" s="4" t="s">
        <v>12255</v>
      </c>
      <c r="H3082" s="4" t="n">
        <v>41.87856</v>
      </c>
      <c r="I3082" s="4" t="n">
        <v>-71.38461</v>
      </c>
      <c r="J3082" s="4" t="s">
        <v>12256</v>
      </c>
      <c r="K3082" s="6" t="str">
        <f aca="false">HYPERLINK("https://www.google.com/search?q=Pawtucket+Public+Library+Pawtucket+RI+library+website","Search")</f>
        <v>Search</v>
      </c>
      <c r="L3082" s="7"/>
      <c r="M3082" s="7"/>
    </row>
    <row r="3083" customFormat="false" ht="15" hidden="false" customHeight="true" outlineLevel="0" collapsed="false">
      <c r="A3083" s="4" t="s">
        <v>12191</v>
      </c>
      <c r="B3083" s="4" t="s">
        <v>12257</v>
      </c>
      <c r="C3083" s="4" t="s">
        <v>8403</v>
      </c>
      <c r="D3083" s="4" t="s">
        <v>647</v>
      </c>
      <c r="E3083" s="5" t="n">
        <v>17871</v>
      </c>
      <c r="F3083" s="4" t="n">
        <v>1</v>
      </c>
      <c r="G3083" s="4" t="s">
        <v>12258</v>
      </c>
      <c r="H3083" s="4" t="n">
        <v>41.60181</v>
      </c>
      <c r="I3083" s="4" t="n">
        <v>-71.24856</v>
      </c>
      <c r="J3083" s="4" t="s">
        <v>12259</v>
      </c>
      <c r="K3083" s="6" t="str">
        <f aca="false">HYPERLINK("https://www.google.com/search?q=Portsmouth+Free+Public+Library+Portsmouth+RI+library+website","Search")</f>
        <v>Search</v>
      </c>
      <c r="L3083" s="7"/>
      <c r="M3083" s="7"/>
    </row>
    <row r="3084" customFormat="false" ht="15" hidden="false" customHeight="true" outlineLevel="0" collapsed="false">
      <c r="A3084" s="4" t="s">
        <v>12191</v>
      </c>
      <c r="B3084" s="4" t="s">
        <v>12260</v>
      </c>
      <c r="C3084" s="4" t="s">
        <v>12194</v>
      </c>
      <c r="D3084" s="4" t="s">
        <v>12194</v>
      </c>
      <c r="E3084" s="5" t="n">
        <v>131744</v>
      </c>
      <c r="F3084" s="4" t="n">
        <v>9</v>
      </c>
      <c r="G3084" s="4" t="s">
        <v>12261</v>
      </c>
      <c r="H3084" s="4" t="n">
        <v>41.80213</v>
      </c>
      <c r="I3084" s="4" t="n">
        <v>-71.41339</v>
      </c>
      <c r="J3084" s="4" t="s">
        <v>12262</v>
      </c>
      <c r="K3084" s="6" t="str">
        <f aca="false">HYPERLINK("https://www.google.com/search?q=Providence+Community+Library+Providence+RI+library+website","Search")</f>
        <v>Search</v>
      </c>
      <c r="L3084" s="7"/>
      <c r="M3084" s="7"/>
    </row>
    <row r="3085" customFormat="false" ht="15" hidden="false" customHeight="true" outlineLevel="0" collapsed="false">
      <c r="A3085" s="4" t="s">
        <v>12191</v>
      </c>
      <c r="B3085" s="4" t="s">
        <v>12263</v>
      </c>
      <c r="C3085" s="4" t="s">
        <v>12194</v>
      </c>
      <c r="D3085" s="4" t="s">
        <v>12194</v>
      </c>
      <c r="E3085" s="5" t="n">
        <v>59190</v>
      </c>
      <c r="F3085" s="4" t="n">
        <v>1</v>
      </c>
      <c r="G3085" s="4" t="s">
        <v>12264</v>
      </c>
      <c r="H3085" s="4" t="n">
        <v>41.82215</v>
      </c>
      <c r="I3085" s="4" t="n">
        <v>-71.4169</v>
      </c>
      <c r="J3085" s="4" t="s">
        <v>12265</v>
      </c>
      <c r="K3085" s="6" t="str">
        <f aca="false">HYPERLINK("https://www.google.com/search?q=Providence+Public+Library+Providence+RI+library+website","Search")</f>
        <v>Search</v>
      </c>
      <c r="L3085" s="7"/>
      <c r="M3085" s="7"/>
    </row>
    <row r="3086" customFormat="false" ht="15" hidden="false" customHeight="true" outlineLevel="0" collapsed="false">
      <c r="A3086" s="4" t="s">
        <v>12191</v>
      </c>
      <c r="B3086" s="4" t="s">
        <v>12266</v>
      </c>
      <c r="C3086" s="4" t="s">
        <v>1845</v>
      </c>
      <c r="D3086" s="4" t="s">
        <v>1845</v>
      </c>
      <c r="E3086" s="5" t="n">
        <v>22493</v>
      </c>
      <c r="F3086" s="4" t="n">
        <v>1</v>
      </c>
      <c r="G3086" s="4" t="s">
        <v>12267</v>
      </c>
      <c r="H3086" s="4" t="n">
        <v>41.67131</v>
      </c>
      <c r="I3086" s="4" t="n">
        <v>-71.27692</v>
      </c>
      <c r="J3086" s="4" t="s">
        <v>12268</v>
      </c>
      <c r="K3086" s="6" t="str">
        <f aca="false">HYPERLINK("https://www.google.com/search?q=Rogers+Free+Library+Bristol+RI+library+website","Search")</f>
        <v>Search</v>
      </c>
      <c r="L3086" s="7"/>
      <c r="M3086" s="7"/>
    </row>
    <row r="3087" customFormat="false" ht="15" hidden="false" customHeight="true" outlineLevel="0" collapsed="false">
      <c r="A3087" s="4" t="s">
        <v>12191</v>
      </c>
      <c r="B3087" s="4" t="s">
        <v>12269</v>
      </c>
      <c r="C3087" s="4" t="s">
        <v>12270</v>
      </c>
      <c r="D3087" s="4" t="s">
        <v>441</v>
      </c>
      <c r="E3087" s="5" t="n">
        <v>31931</v>
      </c>
      <c r="F3087" s="4" t="n">
        <v>3</v>
      </c>
      <c r="G3087" s="4" t="s">
        <v>12271</v>
      </c>
      <c r="H3087" s="4" t="n">
        <v>41.451</v>
      </c>
      <c r="I3087" s="4" t="n">
        <v>-71.4956</v>
      </c>
      <c r="J3087" s="4" t="s">
        <v>12272</v>
      </c>
      <c r="K3087" s="6" t="str">
        <f aca="false">HYPERLINK("https://www.google.com/search?q=South+Kingstown+Public+Library+South+Kingstown+RI+library+website","Search")</f>
        <v>Search</v>
      </c>
      <c r="L3087" s="7"/>
      <c r="M3087" s="7"/>
    </row>
    <row r="3088" customFormat="false" ht="15" hidden="false" customHeight="true" outlineLevel="0" collapsed="false">
      <c r="A3088" s="4" t="s">
        <v>12191</v>
      </c>
      <c r="B3088" s="4" t="s">
        <v>12273</v>
      </c>
      <c r="C3088" s="4" t="s">
        <v>12274</v>
      </c>
      <c r="D3088" s="4" t="s">
        <v>647</v>
      </c>
      <c r="E3088" s="5" t="n">
        <v>16359</v>
      </c>
      <c r="F3088" s="4" t="n">
        <v>2</v>
      </c>
      <c r="G3088" s="4" t="s">
        <v>12275</v>
      </c>
      <c r="H3088" s="4" t="n">
        <v>41.62424</v>
      </c>
      <c r="I3088" s="4" t="n">
        <v>-71.14932</v>
      </c>
      <c r="J3088" s="4" t="s">
        <v>12276</v>
      </c>
      <c r="K3088" s="6" t="str">
        <f aca="false">HYPERLINK("https://www.google.com/search?q=Tiverton+Public+Library+Tiverton+RI+library+website","Search")</f>
        <v>Search</v>
      </c>
      <c r="L3088" s="7"/>
      <c r="M3088" s="7"/>
    </row>
    <row r="3089" customFormat="false" ht="15" hidden="false" customHeight="true" outlineLevel="0" collapsed="false">
      <c r="A3089" s="4" t="s">
        <v>12191</v>
      </c>
      <c r="B3089" s="4" t="s">
        <v>12277</v>
      </c>
      <c r="C3089" s="4" t="s">
        <v>9249</v>
      </c>
      <c r="D3089" s="4" t="s">
        <v>2230</v>
      </c>
      <c r="E3089" s="5" t="n">
        <v>73192</v>
      </c>
      <c r="F3089" s="4" t="n">
        <v>4</v>
      </c>
      <c r="G3089" s="4" t="s">
        <v>12278</v>
      </c>
      <c r="H3089" s="4" t="n">
        <v>41.71123</v>
      </c>
      <c r="I3089" s="4" t="n">
        <v>-71.40282</v>
      </c>
      <c r="J3089" s="4" t="s">
        <v>12279</v>
      </c>
      <c r="K3089" s="6" t="str">
        <f aca="false">HYPERLINK("https://www.google.com/search?q=Warwick+Public+Library+Warwick+RI+library+website","Search")</f>
        <v>Search</v>
      </c>
      <c r="L3089" s="7"/>
      <c r="M3089" s="7"/>
    </row>
    <row r="3090" customFormat="false" ht="15" hidden="false" customHeight="true" outlineLevel="0" collapsed="false">
      <c r="A3090" s="4" t="s">
        <v>12191</v>
      </c>
      <c r="B3090" s="4" t="s">
        <v>12280</v>
      </c>
      <c r="C3090" s="4" t="s">
        <v>12281</v>
      </c>
      <c r="D3090" s="4" t="s">
        <v>2230</v>
      </c>
      <c r="E3090" s="5" t="n">
        <v>31012</v>
      </c>
      <c r="F3090" s="4" t="n">
        <v>1</v>
      </c>
      <c r="G3090" s="4" t="s">
        <v>12282</v>
      </c>
      <c r="H3090" s="4" t="n">
        <v>41.71211</v>
      </c>
      <c r="I3090" s="4" t="n">
        <v>-71.52346</v>
      </c>
      <c r="J3090" s="4" t="s">
        <v>12283</v>
      </c>
      <c r="K3090" s="6" t="str">
        <f aca="false">HYPERLINK("https://www.google.com/search?q=West+Warwick+Public+Library+West+Warwick+RI+library+website","Search")</f>
        <v>Search</v>
      </c>
      <c r="L3090" s="7"/>
      <c r="M3090" s="7"/>
    </row>
    <row r="3091" customFormat="false" ht="15" hidden="false" customHeight="true" outlineLevel="0" collapsed="false">
      <c r="A3091" s="4" t="s">
        <v>12191</v>
      </c>
      <c r="B3091" s="4" t="s">
        <v>12284</v>
      </c>
      <c r="C3091" s="4" t="s">
        <v>12285</v>
      </c>
      <c r="D3091" s="4" t="s">
        <v>441</v>
      </c>
      <c r="E3091" s="5" t="n">
        <v>23359</v>
      </c>
      <c r="F3091" s="4" t="n">
        <v>1</v>
      </c>
      <c r="G3091" s="4" t="s">
        <v>12286</v>
      </c>
      <c r="H3091" s="4" t="n">
        <v>41.37719</v>
      </c>
      <c r="I3091" s="4" t="n">
        <v>-71.82975</v>
      </c>
      <c r="J3091" s="4" t="s">
        <v>12287</v>
      </c>
      <c r="K3091" s="6" t="str">
        <f aca="false">HYPERLINK("https://www.google.com/search?q=Westerly+Public+Library+Westerly+RI+library+website","Search")</f>
        <v>Search</v>
      </c>
      <c r="L3091" s="7"/>
      <c r="M3091" s="7"/>
    </row>
    <row r="3092" customFormat="false" ht="15" hidden="false" customHeight="true" outlineLevel="0" collapsed="false">
      <c r="A3092" s="4" t="s">
        <v>12191</v>
      </c>
      <c r="B3092" s="4" t="s">
        <v>12288</v>
      </c>
      <c r="C3092" s="4" t="s">
        <v>12289</v>
      </c>
      <c r="D3092" s="4" t="s">
        <v>12194</v>
      </c>
      <c r="E3092" s="5" t="n">
        <v>43240</v>
      </c>
      <c r="F3092" s="4" t="n">
        <v>1</v>
      </c>
      <c r="G3092" s="4" t="s">
        <v>12290</v>
      </c>
      <c r="H3092" s="4" t="n">
        <v>42.00606</v>
      </c>
      <c r="I3092" s="4" t="n">
        <v>-71.50846</v>
      </c>
      <c r="J3092" s="4" t="s">
        <v>12291</v>
      </c>
      <c r="K3092" s="6" t="str">
        <f aca="false">HYPERLINK("https://www.google.com/search?q=Woonsocket+Harris+Public+Library+Woonsocket+RI+library+website","Search")</f>
        <v>Search</v>
      </c>
      <c r="L3092" s="7"/>
      <c r="M3092" s="7"/>
    </row>
    <row r="3093" customFormat="false" ht="15" hidden="false" customHeight="true" outlineLevel="0" collapsed="false">
      <c r="A3093" s="4" t="s">
        <v>12292</v>
      </c>
      <c r="B3093" s="4" t="s">
        <v>12293</v>
      </c>
      <c r="C3093" s="4" t="s">
        <v>12294</v>
      </c>
      <c r="D3093" s="4" t="s">
        <v>12294</v>
      </c>
      <c r="E3093" s="5" t="n">
        <v>228365</v>
      </c>
      <c r="F3093" s="4" t="n">
        <v>13</v>
      </c>
      <c r="G3093" s="4" t="s">
        <v>12295</v>
      </c>
      <c r="H3093" s="4" t="n">
        <v>33.55633</v>
      </c>
      <c r="I3093" s="4" t="n">
        <v>-81.72138</v>
      </c>
      <c r="J3093" s="4" t="s">
        <v>12296</v>
      </c>
      <c r="K3093" s="6" t="str">
        <f aca="false">HYPERLINK("https://www.google.com/search?q=Abbe+Regional+Library+System+Aiken+SC+library+website","Search")</f>
        <v>Search</v>
      </c>
      <c r="L3093" s="7"/>
      <c r="M3093" s="7"/>
    </row>
    <row r="3094" customFormat="false" ht="15" hidden="false" customHeight="true" outlineLevel="0" collapsed="false">
      <c r="A3094" s="4" t="s">
        <v>12292</v>
      </c>
      <c r="B3094" s="4" t="s">
        <v>12297</v>
      </c>
      <c r="C3094" s="4" t="s">
        <v>5439</v>
      </c>
      <c r="D3094" s="4" t="s">
        <v>5439</v>
      </c>
      <c r="E3094" s="5" t="n">
        <v>24295</v>
      </c>
      <c r="F3094" s="4" t="n">
        <v>3</v>
      </c>
      <c r="G3094" s="4" t="s">
        <v>12298</v>
      </c>
      <c r="H3094" s="4" t="n">
        <v>34.18674</v>
      </c>
      <c r="I3094" s="4" t="n">
        <v>-82.39836</v>
      </c>
      <c r="J3094" s="4" t="s">
        <v>12299</v>
      </c>
      <c r="K3094" s="6" t="str">
        <f aca="false">HYPERLINK("https://www.google.com/search?q=Abbeville+County+Library+System+Abbeville+SC+library+website","Search")</f>
        <v>Search</v>
      </c>
      <c r="L3094" s="7"/>
      <c r="M3094" s="7"/>
    </row>
    <row r="3095" customFormat="false" ht="15" hidden="false" customHeight="true" outlineLevel="0" collapsed="false">
      <c r="A3095" s="4" t="s">
        <v>12292</v>
      </c>
      <c r="B3095" s="4" t="s">
        <v>12300</v>
      </c>
      <c r="C3095" s="4" t="s">
        <v>6398</v>
      </c>
      <c r="D3095" s="4" t="s">
        <v>6398</v>
      </c>
      <c r="E3095" s="5" t="n">
        <v>55391</v>
      </c>
      <c r="F3095" s="4" t="n">
        <v>5</v>
      </c>
      <c r="G3095" s="4" t="s">
        <v>12301</v>
      </c>
      <c r="H3095" s="4" t="n">
        <v>33.00958</v>
      </c>
      <c r="I3095" s="4" t="n">
        <v>-81.30715</v>
      </c>
      <c r="J3095" s="4" t="s">
        <v>12302</v>
      </c>
      <c r="K3095" s="6" t="str">
        <f aca="false">HYPERLINK("https://www.google.com/search?q=Allendale+Hampton+Jasper+Regional+Library+Allendale+SC+library+website","Search")</f>
        <v>Search</v>
      </c>
      <c r="L3095" s="7"/>
      <c r="M3095" s="7"/>
    </row>
    <row r="3096" customFormat="false" ht="15" hidden="false" customHeight="true" outlineLevel="0" collapsed="false">
      <c r="A3096" s="4" t="s">
        <v>12292</v>
      </c>
      <c r="B3096" s="4" t="s">
        <v>12303</v>
      </c>
      <c r="C3096" s="4" t="s">
        <v>4250</v>
      </c>
      <c r="D3096" s="4" t="s">
        <v>4250</v>
      </c>
      <c r="E3096" s="5" t="n">
        <v>203718</v>
      </c>
      <c r="F3096" s="4" t="n">
        <v>9</v>
      </c>
      <c r="G3096" s="4" t="s">
        <v>12304</v>
      </c>
      <c r="H3096" s="4" t="n">
        <v>34.50599</v>
      </c>
      <c r="I3096" s="4" t="n">
        <v>-82.64895</v>
      </c>
      <c r="J3096" s="4" t="s">
        <v>12305</v>
      </c>
      <c r="K3096" s="6" t="str">
        <f aca="false">HYPERLINK("https://www.google.com/search?q=Anderson+County+Library+Anderson+SC+library+website","Search")</f>
        <v>Search</v>
      </c>
      <c r="L3096" s="7"/>
      <c r="M3096" s="7"/>
    </row>
    <row r="3097" customFormat="false" ht="15" hidden="false" customHeight="true" outlineLevel="0" collapsed="false">
      <c r="A3097" s="4" t="s">
        <v>12292</v>
      </c>
      <c r="B3097" s="4" t="s">
        <v>12306</v>
      </c>
      <c r="C3097" s="4" t="s">
        <v>7887</v>
      </c>
      <c r="D3097" s="4" t="s">
        <v>7887</v>
      </c>
      <c r="E3097" s="5" t="n">
        <v>187117</v>
      </c>
      <c r="F3097" s="4" t="n">
        <v>5</v>
      </c>
      <c r="G3097" s="4" t="s">
        <v>12307</v>
      </c>
      <c r="H3097" s="4" t="n">
        <v>32.43223</v>
      </c>
      <c r="I3097" s="4" t="n">
        <v>-80.67082</v>
      </c>
      <c r="J3097" s="4" t="s">
        <v>12308</v>
      </c>
      <c r="K3097" s="6" t="str">
        <f aca="false">HYPERLINK("https://www.google.com/search?q=Beaufort+County+Library+Beaufort+SC+library+website","Search")</f>
        <v>Search</v>
      </c>
      <c r="L3097" s="7"/>
      <c r="M3097" s="7"/>
    </row>
    <row r="3098" customFormat="false" ht="15" hidden="false" customHeight="true" outlineLevel="0" collapsed="false">
      <c r="A3098" s="4" t="s">
        <v>12292</v>
      </c>
      <c r="B3098" s="4" t="s">
        <v>12309</v>
      </c>
      <c r="C3098" s="4" t="s">
        <v>12310</v>
      </c>
      <c r="D3098" s="4" t="s">
        <v>916</v>
      </c>
      <c r="E3098" s="5" t="n">
        <v>229861</v>
      </c>
      <c r="F3098" s="4" t="n">
        <v>7</v>
      </c>
      <c r="G3098" s="4" t="s">
        <v>12311</v>
      </c>
      <c r="H3098" s="4" t="n">
        <v>33.18772</v>
      </c>
      <c r="I3098" s="4" t="n">
        <v>-79.99947</v>
      </c>
      <c r="J3098" s="4" t="s">
        <v>12312</v>
      </c>
      <c r="K3098" s="6" t="str">
        <f aca="false">HYPERLINK("https://www.google.com/search?q=Berkeley+County+Library+System+Moncks+Corner+SC+library+website","Search")</f>
        <v>Search</v>
      </c>
      <c r="L3098" s="7"/>
      <c r="M3098" s="7"/>
    </row>
    <row r="3099" customFormat="false" ht="15" hidden="false" customHeight="true" outlineLevel="0" collapsed="false">
      <c r="A3099" s="4" t="s">
        <v>12292</v>
      </c>
      <c r="B3099" s="4" t="s">
        <v>12313</v>
      </c>
      <c r="C3099" s="4" t="s">
        <v>12314</v>
      </c>
      <c r="D3099" s="4" t="s">
        <v>73</v>
      </c>
      <c r="E3099" s="5" t="n">
        <v>14119</v>
      </c>
      <c r="F3099" s="4" t="n">
        <v>1</v>
      </c>
      <c r="G3099" s="4" t="s">
        <v>12315</v>
      </c>
      <c r="H3099" s="4" t="n">
        <v>33.66356</v>
      </c>
      <c r="I3099" s="4" t="n">
        <v>-80.77827</v>
      </c>
      <c r="J3099" s="4" t="s">
        <v>12316</v>
      </c>
      <c r="K3099" s="6" t="str">
        <f aca="false">HYPERLINK("https://www.google.com/search?q=Calhoun+County+Library+System+St.+Matthews+SC+library+website","Search")</f>
        <v>Search</v>
      </c>
      <c r="L3099" s="7"/>
      <c r="M3099" s="7"/>
    </row>
    <row r="3100" customFormat="false" ht="15" hidden="false" customHeight="true" outlineLevel="0" collapsed="false">
      <c r="A3100" s="4" t="s">
        <v>12292</v>
      </c>
      <c r="B3100" s="4" t="s">
        <v>12317</v>
      </c>
      <c r="C3100" s="4" t="s">
        <v>12318</v>
      </c>
      <c r="D3100" s="4" t="s">
        <v>12319</v>
      </c>
      <c r="E3100" s="5" t="n">
        <v>35682</v>
      </c>
      <c r="F3100" s="4" t="n">
        <v>1</v>
      </c>
      <c r="G3100" s="4" t="s">
        <v>12320</v>
      </c>
      <c r="H3100" s="4" t="n">
        <v>33.69715</v>
      </c>
      <c r="I3100" s="4" t="n">
        <v>-78.87738</v>
      </c>
      <c r="J3100" s="4" t="s">
        <v>12321</v>
      </c>
      <c r="K3100" s="6" t="str">
        <f aca="false">HYPERLINK("https://www.google.com/search?q=Chapin+Memorial+Library+Myrtle+Beach+SC+library+website","Search")</f>
        <v>Search</v>
      </c>
      <c r="L3100" s="7"/>
      <c r="M3100" s="7"/>
    </row>
    <row r="3101" customFormat="false" ht="15" hidden="false" customHeight="true" outlineLevel="0" collapsed="false">
      <c r="A3101" s="4" t="s">
        <v>12292</v>
      </c>
      <c r="B3101" s="4" t="s">
        <v>12322</v>
      </c>
      <c r="C3101" s="4" t="s">
        <v>3424</v>
      </c>
      <c r="D3101" s="4" t="s">
        <v>3424</v>
      </c>
      <c r="E3101" s="5" t="n">
        <v>408235</v>
      </c>
      <c r="F3101" s="4" t="n">
        <v>17</v>
      </c>
      <c r="G3101" s="4" t="s">
        <v>12323</v>
      </c>
      <c r="H3101" s="4" t="n">
        <v>32.78839</v>
      </c>
      <c r="I3101" s="4" t="n">
        <v>-79.93095</v>
      </c>
      <c r="J3101" s="4" t="s">
        <v>12324</v>
      </c>
      <c r="K3101" s="6" t="str">
        <f aca="false">HYPERLINK("https://www.google.com/search?q=Charleston+County+Public+Library+System+Charleston+SC+library+website","Search")</f>
        <v>Search</v>
      </c>
      <c r="L3101" s="7"/>
      <c r="M3101" s="8" t="str">
        <f aca="false">HYPERLINK("https://charlestoncounty.overdrive.com","https://charlestoncounty.overdrive.com")</f>
        <v>https://charlestoncounty.overdrive.com</v>
      </c>
    </row>
    <row r="3102" customFormat="false" ht="15" hidden="false" customHeight="true" outlineLevel="0" collapsed="false">
      <c r="A3102" s="4" t="s">
        <v>12292</v>
      </c>
      <c r="B3102" s="4" t="s">
        <v>12325</v>
      </c>
      <c r="C3102" s="4" t="s">
        <v>12326</v>
      </c>
      <c r="D3102" s="4" t="s">
        <v>2826</v>
      </c>
      <c r="E3102" s="5" t="n">
        <v>56216</v>
      </c>
      <c r="F3102" s="4" t="n">
        <v>2</v>
      </c>
      <c r="G3102" s="4" t="s">
        <v>12327</v>
      </c>
      <c r="H3102" s="4" t="n">
        <v>35.06609</v>
      </c>
      <c r="I3102" s="4" t="n">
        <v>-81.65074</v>
      </c>
      <c r="J3102" s="4" t="s">
        <v>12328</v>
      </c>
      <c r="K3102" s="6" t="str">
        <f aca="false">HYPERLINK("https://www.google.com/search?q=Cherokee+County+Public+Library+Gaffney+SC+library+website","Search")</f>
        <v>Search</v>
      </c>
      <c r="L3102" s="7"/>
      <c r="M3102" s="7"/>
    </row>
    <row r="3103" customFormat="false" ht="15" hidden="false" customHeight="true" outlineLevel="0" collapsed="false">
      <c r="A3103" s="4" t="s">
        <v>12292</v>
      </c>
      <c r="B3103" s="4" t="s">
        <v>11413</v>
      </c>
      <c r="C3103" s="4" t="s">
        <v>9374</v>
      </c>
      <c r="D3103" s="4" t="s">
        <v>9374</v>
      </c>
      <c r="E3103" s="5" t="n">
        <v>32294</v>
      </c>
      <c r="F3103" s="4" t="n">
        <v>3</v>
      </c>
      <c r="G3103" s="4" t="s">
        <v>12329</v>
      </c>
      <c r="H3103" s="4" t="n">
        <v>34.70525</v>
      </c>
      <c r="I3103" s="4" t="n">
        <v>-81.21471</v>
      </c>
      <c r="J3103" s="4" t="s">
        <v>12330</v>
      </c>
      <c r="K3103" s="6" t="str">
        <f aca="false">HYPERLINK("https://www.google.com/search?q=Chester+County+Library+Chester+SC+library+website","Search")</f>
        <v>Search</v>
      </c>
      <c r="L3103" s="7"/>
      <c r="M3103" s="7"/>
    </row>
    <row r="3104" customFormat="false" ht="15" hidden="false" customHeight="true" outlineLevel="0" collapsed="false">
      <c r="A3104" s="4" t="s">
        <v>12292</v>
      </c>
      <c r="B3104" s="4" t="s">
        <v>12331</v>
      </c>
      <c r="C3104" s="4" t="s">
        <v>6530</v>
      </c>
      <c r="D3104" s="4" t="s">
        <v>6530</v>
      </c>
      <c r="E3104" s="5" t="n">
        <v>43273</v>
      </c>
      <c r="F3104" s="4" t="n">
        <v>5</v>
      </c>
      <c r="G3104" s="4" t="s">
        <v>12332</v>
      </c>
      <c r="H3104" s="4" t="n">
        <v>34.73597</v>
      </c>
      <c r="I3104" s="4" t="n">
        <v>-80.0885</v>
      </c>
      <c r="J3104" s="4" t="s">
        <v>12333</v>
      </c>
      <c r="K3104" s="6" t="str">
        <f aca="false">HYPERLINK("https://www.google.com/search?q=Chesterfield+County+Library+System+Chesterfield+SC+library+website","Search")</f>
        <v>Search</v>
      </c>
      <c r="L3104" s="7"/>
      <c r="M3104" s="7"/>
    </row>
    <row r="3105" customFormat="false" ht="15" hidden="false" customHeight="true" outlineLevel="0" collapsed="false">
      <c r="A3105" s="4" t="s">
        <v>12292</v>
      </c>
      <c r="B3105" s="4" t="s">
        <v>12334</v>
      </c>
      <c r="C3105" s="4" t="s">
        <v>12335</v>
      </c>
      <c r="D3105" s="4" t="s">
        <v>12336</v>
      </c>
      <c r="E3105" s="5" t="n">
        <v>31144</v>
      </c>
      <c r="F3105" s="4" t="n">
        <v>1</v>
      </c>
      <c r="G3105" s="4" t="s">
        <v>12337</v>
      </c>
      <c r="H3105" s="4" t="n">
        <v>33.69956</v>
      </c>
      <c r="I3105" s="4" t="n">
        <v>-80.21058</v>
      </c>
      <c r="J3105" s="4" t="s">
        <v>12338</v>
      </c>
      <c r="K3105" s="6" t="str">
        <f aca="false">HYPERLINK("https://www.google.com/search?q=Clarendon+County+Library+System+Manning+SC+library+website","Search")</f>
        <v>Search</v>
      </c>
      <c r="L3105" s="7"/>
      <c r="M3105" s="7"/>
    </row>
    <row r="3106" customFormat="false" ht="15" hidden="false" customHeight="true" outlineLevel="0" collapsed="false">
      <c r="A3106" s="4" t="s">
        <v>12292</v>
      </c>
      <c r="B3106" s="4" t="s">
        <v>12339</v>
      </c>
      <c r="C3106" s="4" t="s">
        <v>12340</v>
      </c>
      <c r="D3106" s="4" t="s">
        <v>12341</v>
      </c>
      <c r="E3106" s="5" t="n">
        <v>38604</v>
      </c>
      <c r="F3106" s="4" t="n">
        <v>3</v>
      </c>
      <c r="G3106" s="4" t="s">
        <v>12342</v>
      </c>
      <c r="H3106" s="4" t="n">
        <v>32.90168</v>
      </c>
      <c r="I3106" s="4" t="n">
        <v>-80.65692</v>
      </c>
      <c r="J3106" s="4" t="s">
        <v>12343</v>
      </c>
      <c r="K3106" s="6" t="str">
        <f aca="false">HYPERLINK("https://www.google.com/search?q=Colleton+County+Memorial+Library+Walterboro+SC+library+website","Search")</f>
        <v>Search</v>
      </c>
      <c r="L3106" s="7"/>
      <c r="M3106" s="7"/>
    </row>
    <row r="3107" customFormat="false" ht="15" hidden="false" customHeight="true" outlineLevel="0" collapsed="false">
      <c r="A3107" s="4" t="s">
        <v>12292</v>
      </c>
      <c r="B3107" s="4" t="s">
        <v>12344</v>
      </c>
      <c r="C3107" s="4" t="s">
        <v>12345</v>
      </c>
      <c r="D3107" s="4" t="s">
        <v>12345</v>
      </c>
      <c r="E3107" s="5" t="n">
        <v>62905</v>
      </c>
      <c r="F3107" s="4" t="n">
        <v>4</v>
      </c>
      <c r="G3107" s="4" t="s">
        <v>12346</v>
      </c>
      <c r="H3107" s="4" t="n">
        <v>34.30556</v>
      </c>
      <c r="I3107" s="4" t="n">
        <v>-79.87311</v>
      </c>
      <c r="J3107" s="4" t="s">
        <v>12347</v>
      </c>
      <c r="K3107" s="6" t="str">
        <f aca="false">HYPERLINK("https://www.google.com/search?q=Darlington+County+Library+System+Darlington+SC+library+website","Search")</f>
        <v>Search</v>
      </c>
      <c r="L3107" s="7"/>
      <c r="M3107" s="7"/>
    </row>
    <row r="3108" customFormat="false" ht="15" hidden="false" customHeight="true" outlineLevel="0" collapsed="false">
      <c r="A3108" s="4" t="s">
        <v>12292</v>
      </c>
      <c r="B3108" s="4" t="s">
        <v>12348</v>
      </c>
      <c r="C3108" s="4" t="s">
        <v>12349</v>
      </c>
      <c r="D3108" s="4" t="s">
        <v>12349</v>
      </c>
      <c r="E3108" s="5" t="n">
        <v>28292</v>
      </c>
      <c r="F3108" s="4" t="n">
        <v>3</v>
      </c>
      <c r="G3108" s="4" t="s">
        <v>12350</v>
      </c>
      <c r="H3108" s="4" t="n">
        <v>34.41437</v>
      </c>
      <c r="I3108" s="4" t="n">
        <v>-79.36694</v>
      </c>
      <c r="J3108" s="4" t="s">
        <v>12351</v>
      </c>
      <c r="K3108" s="6" t="str">
        <f aca="false">HYPERLINK("https://www.google.com/search?q=Dillon+County+Library+System+Dillon+SC+library+website","Search")</f>
        <v>Search</v>
      </c>
      <c r="L3108" s="7"/>
      <c r="M3108" s="7"/>
    </row>
    <row r="3109" customFormat="false" ht="15" hidden="false" customHeight="true" outlineLevel="0" collapsed="false">
      <c r="A3109" s="4" t="s">
        <v>12292</v>
      </c>
      <c r="B3109" s="4" t="s">
        <v>12352</v>
      </c>
      <c r="C3109" s="4" t="s">
        <v>12353</v>
      </c>
      <c r="D3109" s="4" t="s">
        <v>6199</v>
      </c>
      <c r="E3109" s="5" t="n">
        <v>161540</v>
      </c>
      <c r="F3109" s="4" t="n">
        <v>2</v>
      </c>
      <c r="G3109" s="4" t="s">
        <v>12354</v>
      </c>
      <c r="H3109" s="4" t="n">
        <v>33.18913</v>
      </c>
      <c r="I3109" s="4" t="n">
        <v>-80.57119</v>
      </c>
      <c r="J3109" s="4" t="s">
        <v>12355</v>
      </c>
      <c r="K3109" s="6" t="str">
        <f aca="false">HYPERLINK("https://www.google.com/search?q=Dorchester+County+Library+System+St.+George+SC+library+website","Search")</f>
        <v>Search</v>
      </c>
      <c r="L3109" s="7"/>
      <c r="M3109" s="7"/>
    </row>
    <row r="3110" customFormat="false" ht="15" hidden="false" customHeight="true" outlineLevel="0" collapsed="false">
      <c r="A3110" s="4" t="s">
        <v>12292</v>
      </c>
      <c r="B3110" s="4" t="s">
        <v>12356</v>
      </c>
      <c r="C3110" s="4" t="s">
        <v>5288</v>
      </c>
      <c r="D3110" s="4" t="s">
        <v>189</v>
      </c>
      <c r="E3110" s="5" t="n">
        <v>20948</v>
      </c>
      <c r="F3110" s="4" t="n">
        <v>1</v>
      </c>
      <c r="G3110" s="4" t="s">
        <v>12357</v>
      </c>
      <c r="H3110" s="4" t="n">
        <v>34.37976</v>
      </c>
      <c r="I3110" s="4" t="n">
        <v>-81.08973</v>
      </c>
      <c r="J3110" s="4" t="s">
        <v>12358</v>
      </c>
      <c r="K3110" s="6" t="str">
        <f aca="false">HYPERLINK("https://www.google.com/search?q=Fairfield+County+Library+Winnsboro+SC+library+website","Search")</f>
        <v>Search</v>
      </c>
      <c r="L3110" s="7"/>
      <c r="M3110" s="7"/>
    </row>
    <row r="3111" customFormat="false" ht="15" hidden="false" customHeight="true" outlineLevel="0" collapsed="false">
      <c r="A3111" s="4" t="s">
        <v>12292</v>
      </c>
      <c r="B3111" s="4" t="s">
        <v>12359</v>
      </c>
      <c r="C3111" s="4" t="s">
        <v>201</v>
      </c>
      <c r="D3111" s="4" t="s">
        <v>201</v>
      </c>
      <c r="E3111" s="5" t="n">
        <v>137059</v>
      </c>
      <c r="F3111" s="4" t="n">
        <v>6</v>
      </c>
      <c r="G3111" s="4" t="s">
        <v>12360</v>
      </c>
      <c r="H3111" s="4" t="n">
        <v>34.18974</v>
      </c>
      <c r="I3111" s="4" t="n">
        <v>-79.76547</v>
      </c>
      <c r="J3111" s="4" t="s">
        <v>12361</v>
      </c>
      <c r="K3111" s="6" t="str">
        <f aca="false">HYPERLINK("https://www.google.com/search?q=Florence+County+Library+System+Florence+SC+library+website","Search")</f>
        <v>Search</v>
      </c>
      <c r="L3111" s="7"/>
      <c r="M3111" s="7"/>
    </row>
    <row r="3112" customFormat="false" ht="15" hidden="false" customHeight="true" outlineLevel="0" collapsed="false">
      <c r="A3112" s="4" t="s">
        <v>12292</v>
      </c>
      <c r="B3112" s="4" t="s">
        <v>12362</v>
      </c>
      <c r="C3112" s="4" t="s">
        <v>2234</v>
      </c>
      <c r="D3112" s="4" t="s">
        <v>2234</v>
      </c>
      <c r="E3112" s="5" t="n">
        <v>63404</v>
      </c>
      <c r="F3112" s="4" t="n">
        <v>4</v>
      </c>
      <c r="G3112" s="4" t="s">
        <v>12363</v>
      </c>
      <c r="H3112" s="4" t="n">
        <v>33.37338</v>
      </c>
      <c r="I3112" s="4" t="n">
        <v>-79.28508</v>
      </c>
      <c r="J3112" s="4" t="s">
        <v>12364</v>
      </c>
      <c r="K3112" s="6" t="str">
        <f aca="false">HYPERLINK("https://www.google.com/search?q=Georgetown+County+Library+Georgetown+SC+library+website","Search")</f>
        <v>Search</v>
      </c>
      <c r="L3112" s="7"/>
      <c r="M3112" s="7"/>
    </row>
    <row r="3113" customFormat="false" ht="15" hidden="false" customHeight="true" outlineLevel="0" collapsed="false">
      <c r="A3113" s="4" t="s">
        <v>12292</v>
      </c>
      <c r="B3113" s="4" t="s">
        <v>12365</v>
      </c>
      <c r="C3113" s="4" t="s">
        <v>224</v>
      </c>
      <c r="D3113" s="4" t="s">
        <v>224</v>
      </c>
      <c r="E3113" s="5" t="n">
        <v>525534</v>
      </c>
      <c r="F3113" s="4" t="n">
        <v>12</v>
      </c>
      <c r="G3113" s="4" t="s">
        <v>12366</v>
      </c>
      <c r="H3113" s="4" t="n">
        <v>34.85657</v>
      </c>
      <c r="I3113" s="4" t="n">
        <v>-82.40166</v>
      </c>
      <c r="J3113" s="4" t="s">
        <v>12367</v>
      </c>
      <c r="K3113" s="6" t="str">
        <f aca="false">HYPERLINK("https://www.google.com/search?q=Greenville+County+Library+System+Greenville+SC+library+website","Search")</f>
        <v>Search</v>
      </c>
      <c r="L3113" s="7"/>
      <c r="M3113" s="8" t="str">
        <f aca="false">HYPERLINK("https://greenvillesc.overdrive.com","https://greenvillesc.overdrive.com")</f>
        <v>https://greenvillesc.overdrive.com</v>
      </c>
    </row>
    <row r="3114" customFormat="false" ht="15" hidden="false" customHeight="true" outlineLevel="0" collapsed="false">
      <c r="A3114" s="4" t="s">
        <v>12292</v>
      </c>
      <c r="B3114" s="4" t="s">
        <v>12368</v>
      </c>
      <c r="C3114" s="4" t="s">
        <v>619</v>
      </c>
      <c r="D3114" s="4" t="s">
        <v>619</v>
      </c>
      <c r="E3114" s="5" t="n">
        <v>69351</v>
      </c>
      <c r="F3114" s="4" t="n">
        <v>3</v>
      </c>
      <c r="G3114" s="4" t="s">
        <v>12369</v>
      </c>
      <c r="H3114" s="4" t="n">
        <v>34.18694</v>
      </c>
      <c r="I3114" s="4" t="n">
        <v>-82.15955</v>
      </c>
      <c r="J3114" s="4" t="s">
        <v>12370</v>
      </c>
      <c r="K3114" s="6" t="str">
        <f aca="false">HYPERLINK("https://www.google.com/search?q=Greenwood+County+Library+System+Greenwood+SC+library+website","Search")</f>
        <v>Search</v>
      </c>
      <c r="L3114" s="7"/>
      <c r="M3114" s="8" t="str">
        <f aca="false">HYPERLINK("https://greenwoodsc.overdrive.com","https://greenwoodsc.overdrive.com")</f>
        <v>https://greenwoodsc.overdrive.com</v>
      </c>
    </row>
    <row r="3115" customFormat="false" ht="15" hidden="false" customHeight="true" outlineLevel="0" collapsed="false">
      <c r="A3115" s="4" t="s">
        <v>12292</v>
      </c>
      <c r="B3115" s="4" t="s">
        <v>12371</v>
      </c>
      <c r="C3115" s="4" t="s">
        <v>511</v>
      </c>
      <c r="D3115" s="4" t="s">
        <v>12319</v>
      </c>
      <c r="E3115" s="5" t="n">
        <v>351029</v>
      </c>
      <c r="F3115" s="4" t="n">
        <v>10</v>
      </c>
      <c r="G3115" s="4" t="s">
        <v>12372</v>
      </c>
      <c r="H3115" s="4" t="n">
        <v>33.83713</v>
      </c>
      <c r="I3115" s="4" t="n">
        <v>-79.04846</v>
      </c>
      <c r="J3115" s="4" t="s">
        <v>12373</v>
      </c>
      <c r="K3115" s="6" t="str">
        <f aca="false">HYPERLINK("https://www.google.com/search?q=Horry+County+Memorial+Library+Conway+SC+library+website","Search")</f>
        <v>Search</v>
      </c>
      <c r="L3115" s="7"/>
      <c r="M3115" s="7"/>
    </row>
    <row r="3116" customFormat="false" ht="15" hidden="false" customHeight="true" outlineLevel="0" collapsed="false">
      <c r="A3116" s="4" t="s">
        <v>12292</v>
      </c>
      <c r="B3116" s="4" t="s">
        <v>12374</v>
      </c>
      <c r="C3116" s="4" t="s">
        <v>445</v>
      </c>
      <c r="D3116" s="4" t="s">
        <v>12375</v>
      </c>
      <c r="E3116" s="5" t="n">
        <v>65403</v>
      </c>
      <c r="F3116" s="4" t="n">
        <v>3</v>
      </c>
      <c r="G3116" s="4" t="s">
        <v>12376</v>
      </c>
      <c r="H3116" s="4" t="n">
        <v>34.24993</v>
      </c>
      <c r="I3116" s="4" t="n">
        <v>-80.60742</v>
      </c>
      <c r="J3116" s="4" t="s">
        <v>12377</v>
      </c>
      <c r="K3116" s="6" t="str">
        <f aca="false">HYPERLINK("https://www.google.com/search?q=Kershaw+County+Library+Camden+SC+library+website","Search")</f>
        <v>Search</v>
      </c>
      <c r="L3116" s="7"/>
      <c r="M3116" s="7"/>
    </row>
    <row r="3117" customFormat="false" ht="15" hidden="false" customHeight="true" outlineLevel="0" collapsed="false">
      <c r="A3117" s="4" t="s">
        <v>12292</v>
      </c>
      <c r="B3117" s="4" t="s">
        <v>12378</v>
      </c>
      <c r="C3117" s="4" t="s">
        <v>4923</v>
      </c>
      <c r="D3117" s="4" t="s">
        <v>4923</v>
      </c>
      <c r="E3117" s="5" t="n">
        <v>96016</v>
      </c>
      <c r="F3117" s="4" t="n">
        <v>3</v>
      </c>
      <c r="G3117" s="4" t="s">
        <v>12379</v>
      </c>
      <c r="H3117" s="4" t="n">
        <v>34.71686</v>
      </c>
      <c r="I3117" s="4" t="n">
        <v>-80.76752</v>
      </c>
      <c r="J3117" s="4" t="s">
        <v>12380</v>
      </c>
      <c r="K3117" s="6" t="str">
        <f aca="false">HYPERLINK("https://www.google.com/search?q=Lancaster+County+Library+System+Lancaster+SC+library+website","Search")</f>
        <v>Search</v>
      </c>
      <c r="L3117" s="7"/>
      <c r="M3117" s="8" t="str">
        <f aca="false">HYPERLINK("https://lancasterlibraries.overdrive.com","https://lancasterlibraries.overdrive.com")</f>
        <v>https://lancasterlibraries.overdrive.com</v>
      </c>
    </row>
    <row r="3118" customFormat="false" ht="15" hidden="false" customHeight="true" outlineLevel="0" collapsed="false">
      <c r="A3118" s="4" t="s">
        <v>12292</v>
      </c>
      <c r="B3118" s="4" t="s">
        <v>12381</v>
      </c>
      <c r="C3118" s="4" t="s">
        <v>2782</v>
      </c>
      <c r="D3118" s="4" t="s">
        <v>2782</v>
      </c>
      <c r="E3118" s="5" t="n">
        <v>67539</v>
      </c>
      <c r="F3118" s="4" t="n">
        <v>2</v>
      </c>
      <c r="G3118" s="4" t="s">
        <v>12382</v>
      </c>
      <c r="H3118" s="4" t="n">
        <v>34.4934</v>
      </c>
      <c r="I3118" s="4" t="n">
        <v>-82.03475</v>
      </c>
      <c r="J3118" s="4" t="s">
        <v>12383</v>
      </c>
      <c r="K3118" s="6" t="str">
        <f aca="false">HYPERLINK("https://www.google.com/search?q=Laurens+County+Library+System+Laurens+SC+library+website","Search")</f>
        <v>Search</v>
      </c>
      <c r="L3118" s="7"/>
      <c r="M3118" s="7"/>
    </row>
    <row r="3119" customFormat="false" ht="15" hidden="false" customHeight="true" outlineLevel="0" collapsed="false">
      <c r="A3119" s="4" t="s">
        <v>12292</v>
      </c>
      <c r="B3119" s="4" t="s">
        <v>12384</v>
      </c>
      <c r="C3119" s="4" t="s">
        <v>12385</v>
      </c>
      <c r="D3119" s="4" t="s">
        <v>83</v>
      </c>
      <c r="E3119" s="5" t="n">
        <v>16531</v>
      </c>
      <c r="F3119" s="4" t="n">
        <v>1</v>
      </c>
      <c r="G3119" s="4" t="s">
        <v>12386</v>
      </c>
      <c r="H3119" s="4" t="n">
        <v>34.21892</v>
      </c>
      <c r="I3119" s="4" t="n">
        <v>-80.24744</v>
      </c>
      <c r="J3119" s="4" t="s">
        <v>12387</v>
      </c>
      <c r="K3119" s="6" t="str">
        <f aca="false">HYPERLINK("https://www.google.com/search?q=Lee+County+Public+Library+System+Bishopville+SC+library+website","Search")</f>
        <v>Search</v>
      </c>
      <c r="L3119" s="7"/>
      <c r="M3119" s="7"/>
    </row>
    <row r="3120" customFormat="false" ht="15" hidden="false" customHeight="true" outlineLevel="0" collapsed="false">
      <c r="A3120" s="4" t="s">
        <v>12292</v>
      </c>
      <c r="B3120" s="4" t="s">
        <v>12388</v>
      </c>
      <c r="C3120" s="4" t="s">
        <v>5037</v>
      </c>
      <c r="D3120" s="4" t="s">
        <v>5037</v>
      </c>
      <c r="E3120" s="5" t="n">
        <v>293991</v>
      </c>
      <c r="F3120" s="4" t="n">
        <v>10</v>
      </c>
      <c r="G3120" s="4" t="s">
        <v>12389</v>
      </c>
      <c r="H3120" s="4" t="n">
        <v>33.97458</v>
      </c>
      <c r="I3120" s="4" t="n">
        <v>-81.22</v>
      </c>
      <c r="J3120" s="4" t="s">
        <v>12390</v>
      </c>
      <c r="K3120" s="6" t="str">
        <f aca="false">HYPERLINK("https://www.google.com/search?q=Lexington+County+Public+Library+System+Lexington+SC+library+website","Search")</f>
        <v>Search</v>
      </c>
      <c r="L3120" s="7"/>
      <c r="M3120" s="7"/>
    </row>
    <row r="3121" customFormat="false" ht="15" hidden="false" customHeight="true" outlineLevel="0" collapsed="false">
      <c r="A3121" s="4" t="s">
        <v>12292</v>
      </c>
      <c r="B3121" s="4" t="s">
        <v>12391</v>
      </c>
      <c r="C3121" s="4" t="s">
        <v>572</v>
      </c>
      <c r="D3121" s="4" t="s">
        <v>572</v>
      </c>
      <c r="E3121" s="5" t="n">
        <v>29183</v>
      </c>
      <c r="F3121" s="4" t="n">
        <v>3</v>
      </c>
      <c r="G3121" s="4" t="s">
        <v>12392</v>
      </c>
      <c r="H3121" s="4" t="n">
        <v>34.17837</v>
      </c>
      <c r="I3121" s="4" t="n">
        <v>-79.39992</v>
      </c>
      <c r="J3121" s="4" t="s">
        <v>12393</v>
      </c>
      <c r="K3121" s="6" t="str">
        <f aca="false">HYPERLINK("https://www.google.com/search?q=Marion+County+Library+System+Marion+SC+library+website","Search")</f>
        <v>Search</v>
      </c>
      <c r="L3121" s="7"/>
      <c r="M3121" s="7"/>
    </row>
    <row r="3122" customFormat="false" ht="15" hidden="false" customHeight="true" outlineLevel="0" collapsed="false">
      <c r="A3122" s="4" t="s">
        <v>12292</v>
      </c>
      <c r="B3122" s="4" t="s">
        <v>12394</v>
      </c>
      <c r="C3122" s="4" t="s">
        <v>12395</v>
      </c>
      <c r="D3122" s="4" t="s">
        <v>9780</v>
      </c>
      <c r="E3122" s="5" t="n">
        <v>26667</v>
      </c>
      <c r="F3122" s="4" t="n">
        <v>1</v>
      </c>
      <c r="G3122" s="4" t="s">
        <v>12396</v>
      </c>
      <c r="H3122" s="4" t="n">
        <v>34.61491</v>
      </c>
      <c r="I3122" s="4" t="n">
        <v>-79.68027</v>
      </c>
      <c r="J3122" s="4" t="s">
        <v>12397</v>
      </c>
      <c r="K3122" s="6" t="str">
        <f aca="false">HYPERLINK("https://www.google.com/search?q=Marlboro+County+Library+System+Bennettsville+SC+library+website","Search")</f>
        <v>Search</v>
      </c>
      <c r="L3122" s="7"/>
      <c r="M3122" s="7"/>
    </row>
    <row r="3123" customFormat="false" ht="15" hidden="false" customHeight="true" outlineLevel="0" collapsed="false">
      <c r="A3123" s="4" t="s">
        <v>12292</v>
      </c>
      <c r="B3123" s="4" t="s">
        <v>12398</v>
      </c>
      <c r="C3123" s="4" t="s">
        <v>12399</v>
      </c>
      <c r="D3123" s="4" t="s">
        <v>12399</v>
      </c>
      <c r="E3123" s="5" t="n">
        <v>37719</v>
      </c>
      <c r="F3123" s="4" t="n">
        <v>2</v>
      </c>
      <c r="G3123" s="4" t="s">
        <v>12400</v>
      </c>
      <c r="H3123" s="4" t="n">
        <v>34.2735</v>
      </c>
      <c r="I3123" s="4" t="n">
        <v>-81.61998</v>
      </c>
      <c r="J3123" s="4" t="s">
        <v>12401</v>
      </c>
      <c r="K3123" s="6" t="str">
        <f aca="false">HYPERLINK("https://www.google.com/search?q=Newberry+County+Library+System+Newberry+SC+library+website","Search")</f>
        <v>Search</v>
      </c>
      <c r="L3123" s="7"/>
      <c r="M3123" s="7"/>
    </row>
    <row r="3124" customFormat="false" ht="15" hidden="false" customHeight="true" outlineLevel="0" collapsed="false">
      <c r="A3124" s="4" t="s">
        <v>12292</v>
      </c>
      <c r="B3124" s="4" t="s">
        <v>12402</v>
      </c>
      <c r="C3124" s="4" t="s">
        <v>12403</v>
      </c>
      <c r="D3124" s="4" t="s">
        <v>12404</v>
      </c>
      <c r="E3124" s="5" t="n">
        <v>78607</v>
      </c>
      <c r="F3124" s="4" t="n">
        <v>4</v>
      </c>
      <c r="G3124" s="4" t="s">
        <v>12405</v>
      </c>
      <c r="H3124" s="4" t="n">
        <v>34.76494</v>
      </c>
      <c r="I3124" s="4" t="n">
        <v>-83.07289</v>
      </c>
      <c r="J3124" s="4" t="s">
        <v>12406</v>
      </c>
      <c r="K3124" s="6" t="str">
        <f aca="false">HYPERLINK("https://www.google.com/search?q=Oconee+County+Public+Library+Walhalla+SC+library+website","Search")</f>
        <v>Search</v>
      </c>
      <c r="L3124" s="7"/>
      <c r="M3124" s="7"/>
    </row>
    <row r="3125" customFormat="false" ht="15" hidden="false" customHeight="true" outlineLevel="0" collapsed="false">
      <c r="A3125" s="4" t="s">
        <v>12292</v>
      </c>
      <c r="B3125" s="4" t="s">
        <v>12407</v>
      </c>
      <c r="C3125" s="4" t="s">
        <v>12408</v>
      </c>
      <c r="D3125" s="4" t="s">
        <v>12408</v>
      </c>
      <c r="E3125" s="5" t="n">
        <v>84223</v>
      </c>
      <c r="F3125" s="4" t="n">
        <v>6</v>
      </c>
      <c r="G3125" s="4" t="s">
        <v>12409</v>
      </c>
      <c r="H3125" s="4" t="n">
        <v>33.49259</v>
      </c>
      <c r="I3125" s="4" t="n">
        <v>-80.85753</v>
      </c>
      <c r="J3125" s="4" t="s">
        <v>12410</v>
      </c>
      <c r="K3125" s="6" t="str">
        <f aca="false">HYPERLINK("https://www.google.com/search?q=Orangeburg+County+Library+Commission+Orangeburg+SC+library+website","Search")</f>
        <v>Search</v>
      </c>
      <c r="L3125" s="7"/>
      <c r="M3125" s="7"/>
    </row>
    <row r="3126" customFormat="false" ht="15" hidden="false" customHeight="true" outlineLevel="0" collapsed="false">
      <c r="A3126" s="4" t="s">
        <v>12292</v>
      </c>
      <c r="B3126" s="4" t="s">
        <v>12411</v>
      </c>
      <c r="C3126" s="4" t="s">
        <v>12412</v>
      </c>
      <c r="D3126" s="4" t="s">
        <v>375</v>
      </c>
      <c r="E3126" s="5" t="n">
        <v>131404</v>
      </c>
      <c r="F3126" s="4" t="n">
        <v>4</v>
      </c>
      <c r="G3126" s="4" t="s">
        <v>12413</v>
      </c>
      <c r="H3126" s="4" t="n">
        <v>34.82531</v>
      </c>
      <c r="I3126" s="4" t="n">
        <v>-82.5797</v>
      </c>
      <c r="J3126" s="4" t="s">
        <v>12414</v>
      </c>
      <c r="K3126" s="6" t="str">
        <f aca="false">HYPERLINK("https://www.google.com/search?q=Pickens+County+Library+System+Easley+SC+library+website","Search")</f>
        <v>Search</v>
      </c>
      <c r="L3126" s="7"/>
      <c r="M3126" s="8" t="str">
        <f aca="false">HYPERLINK("https://pickens.overdrive.com","https://pickens.overdrive.com")</f>
        <v>https://pickens.overdrive.com</v>
      </c>
    </row>
    <row r="3127" customFormat="false" ht="15" hidden="false" customHeight="true" outlineLevel="0" collapsed="false">
      <c r="A3127" s="4" t="s">
        <v>12292</v>
      </c>
      <c r="B3127" s="4" t="s">
        <v>12415</v>
      </c>
      <c r="C3127" s="4" t="s">
        <v>506</v>
      </c>
      <c r="D3127" s="4" t="s">
        <v>5379</v>
      </c>
      <c r="E3127" s="5" t="n">
        <v>416147</v>
      </c>
      <c r="F3127" s="4" t="n">
        <v>13</v>
      </c>
      <c r="G3127" s="4" t="s">
        <v>12416</v>
      </c>
      <c r="H3127" s="4" t="n">
        <v>34.00435</v>
      </c>
      <c r="I3127" s="4" t="n">
        <v>-81.03697</v>
      </c>
      <c r="J3127" s="4" t="s">
        <v>12417</v>
      </c>
      <c r="K3127" s="6" t="str">
        <f aca="false">HYPERLINK("https://www.google.com/search?q=Richland+County+Public+Library+Columbia+SC+library+website","Search")</f>
        <v>Search</v>
      </c>
      <c r="L3127" s="7"/>
      <c r="M3127" s="7"/>
    </row>
    <row r="3128" customFormat="false" ht="15" hidden="false" customHeight="true" outlineLevel="0" collapsed="false">
      <c r="A3128" s="4" t="s">
        <v>12292</v>
      </c>
      <c r="B3128" s="4" t="s">
        <v>12418</v>
      </c>
      <c r="C3128" s="4" t="s">
        <v>12419</v>
      </c>
      <c r="D3128" s="4" t="s">
        <v>12419</v>
      </c>
      <c r="E3128" s="5" t="n">
        <v>18862</v>
      </c>
      <c r="F3128" s="4" t="n">
        <v>2</v>
      </c>
      <c r="G3128" s="4" t="s">
        <v>12420</v>
      </c>
      <c r="H3128" s="4" t="n">
        <v>34.00054</v>
      </c>
      <c r="I3128" s="4" t="n">
        <v>-81.77196</v>
      </c>
      <c r="J3128" s="4" t="s">
        <v>12421</v>
      </c>
      <c r="K3128" s="6" t="str">
        <f aca="false">HYPERLINK("https://www.google.com/search?q=Saluda+County+Library+System+Saluda+SC+library+website","Search")</f>
        <v>Search</v>
      </c>
      <c r="L3128" s="7"/>
      <c r="M3128" s="7"/>
    </row>
    <row r="3129" customFormat="false" ht="15" hidden="false" customHeight="true" outlineLevel="0" collapsed="false">
      <c r="A3129" s="4" t="s">
        <v>12292</v>
      </c>
      <c r="B3129" s="4" t="s">
        <v>12422</v>
      </c>
      <c r="C3129" s="4" t="s">
        <v>12423</v>
      </c>
      <c r="D3129" s="4" t="s">
        <v>12423</v>
      </c>
      <c r="E3129" s="5" t="n">
        <v>327997</v>
      </c>
      <c r="F3129" s="4" t="n">
        <v>9</v>
      </c>
      <c r="G3129" s="4" t="s">
        <v>12424</v>
      </c>
      <c r="H3129" s="4" t="n">
        <v>34.94809</v>
      </c>
      <c r="I3129" s="4" t="n">
        <v>-81.93096</v>
      </c>
      <c r="J3129" s="4" t="s">
        <v>12425</v>
      </c>
      <c r="K3129" s="6" t="str">
        <f aca="false">HYPERLINK("https://www.google.com/search?q=Spartanburg+County+Public+Library+System+Spartanburg+SC+library+website","Search")</f>
        <v>Search</v>
      </c>
      <c r="L3129" s="7"/>
      <c r="M3129" s="8" t="str">
        <f aca="false">HYPERLINK("https://spartanburglibraries.overdrive.com","https://spartanburglibraries.overdrive.com")</f>
        <v>https://spartanburglibraries.overdrive.com</v>
      </c>
    </row>
    <row r="3130" customFormat="false" ht="15" hidden="false" customHeight="true" outlineLevel="0" collapsed="false">
      <c r="A3130" s="4" t="s">
        <v>12292</v>
      </c>
      <c r="B3130" s="4" t="s">
        <v>12426</v>
      </c>
      <c r="C3130" s="4" t="s">
        <v>2558</v>
      </c>
      <c r="D3130" s="4" t="s">
        <v>2558</v>
      </c>
      <c r="E3130" s="5" t="n">
        <v>105556</v>
      </c>
      <c r="F3130" s="4" t="n">
        <v>3</v>
      </c>
      <c r="G3130" s="4" t="s">
        <v>12427</v>
      </c>
      <c r="H3130" s="4" t="n">
        <v>33.9224</v>
      </c>
      <c r="I3130" s="4" t="n">
        <v>-80.33986</v>
      </c>
      <c r="J3130" s="4" t="s">
        <v>12428</v>
      </c>
      <c r="K3130" s="6" t="str">
        <f aca="false">HYPERLINK("https://www.google.com/search?q=Sumter+County+Public+Library+System+Sumter+SC+library+website","Search")</f>
        <v>Search</v>
      </c>
      <c r="L3130" s="7"/>
      <c r="M3130" s="7"/>
    </row>
    <row r="3131" customFormat="false" ht="15" hidden="false" customHeight="true" outlineLevel="0" collapsed="false">
      <c r="A3131" s="4" t="s">
        <v>12292</v>
      </c>
      <c r="B3131" s="4" t="s">
        <v>7757</v>
      </c>
      <c r="C3131" s="4" t="s">
        <v>467</v>
      </c>
      <c r="D3131" s="4" t="s">
        <v>467</v>
      </c>
      <c r="E3131" s="5" t="n">
        <v>27244</v>
      </c>
      <c r="F3131" s="4" t="n">
        <v>5</v>
      </c>
      <c r="G3131" s="4" t="s">
        <v>12429</v>
      </c>
      <c r="H3131" s="4" t="n">
        <v>34.71352</v>
      </c>
      <c r="I3131" s="4" t="n">
        <v>-81.62066</v>
      </c>
      <c r="J3131" s="4" t="s">
        <v>12430</v>
      </c>
      <c r="K3131" s="6" t="str">
        <f aca="false">HYPERLINK("https://www.google.com/search?q=Union+County+Library+System+Union+SC+library+website","Search")</f>
        <v>Search</v>
      </c>
      <c r="L3131" s="7"/>
      <c r="M3131" s="7"/>
    </row>
    <row r="3132" customFormat="false" ht="15" hidden="false" customHeight="true" outlineLevel="0" collapsed="false">
      <c r="A3132" s="4" t="s">
        <v>12292</v>
      </c>
      <c r="B3132" s="4" t="s">
        <v>12431</v>
      </c>
      <c r="C3132" s="4" t="s">
        <v>12432</v>
      </c>
      <c r="D3132" s="4" t="s">
        <v>5204</v>
      </c>
      <c r="E3132" s="5" t="n">
        <v>31026</v>
      </c>
      <c r="F3132" s="4" t="n">
        <v>3</v>
      </c>
      <c r="G3132" s="4" t="s">
        <v>12433</v>
      </c>
      <c r="H3132" s="4" t="n">
        <v>33.66566</v>
      </c>
      <c r="I3132" s="4" t="n">
        <v>-79.8326</v>
      </c>
      <c r="J3132" s="4" t="s">
        <v>12434</v>
      </c>
      <c r="K3132" s="6" t="str">
        <f aca="false">HYPERLINK("https://www.google.com/search?q=Williamsburg+County+Library+System+Kingstree+SC+library+website","Search")</f>
        <v>Search</v>
      </c>
      <c r="L3132" s="7"/>
      <c r="M3132" s="7"/>
    </row>
    <row r="3133" customFormat="false" ht="15" hidden="false" customHeight="true" outlineLevel="0" collapsed="false">
      <c r="A3133" s="4" t="s">
        <v>12292</v>
      </c>
      <c r="B3133" s="4" t="s">
        <v>12435</v>
      </c>
      <c r="C3133" s="4" t="s">
        <v>12436</v>
      </c>
      <c r="D3133" s="4" t="s">
        <v>6292</v>
      </c>
      <c r="E3133" s="5" t="n">
        <v>282090</v>
      </c>
      <c r="F3133" s="4" t="n">
        <v>5</v>
      </c>
      <c r="G3133" s="4" t="s">
        <v>12437</v>
      </c>
      <c r="H3133" s="4" t="n">
        <v>34.92502</v>
      </c>
      <c r="I3133" s="4" t="n">
        <v>-81.02823</v>
      </c>
      <c r="J3133" s="4" t="s">
        <v>12438</v>
      </c>
      <c r="K3133" s="6" t="str">
        <f aca="false">HYPERLINK("https://www.google.com/search?q=York+County+Library+System+Rock+Hill+SC+library+website","Search")</f>
        <v>Search</v>
      </c>
      <c r="L3133" s="7"/>
      <c r="M3133" s="7"/>
    </row>
    <row r="3134" customFormat="false" ht="15" hidden="false" customHeight="true" outlineLevel="0" collapsed="false">
      <c r="A3134" s="4" t="s">
        <v>12439</v>
      </c>
      <c r="B3134" s="4" t="s">
        <v>12440</v>
      </c>
      <c r="C3134" s="4" t="s">
        <v>11009</v>
      </c>
      <c r="D3134" s="4" t="s">
        <v>11009</v>
      </c>
      <c r="E3134" s="5" t="n">
        <v>23432</v>
      </c>
      <c r="F3134" s="4" t="n">
        <v>1</v>
      </c>
      <c r="G3134" s="4" t="s">
        <v>12441</v>
      </c>
      <c r="H3134" s="4" t="n">
        <v>44.30794</v>
      </c>
      <c r="I3134" s="4" t="n">
        <v>-96.79595</v>
      </c>
      <c r="J3134" s="4" t="s">
        <v>12442</v>
      </c>
      <c r="K3134" s="6" t="str">
        <f aca="false">HYPERLINK("https://www.google.com/search?q=Brookings+Public+Library+Brookings+SD+library+website","Search")</f>
        <v>Search</v>
      </c>
      <c r="L3134" s="7"/>
      <c r="M3134" s="7"/>
    </row>
    <row r="3135" customFormat="false" ht="15" hidden="false" customHeight="true" outlineLevel="0" collapsed="false">
      <c r="A3135" s="4" t="s">
        <v>12439</v>
      </c>
      <c r="B3135" s="4" t="s">
        <v>12443</v>
      </c>
      <c r="C3135" s="4" t="s">
        <v>12444</v>
      </c>
      <c r="D3135" s="4" t="s">
        <v>2322</v>
      </c>
      <c r="E3135" s="5" t="n">
        <v>11695</v>
      </c>
      <c r="F3135" s="4" t="n">
        <v>1</v>
      </c>
      <c r="G3135" s="4" t="s">
        <v>12445</v>
      </c>
      <c r="H3135" s="4" t="n">
        <v>42.77857</v>
      </c>
      <c r="I3135" s="4" t="n">
        <v>-96.9308</v>
      </c>
      <c r="J3135" s="4" t="s">
        <v>12446</v>
      </c>
      <c r="K3135" s="6" t="str">
        <f aca="false">HYPERLINK("https://www.google.com/search?q=Edith+B+Siegrist+Vermillion+Public+Library+Vermillion+SD+library+website","Search")</f>
        <v>Search</v>
      </c>
      <c r="L3135" s="7"/>
      <c r="M3135" s="7"/>
    </row>
    <row r="3136" customFormat="false" ht="15" hidden="false" customHeight="true" outlineLevel="0" collapsed="false">
      <c r="A3136" s="4" t="s">
        <v>12439</v>
      </c>
      <c r="B3136" s="4" t="s">
        <v>12447</v>
      </c>
      <c r="C3136" s="4" t="s">
        <v>12448</v>
      </c>
      <c r="D3136" s="4" t="s">
        <v>279</v>
      </c>
      <c r="E3136" s="5" t="n">
        <v>18812</v>
      </c>
      <c r="F3136" s="4" t="n">
        <v>1</v>
      </c>
      <c r="G3136" s="4" t="s">
        <v>12449</v>
      </c>
      <c r="H3136" s="4" t="n">
        <v>44.48955</v>
      </c>
      <c r="I3136" s="4" t="n">
        <v>-103.86043</v>
      </c>
      <c r="J3136" s="4" t="s">
        <v>12450</v>
      </c>
      <c r="K3136" s="6" t="str">
        <f aca="false">HYPERLINK("https://www.google.com/search?q=Grace+Balloch+Memorial+Library+Spearfish+SD+library+website","Search")</f>
        <v>Search</v>
      </c>
      <c r="L3136" s="7"/>
      <c r="M3136" s="7"/>
    </row>
    <row r="3137" customFormat="false" ht="15" hidden="false" customHeight="true" outlineLevel="0" collapsed="false">
      <c r="A3137" s="4" t="s">
        <v>12439</v>
      </c>
      <c r="B3137" s="4" t="s">
        <v>12451</v>
      </c>
      <c r="C3137" s="4" t="s">
        <v>2158</v>
      </c>
      <c r="D3137" s="4" t="s">
        <v>12452</v>
      </c>
      <c r="E3137" s="5" t="n">
        <v>11839</v>
      </c>
      <c r="F3137" s="4" t="n">
        <v>1</v>
      </c>
      <c r="G3137" s="4" t="s">
        <v>12453</v>
      </c>
      <c r="H3137" s="4" t="n">
        <v>44.89157</v>
      </c>
      <c r="I3137" s="4" t="n">
        <v>-97.11757</v>
      </c>
      <c r="J3137" s="4" t="s">
        <v>12454</v>
      </c>
      <c r="K3137" s="6" t="str">
        <f aca="false">HYPERLINK("https://www.google.com/search?q=Hamlin-Codington+Regional+Library+Watertown+SD+library+website","Search")</f>
        <v>Search</v>
      </c>
      <c r="L3137" s="7"/>
      <c r="M3137" s="7"/>
    </row>
    <row r="3138" customFormat="false" ht="15" hidden="false" customHeight="true" outlineLevel="0" collapsed="false">
      <c r="A3138" s="4" t="s">
        <v>12439</v>
      </c>
      <c r="B3138" s="4" t="s">
        <v>10508</v>
      </c>
      <c r="C3138" s="4" t="s">
        <v>10300</v>
      </c>
      <c r="D3138" s="4" t="s">
        <v>12455</v>
      </c>
      <c r="E3138" s="5" t="n">
        <v>14060</v>
      </c>
      <c r="F3138" s="4" t="n">
        <v>1</v>
      </c>
      <c r="G3138" s="4" t="s">
        <v>12456</v>
      </c>
      <c r="H3138" s="4" t="n">
        <v>44.36046</v>
      </c>
      <c r="I3138" s="4" t="n">
        <v>-98.21418</v>
      </c>
      <c r="J3138" s="4" t="s">
        <v>12457</v>
      </c>
      <c r="K3138" s="6" t="str">
        <f aca="false">HYPERLINK("https://www.google.com/search?q=Huron+Public+Library+Huron+SD+library+website","Search")</f>
        <v>Search</v>
      </c>
      <c r="L3138" s="7"/>
      <c r="M3138" s="7"/>
    </row>
    <row r="3139" customFormat="false" ht="15" hidden="false" customHeight="true" outlineLevel="0" collapsed="false">
      <c r="A3139" s="4" t="s">
        <v>12439</v>
      </c>
      <c r="B3139" s="4" t="s">
        <v>12458</v>
      </c>
      <c r="C3139" s="4" t="s">
        <v>12459</v>
      </c>
      <c r="D3139" s="4" t="s">
        <v>4282</v>
      </c>
      <c r="E3139" s="5" t="n">
        <v>38471</v>
      </c>
      <c r="F3139" s="4" t="n">
        <v>1</v>
      </c>
      <c r="G3139" s="4" t="s">
        <v>12460</v>
      </c>
      <c r="H3139" s="4" t="n">
        <v>45.46113</v>
      </c>
      <c r="I3139" s="4" t="n">
        <v>-98.48435</v>
      </c>
      <c r="J3139" s="4" t="s">
        <v>12461</v>
      </c>
      <c r="K3139" s="6" t="str">
        <f aca="false">HYPERLINK("https://www.google.com/search?q=K.O.+Lee+Aberdeen+Public+Library+Aberdeen+SD+library+website","Search")</f>
        <v>Search</v>
      </c>
      <c r="L3139" s="7"/>
      <c r="M3139" s="7"/>
    </row>
    <row r="3140" customFormat="false" ht="15" hidden="false" customHeight="true" outlineLevel="0" collapsed="false">
      <c r="A3140" s="4" t="s">
        <v>12439</v>
      </c>
      <c r="B3140" s="4" t="s">
        <v>12462</v>
      </c>
      <c r="C3140" s="4" t="s">
        <v>2664</v>
      </c>
      <c r="D3140" s="4" t="s">
        <v>12463</v>
      </c>
      <c r="E3140" s="5" t="n">
        <v>15677</v>
      </c>
      <c r="F3140" s="4" t="n">
        <v>1</v>
      </c>
      <c r="G3140" s="4" t="s">
        <v>12464</v>
      </c>
      <c r="H3140" s="4" t="n">
        <v>43.71066</v>
      </c>
      <c r="I3140" s="4" t="n">
        <v>-98.02837</v>
      </c>
      <c r="J3140" s="4" t="s">
        <v>12465</v>
      </c>
      <c r="K3140" s="6" t="str">
        <f aca="false">HYPERLINK("https://www.google.com/search?q=Mitchell+Public+Library+Mitchell+SD+library+website","Search")</f>
        <v>Search</v>
      </c>
      <c r="L3140" s="7"/>
      <c r="M3140" s="7"/>
    </row>
    <row r="3141" customFormat="false" ht="15" hidden="false" customHeight="true" outlineLevel="0" collapsed="false">
      <c r="A3141" s="4" t="s">
        <v>12439</v>
      </c>
      <c r="B3141" s="4" t="s">
        <v>12466</v>
      </c>
      <c r="C3141" s="4" t="s">
        <v>12467</v>
      </c>
      <c r="D3141" s="4" t="s">
        <v>12468</v>
      </c>
      <c r="E3141" s="5" t="n">
        <v>19157</v>
      </c>
      <c r="F3141" s="4" t="n">
        <v>13</v>
      </c>
      <c r="G3141" s="4" t="s">
        <v>12469</v>
      </c>
      <c r="H3141" s="4" t="n">
        <v>43.3659</v>
      </c>
      <c r="I3141" s="4" t="n">
        <v>-102.24014</v>
      </c>
      <c r="J3141" s="4" t="s">
        <v>12470</v>
      </c>
      <c r="K3141" s="6" t="str">
        <f aca="false">HYPERLINK("https://www.google.com/search?q=Oglala+Lakota+College+Woksape+Tipi+Academic+%26+Public+Library+Kyle+SD+library+website","Search")</f>
        <v>Search</v>
      </c>
      <c r="L3141" s="7"/>
      <c r="M3141" s="7"/>
    </row>
    <row r="3142" customFormat="false" ht="15" hidden="false" customHeight="true" outlineLevel="0" collapsed="false">
      <c r="A3142" s="4" t="s">
        <v>12439</v>
      </c>
      <c r="B3142" s="4" t="s">
        <v>12471</v>
      </c>
      <c r="C3142" s="4" t="s">
        <v>12472</v>
      </c>
      <c r="D3142" s="4" t="s">
        <v>5090</v>
      </c>
      <c r="E3142" s="5" t="n">
        <v>10964</v>
      </c>
      <c r="F3142" s="4" t="n">
        <v>1</v>
      </c>
      <c r="G3142" s="4" t="s">
        <v>12473</v>
      </c>
      <c r="H3142" s="4" t="n">
        <v>44.23099</v>
      </c>
      <c r="I3142" s="4" t="n">
        <v>-103.38857</v>
      </c>
      <c r="J3142" s="4" t="s">
        <v>12474</v>
      </c>
      <c r="K3142" s="6" t="str">
        <f aca="false">HYPERLINK("https://www.google.com/search?q=Piedmont+Valley+Library+Piedmont+SD+library+website","Search")</f>
        <v>Search</v>
      </c>
      <c r="L3142" s="7"/>
      <c r="M3142" s="7"/>
    </row>
    <row r="3143" customFormat="false" ht="15" hidden="false" customHeight="true" outlineLevel="0" collapsed="false">
      <c r="A3143" s="4" t="s">
        <v>12439</v>
      </c>
      <c r="B3143" s="4" t="s">
        <v>12475</v>
      </c>
      <c r="C3143" s="4" t="s">
        <v>12476</v>
      </c>
      <c r="D3143" s="4" t="s">
        <v>12477</v>
      </c>
      <c r="E3143" s="5" t="n">
        <v>16552</v>
      </c>
      <c r="F3143" s="4" t="n">
        <v>1</v>
      </c>
      <c r="G3143" s="4" t="s">
        <v>12478</v>
      </c>
      <c r="H3143" s="4" t="n">
        <v>44.36958</v>
      </c>
      <c r="I3143" s="4" t="n">
        <v>-100.33842</v>
      </c>
      <c r="J3143" s="4" t="s">
        <v>12479</v>
      </c>
      <c r="K3143" s="6" t="str">
        <f aca="false">HYPERLINK("https://www.google.com/search?q=R.+E.+Rawlins+Municipal+Library+Pierre+SD+library+website","Search")</f>
        <v>Search</v>
      </c>
      <c r="L3143" s="7"/>
      <c r="M3143" s="7"/>
    </row>
    <row r="3144" customFormat="false" ht="15" hidden="false" customHeight="true" outlineLevel="0" collapsed="false">
      <c r="A3144" s="4" t="s">
        <v>12439</v>
      </c>
      <c r="B3144" s="4" t="s">
        <v>12480</v>
      </c>
      <c r="C3144" s="4" t="s">
        <v>12481</v>
      </c>
      <c r="D3144" s="4" t="s">
        <v>7255</v>
      </c>
      <c r="E3144" s="5" t="n">
        <v>108958</v>
      </c>
      <c r="F3144" s="4" t="n">
        <v>1</v>
      </c>
      <c r="G3144" s="4" t="s">
        <v>12482</v>
      </c>
      <c r="H3144" s="4" t="n">
        <v>44.07812</v>
      </c>
      <c r="I3144" s="4" t="n">
        <v>-103.22925</v>
      </c>
      <c r="J3144" s="4" t="s">
        <v>12483</v>
      </c>
      <c r="K3144" s="6" t="str">
        <f aca="false">HYPERLINK("https://www.google.com/search?q=Rapid+City+Public+Library+Rapid+City+SD+library+website","Search")</f>
        <v>Search</v>
      </c>
      <c r="L3144" s="7"/>
      <c r="M3144" s="7"/>
    </row>
    <row r="3145" customFormat="false" ht="15" hidden="false" customHeight="true" outlineLevel="0" collapsed="false">
      <c r="A3145" s="4" t="s">
        <v>12439</v>
      </c>
      <c r="B3145" s="4" t="s">
        <v>12484</v>
      </c>
      <c r="C3145" s="4" t="s">
        <v>12485</v>
      </c>
      <c r="D3145" s="4" t="s">
        <v>5184</v>
      </c>
      <c r="E3145" s="5" t="n">
        <v>21045</v>
      </c>
      <c r="F3145" s="4" t="n">
        <v>1</v>
      </c>
      <c r="G3145" s="4" t="s">
        <v>12486</v>
      </c>
      <c r="H3145" s="4" t="n">
        <v>43.30303</v>
      </c>
      <c r="I3145" s="4" t="n">
        <v>-100.6288</v>
      </c>
      <c r="J3145" s="4" t="s">
        <v>12487</v>
      </c>
      <c r="K3145" s="6" t="str">
        <f aca="false">HYPERLINK("https://www.google.com/search?q=Sinte+Gleska+University+Library+Mission+SD+library+website","Search")</f>
        <v>Search</v>
      </c>
      <c r="L3145" s="7"/>
      <c r="M3145" s="7"/>
    </row>
    <row r="3146" customFormat="false" ht="15" hidden="false" customHeight="true" outlineLevel="0" collapsed="false">
      <c r="A3146" s="4" t="s">
        <v>12439</v>
      </c>
      <c r="B3146" s="4" t="s">
        <v>12488</v>
      </c>
      <c r="C3146" s="4" t="s">
        <v>12489</v>
      </c>
      <c r="D3146" s="4" t="s">
        <v>12490</v>
      </c>
      <c r="E3146" s="5" t="n">
        <v>242616</v>
      </c>
      <c r="F3146" s="4" t="n">
        <v>13</v>
      </c>
      <c r="G3146" s="4" t="s">
        <v>12491</v>
      </c>
      <c r="H3146" s="4" t="n">
        <v>43.54927</v>
      </c>
      <c r="I3146" s="4" t="n">
        <v>-96.72896</v>
      </c>
      <c r="J3146" s="4" t="s">
        <v>12492</v>
      </c>
      <c r="K3146" s="6" t="str">
        <f aca="false">HYPERLINK("https://www.google.com/search?q=Siouxland+Libraries+Sioux+Falls+SD+library+website","Search")</f>
        <v>Search</v>
      </c>
      <c r="L3146" s="7"/>
      <c r="M3146" s="8" t="str">
        <f aca="false">HYPERLINK("https://siouxlndsd.overdrive.com","https://siouxlndsd.overdrive.com")</f>
        <v>https://siouxlndsd.overdrive.com</v>
      </c>
    </row>
    <row r="3147" customFormat="false" ht="15" hidden="false" customHeight="true" outlineLevel="0" collapsed="false">
      <c r="A3147" s="4" t="s">
        <v>12439</v>
      </c>
      <c r="B3147" s="4" t="s">
        <v>12493</v>
      </c>
      <c r="C3147" s="4" t="s">
        <v>12494</v>
      </c>
      <c r="D3147" s="4" t="s">
        <v>12495</v>
      </c>
      <c r="E3147" s="5" t="n">
        <v>11095</v>
      </c>
      <c r="F3147" s="4" t="n">
        <v>1</v>
      </c>
      <c r="G3147" s="4" t="s">
        <v>12496</v>
      </c>
      <c r="H3147" s="4" t="n">
        <v>45.56271</v>
      </c>
      <c r="I3147" s="4" t="n">
        <v>-97.06072</v>
      </c>
      <c r="J3147" s="4" t="s">
        <v>12497</v>
      </c>
      <c r="K3147" s="6" t="str">
        <f aca="false">HYPERLINK("https://www.google.com/search?q=Sisseton+Wahpeton+Community+College+Library+Sisseton+SD+library+website","Search")</f>
        <v>Search</v>
      </c>
      <c r="L3147" s="7"/>
      <c r="M3147" s="7"/>
    </row>
    <row r="3148" customFormat="false" ht="15" hidden="false" customHeight="true" outlineLevel="0" collapsed="false">
      <c r="A3148" s="4" t="s">
        <v>12439</v>
      </c>
      <c r="B3148" s="4" t="s">
        <v>12498</v>
      </c>
      <c r="C3148" s="4" t="s">
        <v>7030</v>
      </c>
      <c r="D3148" s="4" t="s">
        <v>5090</v>
      </c>
      <c r="E3148" s="5" t="n">
        <v>16758</v>
      </c>
      <c r="F3148" s="4" t="n">
        <v>1</v>
      </c>
      <c r="G3148" s="4" t="s">
        <v>12499</v>
      </c>
      <c r="H3148" s="4" t="n">
        <v>44.41404</v>
      </c>
      <c r="I3148" s="4" t="n">
        <v>-103.51269</v>
      </c>
      <c r="J3148" s="4" t="s">
        <v>12500</v>
      </c>
      <c r="K3148" s="6" t="str">
        <f aca="false">HYPERLINK("https://www.google.com/search?q=Sturgis+Public+Library+Sturgis+SD+library+website","Search")</f>
        <v>Search</v>
      </c>
      <c r="L3148" s="7"/>
      <c r="M3148" s="7"/>
    </row>
    <row r="3149" customFormat="false" ht="15" hidden="false" customHeight="true" outlineLevel="0" collapsed="false">
      <c r="A3149" s="4" t="s">
        <v>12439</v>
      </c>
      <c r="B3149" s="4" t="s">
        <v>12501</v>
      </c>
      <c r="C3149" s="4" t="s">
        <v>2158</v>
      </c>
      <c r="D3149" s="4" t="s">
        <v>12452</v>
      </c>
      <c r="E3149" s="5" t="n">
        <v>22722</v>
      </c>
      <c r="F3149" s="4" t="n">
        <v>1</v>
      </c>
      <c r="G3149" s="4" t="s">
        <v>12502</v>
      </c>
      <c r="H3149" s="4" t="n">
        <v>44.9025</v>
      </c>
      <c r="I3149" s="4" t="n">
        <v>-97.10425</v>
      </c>
      <c r="J3149" s="4" t="s">
        <v>12503</v>
      </c>
      <c r="K3149" s="6" t="str">
        <f aca="false">HYPERLINK("https://www.google.com/search?q=Watertown+Regional+Library+Watertown+SD+library+website","Search")</f>
        <v>Search</v>
      </c>
      <c r="L3149" s="7"/>
      <c r="M3149" s="7"/>
    </row>
    <row r="3150" customFormat="false" ht="15" hidden="false" customHeight="true" outlineLevel="0" collapsed="false">
      <c r="A3150" s="4" t="s">
        <v>12439</v>
      </c>
      <c r="B3150" s="4" t="s">
        <v>12504</v>
      </c>
      <c r="C3150" s="4" t="s">
        <v>12505</v>
      </c>
      <c r="D3150" s="4" t="s">
        <v>12505</v>
      </c>
      <c r="E3150" s="5" t="n">
        <v>15332</v>
      </c>
      <c r="F3150" s="4" t="n">
        <v>1</v>
      </c>
      <c r="G3150" s="4" t="s">
        <v>12506</v>
      </c>
      <c r="H3150" s="4" t="n">
        <v>42.87336</v>
      </c>
      <c r="I3150" s="4" t="n">
        <v>-97.39374</v>
      </c>
      <c r="J3150" s="4" t="s">
        <v>12507</v>
      </c>
      <c r="K3150" s="6" t="str">
        <f aca="false">HYPERLINK("https://www.google.com/search?q=Yankton+Community+Library+Yankton+SD+library+website","Search")</f>
        <v>Search</v>
      </c>
      <c r="L3150" s="7"/>
      <c r="M3150" s="7"/>
    </row>
    <row r="3151" customFormat="false" ht="15" hidden="false" customHeight="true" outlineLevel="0" collapsed="false">
      <c r="A3151" s="4" t="s">
        <v>12508</v>
      </c>
      <c r="B3151" s="4" t="s">
        <v>12509</v>
      </c>
      <c r="C3151" s="4" t="s">
        <v>12510</v>
      </c>
      <c r="D3151" s="4" t="s">
        <v>6161</v>
      </c>
      <c r="E3151" s="5" t="n">
        <v>62451</v>
      </c>
      <c r="F3151" s="4" t="n">
        <v>1</v>
      </c>
      <c r="G3151" s="4" t="s">
        <v>12511</v>
      </c>
      <c r="H3151" s="4" t="n">
        <v>35.94855</v>
      </c>
      <c r="I3151" s="4" t="n">
        <v>-85.02493</v>
      </c>
      <c r="J3151" s="4" t="s">
        <v>12512</v>
      </c>
      <c r="K3151" s="6" t="str">
        <f aca="false">HYPERLINK("https://www.google.com/search?q=Art+Circle+Public+Library+Crossville+TN+library+website","Search")</f>
        <v>Search</v>
      </c>
      <c r="L3151" s="7"/>
      <c r="M3151" s="7"/>
    </row>
    <row r="3152" customFormat="false" ht="15" hidden="false" customHeight="true" outlineLevel="0" collapsed="false">
      <c r="A3152" s="4" t="s">
        <v>12508</v>
      </c>
      <c r="B3152" s="4" t="s">
        <v>12513</v>
      </c>
      <c r="C3152" s="4" t="s">
        <v>3572</v>
      </c>
      <c r="D3152" s="4" t="s">
        <v>5265</v>
      </c>
      <c r="E3152" s="5" t="n">
        <v>32267</v>
      </c>
      <c r="F3152" s="4" t="n">
        <v>1</v>
      </c>
      <c r="G3152" s="4" t="s">
        <v>12514</v>
      </c>
      <c r="H3152" s="4" t="n">
        <v>36.44901</v>
      </c>
      <c r="I3152" s="4" t="n">
        <v>-83.58063</v>
      </c>
      <c r="J3152" s="4" t="s">
        <v>12515</v>
      </c>
      <c r="K3152" s="6" t="str">
        <f aca="false">HYPERLINK("https://www.google.com/search?q=Barbara+Reynolds+Carr+Memorial+Library+Tazewell+TN+library+website","Search")</f>
        <v>Search</v>
      </c>
      <c r="L3152" s="7"/>
      <c r="M3152" s="7"/>
    </row>
    <row r="3153" customFormat="false" ht="15" hidden="false" customHeight="true" outlineLevel="0" collapsed="false">
      <c r="A3153" s="4" t="s">
        <v>12508</v>
      </c>
      <c r="B3153" s="4" t="s">
        <v>12516</v>
      </c>
      <c r="C3153" s="4" t="s">
        <v>12517</v>
      </c>
      <c r="D3153" s="4" t="s">
        <v>572</v>
      </c>
      <c r="E3153" s="5" t="n">
        <v>10724</v>
      </c>
      <c r="F3153" s="4" t="n">
        <v>1</v>
      </c>
      <c r="G3153" s="4" t="s">
        <v>12518</v>
      </c>
      <c r="H3153" s="4" t="n">
        <v>35.01288</v>
      </c>
      <c r="I3153" s="4" t="n">
        <v>-85.70598</v>
      </c>
      <c r="J3153" s="4" t="s">
        <v>12519</v>
      </c>
      <c r="K3153" s="6" t="str">
        <f aca="false">HYPERLINK("https://www.google.com/search?q=Beene-Pearson+Public+Library+South+Pittsburg+TN+library+website","Search")</f>
        <v>Search</v>
      </c>
      <c r="L3153" s="7"/>
      <c r="M3153" s="7"/>
    </row>
    <row r="3154" customFormat="false" ht="15" hidden="false" customHeight="true" outlineLevel="0" collapsed="false">
      <c r="A3154" s="4" t="s">
        <v>12508</v>
      </c>
      <c r="B3154" s="4" t="s">
        <v>12520</v>
      </c>
      <c r="C3154" s="4" t="s">
        <v>445</v>
      </c>
      <c r="D3154" s="4" t="s">
        <v>477</v>
      </c>
      <c r="E3154" s="5" t="n">
        <v>15872</v>
      </c>
      <c r="F3154" s="4" t="n">
        <v>2</v>
      </c>
      <c r="G3154" s="4" t="s">
        <v>12521</v>
      </c>
      <c r="H3154" s="4" t="n">
        <v>36.05639</v>
      </c>
      <c r="I3154" s="4" t="n">
        <v>-88.09733</v>
      </c>
      <c r="J3154" s="4" t="s">
        <v>12522</v>
      </c>
      <c r="K3154" s="6" t="str">
        <f aca="false">HYPERLINK("https://www.google.com/search?q=Benton+County+Library+Camden+TN+library+website","Search")</f>
        <v>Search</v>
      </c>
      <c r="L3154" s="7"/>
      <c r="M3154" s="7"/>
    </row>
    <row r="3155" customFormat="false" ht="15" hidden="false" customHeight="true" outlineLevel="0" collapsed="false">
      <c r="A3155" s="4" t="s">
        <v>12508</v>
      </c>
      <c r="B3155" s="4" t="s">
        <v>12523</v>
      </c>
      <c r="C3155" s="4" t="s">
        <v>5143</v>
      </c>
      <c r="D3155" s="4" t="s">
        <v>12524</v>
      </c>
      <c r="E3155" s="5" t="n">
        <v>15234</v>
      </c>
      <c r="F3155" s="4" t="n">
        <v>1</v>
      </c>
      <c r="G3155" s="4" t="s">
        <v>12525</v>
      </c>
      <c r="H3155" s="4" t="n">
        <v>35.60535</v>
      </c>
      <c r="I3155" s="4" t="n">
        <v>-85.18842</v>
      </c>
      <c r="J3155" s="4" t="s">
        <v>12526</v>
      </c>
      <c r="K3155" s="6" t="str">
        <f aca="false">HYPERLINK("https://www.google.com/search?q=Bledsoe+County+Public+Library+Pikeville+TN+library+website","Search")</f>
        <v>Search</v>
      </c>
      <c r="L3155" s="7"/>
      <c r="M3155" s="7"/>
    </row>
    <row r="3156" customFormat="false" ht="15" hidden="false" customHeight="true" outlineLevel="0" collapsed="false">
      <c r="A3156" s="4" t="s">
        <v>12508</v>
      </c>
      <c r="B3156" s="4" t="s">
        <v>12527</v>
      </c>
      <c r="C3156" s="4" t="s">
        <v>3818</v>
      </c>
      <c r="D3156" s="4" t="s">
        <v>107</v>
      </c>
      <c r="E3156" s="5" t="n">
        <v>137605</v>
      </c>
      <c r="F3156" s="4" t="n">
        <v>1</v>
      </c>
      <c r="G3156" s="4" t="s">
        <v>12528</v>
      </c>
      <c r="H3156" s="4" t="n">
        <v>35.7574</v>
      </c>
      <c r="I3156" s="4" t="n">
        <v>-83.97321</v>
      </c>
      <c r="J3156" s="4" t="s">
        <v>12529</v>
      </c>
      <c r="K3156" s="6" t="str">
        <f aca="false">HYPERLINK("https://www.google.com/search?q=Blount+County+Public+Library+Maryville+TN+library+website","Search")</f>
        <v>Search</v>
      </c>
      <c r="L3156" s="7"/>
      <c r="M3156" s="7"/>
    </row>
    <row r="3157" customFormat="false" ht="15" hidden="false" customHeight="true" outlineLevel="0" collapsed="false">
      <c r="A3157" s="4" t="s">
        <v>12508</v>
      </c>
      <c r="B3157" s="4" t="s">
        <v>12530</v>
      </c>
      <c r="C3157" s="4" t="s">
        <v>7513</v>
      </c>
      <c r="D3157" s="4" t="s">
        <v>12531</v>
      </c>
      <c r="E3157" s="5" t="n">
        <v>21772</v>
      </c>
      <c r="F3157" s="4" t="n">
        <v>1</v>
      </c>
      <c r="G3157" s="4" t="s">
        <v>12532</v>
      </c>
      <c r="H3157" s="4" t="n">
        <v>35.25718</v>
      </c>
      <c r="I3157" s="4" t="n">
        <v>-88.98918</v>
      </c>
      <c r="J3157" s="4" t="s">
        <v>12533</v>
      </c>
      <c r="K3157" s="6" t="str">
        <f aca="false">HYPERLINK("https://www.google.com/search?q=Bolivar+Hardeman+County+Library+Bolivar+TN+library+website","Search")</f>
        <v>Search</v>
      </c>
      <c r="L3157" s="7"/>
      <c r="M3157" s="7"/>
    </row>
    <row r="3158" customFormat="false" ht="15" hidden="false" customHeight="true" outlineLevel="0" collapsed="false">
      <c r="A3158" s="4" t="s">
        <v>12508</v>
      </c>
      <c r="B3158" s="4" t="s">
        <v>12534</v>
      </c>
      <c r="C3158" s="4" t="s">
        <v>3114</v>
      </c>
      <c r="D3158" s="4" t="s">
        <v>12535</v>
      </c>
      <c r="E3158" s="5" t="n">
        <v>14553</v>
      </c>
      <c r="F3158" s="4" t="n">
        <v>2</v>
      </c>
      <c r="G3158" s="4" t="s">
        <v>12536</v>
      </c>
      <c r="H3158" s="4" t="n">
        <v>35.82568</v>
      </c>
      <c r="I3158" s="4" t="n">
        <v>-86.07526</v>
      </c>
      <c r="J3158" s="4" t="s">
        <v>12537</v>
      </c>
      <c r="K3158" s="6" t="str">
        <f aca="false">HYPERLINK("https://www.google.com/search?q=Cannon+County+Library+System+Woodbury+TN+library+website","Search")</f>
        <v>Search</v>
      </c>
      <c r="L3158" s="7"/>
      <c r="M3158" s="7"/>
    </row>
    <row r="3159" customFormat="false" ht="15" hidden="false" customHeight="true" outlineLevel="0" collapsed="false">
      <c r="A3159" s="4" t="s">
        <v>12508</v>
      </c>
      <c r="B3159" s="4" t="s">
        <v>12538</v>
      </c>
      <c r="C3159" s="4" t="s">
        <v>273</v>
      </c>
      <c r="D3159" s="4" t="s">
        <v>572</v>
      </c>
      <c r="E3159" s="5" t="n">
        <v>12536</v>
      </c>
      <c r="F3159" s="4" t="n">
        <v>1</v>
      </c>
      <c r="G3159" s="4" t="s">
        <v>12539</v>
      </c>
      <c r="H3159" s="4" t="n">
        <v>35.07542</v>
      </c>
      <c r="I3159" s="4" t="n">
        <v>-85.62649</v>
      </c>
      <c r="J3159" s="4" t="s">
        <v>12540</v>
      </c>
      <c r="K3159" s="6" t="str">
        <f aca="false">HYPERLINK("https://www.google.com/search?q=Caroyln+Stewart+Public+Library+Jasper+TN+library+website","Search")</f>
        <v>Search</v>
      </c>
      <c r="L3159" s="7"/>
      <c r="M3159" s="7"/>
    </row>
    <row r="3160" customFormat="false" ht="15" hidden="false" customHeight="true" outlineLevel="0" collapsed="false">
      <c r="A3160" s="4" t="s">
        <v>12508</v>
      </c>
      <c r="B3160" s="4" t="s">
        <v>12541</v>
      </c>
      <c r="C3160" s="4" t="s">
        <v>11639</v>
      </c>
      <c r="D3160" s="4" t="s">
        <v>491</v>
      </c>
      <c r="E3160" s="5" t="n">
        <v>22976</v>
      </c>
      <c r="F3160" s="4" t="n">
        <v>1</v>
      </c>
      <c r="G3160" s="4" t="s">
        <v>12542</v>
      </c>
      <c r="H3160" s="4" t="n">
        <v>36.02203</v>
      </c>
      <c r="I3160" s="4" t="n">
        <v>-88.40896</v>
      </c>
      <c r="J3160" s="4" t="s">
        <v>12543</v>
      </c>
      <c r="K3160" s="6" t="str">
        <f aca="false">HYPERLINK("https://www.google.com/search?q=Carroll+County+Library+Huntingdon+TN+library+website","Search")</f>
        <v>Search</v>
      </c>
      <c r="L3160" s="7"/>
      <c r="M3160" s="7"/>
    </row>
    <row r="3161" customFormat="false" ht="15" hidden="false" customHeight="true" outlineLevel="0" collapsed="false">
      <c r="A3161" s="4" t="s">
        <v>12508</v>
      </c>
      <c r="B3161" s="4" t="s">
        <v>12544</v>
      </c>
      <c r="C3161" s="4" t="s">
        <v>12545</v>
      </c>
      <c r="D3161" s="4" t="s">
        <v>389</v>
      </c>
      <c r="E3161" s="5" t="n">
        <v>11750</v>
      </c>
      <c r="F3161" s="4" t="n">
        <v>1</v>
      </c>
      <c r="G3161" s="4" t="s">
        <v>12546</v>
      </c>
      <c r="H3161" s="4" t="n">
        <v>36.35541</v>
      </c>
      <c r="I3161" s="4" t="n">
        <v>-85.66032</v>
      </c>
      <c r="J3161" s="4" t="s">
        <v>12547</v>
      </c>
      <c r="K3161" s="6" t="str">
        <f aca="false">HYPERLINK("https://www.google.com/search?q=Charles+Ralph+Holland+Memorial+Library+Gainesboro+TN+library+website","Search")</f>
        <v>Search</v>
      </c>
      <c r="L3161" s="7"/>
      <c r="M3161" s="7"/>
    </row>
    <row r="3162" customFormat="false" ht="15" hidden="false" customHeight="true" outlineLevel="0" collapsed="false">
      <c r="A3162" s="4" t="s">
        <v>12508</v>
      </c>
      <c r="B3162" s="4" t="s">
        <v>12548</v>
      </c>
      <c r="C3162" s="4" t="s">
        <v>12549</v>
      </c>
      <c r="D3162" s="4" t="s">
        <v>3025</v>
      </c>
      <c r="E3162" s="5" t="n">
        <v>182113</v>
      </c>
      <c r="F3162" s="4" t="n">
        <v>5</v>
      </c>
      <c r="G3162" s="4" t="s">
        <v>12550</v>
      </c>
      <c r="H3162" s="4" t="n">
        <v>35.04436</v>
      </c>
      <c r="I3162" s="4" t="n">
        <v>-85.3104</v>
      </c>
      <c r="J3162" s="4" t="s">
        <v>12551</v>
      </c>
      <c r="K3162" s="6" t="str">
        <f aca="false">HYPERLINK("https://www.google.com/search?q=Chattanooga+Public+Library+Chattanooga+%28S%29+TN+library+website","Search")</f>
        <v>Search</v>
      </c>
      <c r="L3162" s="7"/>
      <c r="M3162" s="8" t="str">
        <f aca="false">HYPERLINK("https://chcbl.overdrive.com","https://chcbl.overdrive.com")</f>
        <v>https://chcbl.overdrive.com</v>
      </c>
    </row>
    <row r="3163" customFormat="false" ht="15" hidden="false" customHeight="true" outlineLevel="0" collapsed="false">
      <c r="A3163" s="4" t="s">
        <v>12508</v>
      </c>
      <c r="B3163" s="4" t="s">
        <v>12552</v>
      </c>
      <c r="C3163" s="4" t="s">
        <v>12553</v>
      </c>
      <c r="D3163" s="4" t="s">
        <v>12554</v>
      </c>
      <c r="E3163" s="5" t="n">
        <v>26828</v>
      </c>
      <c r="F3163" s="4" t="n">
        <v>1</v>
      </c>
      <c r="G3163" s="4" t="s">
        <v>12555</v>
      </c>
      <c r="H3163" s="4" t="n">
        <v>36.2886</v>
      </c>
      <c r="I3163" s="4" t="n">
        <v>-87.05214</v>
      </c>
      <c r="J3163" s="4" t="s">
        <v>12556</v>
      </c>
      <c r="K3163" s="6" t="str">
        <f aca="false">HYPERLINK("https://www.google.com/search?q=Cheatham+County+Public+Library+Ashland+City+TN+library+website","Search")</f>
        <v>Search</v>
      </c>
      <c r="L3163" s="7"/>
      <c r="M3163" s="7"/>
    </row>
    <row r="3164" customFormat="false" ht="15" hidden="false" customHeight="true" outlineLevel="0" collapsed="false">
      <c r="A3164" s="4" t="s">
        <v>12508</v>
      </c>
      <c r="B3164" s="4" t="s">
        <v>11413</v>
      </c>
      <c r="C3164" s="4" t="s">
        <v>4969</v>
      </c>
      <c r="D3164" s="4" t="s">
        <v>9374</v>
      </c>
      <c r="E3164" s="5" t="n">
        <v>17504</v>
      </c>
      <c r="F3164" s="4" t="n">
        <v>1</v>
      </c>
      <c r="G3164" s="4" t="s">
        <v>12557</v>
      </c>
      <c r="H3164" s="4" t="n">
        <v>35.44589</v>
      </c>
      <c r="I3164" s="4" t="n">
        <v>-88.61488</v>
      </c>
      <c r="J3164" s="4" t="s">
        <v>12558</v>
      </c>
      <c r="K3164" s="6" t="str">
        <f aca="false">HYPERLINK("https://www.google.com/search?q=Chester+County+Library+Henderson+TN+library+website","Search")</f>
        <v>Search</v>
      </c>
      <c r="L3164" s="7"/>
      <c r="M3164" s="7"/>
    </row>
    <row r="3165" customFormat="false" ht="15" hidden="false" customHeight="true" outlineLevel="0" collapsed="false">
      <c r="A3165" s="4" t="s">
        <v>12508</v>
      </c>
      <c r="B3165" s="4" t="s">
        <v>12559</v>
      </c>
      <c r="C3165" s="4" t="s">
        <v>12560</v>
      </c>
      <c r="D3165" s="4" t="s">
        <v>315</v>
      </c>
      <c r="E3165" s="5" t="n">
        <v>227900</v>
      </c>
      <c r="F3165" s="4" t="n">
        <v>1</v>
      </c>
      <c r="G3165" s="4" t="s">
        <v>12561</v>
      </c>
      <c r="H3165" s="4" t="n">
        <v>36.52042</v>
      </c>
      <c r="I3165" s="4" t="n">
        <v>-87.33899</v>
      </c>
      <c r="J3165" s="4" t="s">
        <v>12562</v>
      </c>
      <c r="K3165" s="6" t="str">
        <f aca="false">HYPERLINK("https://www.google.com/search?q=Clarksville+Montgomery+County+Public+Library+Clarksville+TN+library+website","Search")</f>
        <v>Search</v>
      </c>
      <c r="L3165" s="7"/>
      <c r="M3165" s="7"/>
    </row>
    <row r="3166" customFormat="false" ht="15" hidden="false" customHeight="true" outlineLevel="0" collapsed="false">
      <c r="A3166" s="4" t="s">
        <v>12508</v>
      </c>
      <c r="B3166" s="4" t="s">
        <v>12563</v>
      </c>
      <c r="C3166" s="4" t="s">
        <v>7608</v>
      </c>
      <c r="D3166" s="4" t="s">
        <v>3384</v>
      </c>
      <c r="E3166" s="5" t="n">
        <v>110162</v>
      </c>
      <c r="F3166" s="4" t="n">
        <v>2</v>
      </c>
      <c r="G3166" s="4" t="s">
        <v>12564</v>
      </c>
      <c r="H3166" s="4" t="n">
        <v>35.16373</v>
      </c>
      <c r="I3166" s="4" t="n">
        <v>-84.87179</v>
      </c>
      <c r="J3166" s="4" t="s">
        <v>12565</v>
      </c>
      <c r="K3166" s="6" t="str">
        <f aca="false">HYPERLINK("https://www.google.com/search?q=Cleveland+Bradley+County+Public+Library+Cleveland+TN+library+website","Search")</f>
        <v>Search</v>
      </c>
      <c r="L3166" s="7"/>
      <c r="M3166" s="7"/>
    </row>
    <row r="3167" customFormat="false" ht="15" hidden="false" customHeight="true" outlineLevel="0" collapsed="false">
      <c r="A3167" s="4" t="s">
        <v>12508</v>
      </c>
      <c r="B3167" s="4" t="s">
        <v>2933</v>
      </c>
      <c r="C3167" s="4" t="s">
        <v>1964</v>
      </c>
      <c r="D3167" s="4" t="s">
        <v>4250</v>
      </c>
      <c r="E3167" s="5" t="n">
        <v>28824</v>
      </c>
      <c r="F3167" s="4" t="n">
        <v>1</v>
      </c>
      <c r="G3167" s="4" t="s">
        <v>12566</v>
      </c>
      <c r="H3167" s="4" t="n">
        <v>36.09906</v>
      </c>
      <c r="I3167" s="4" t="n">
        <v>-84.13575</v>
      </c>
      <c r="J3167" s="4" t="s">
        <v>12567</v>
      </c>
      <c r="K3167" s="6" t="str">
        <f aca="false">HYPERLINK("https://www.google.com/search?q=Clinton+Public+Library+Clinton+TN+library+website","Search")</f>
        <v>Search</v>
      </c>
      <c r="L3167" s="7"/>
      <c r="M3167" s="7"/>
    </row>
    <row r="3168" customFormat="false" ht="15" hidden="false" customHeight="true" outlineLevel="0" collapsed="false">
      <c r="A3168" s="4" t="s">
        <v>12508</v>
      </c>
      <c r="B3168" s="4" t="s">
        <v>12568</v>
      </c>
      <c r="C3168" s="4" t="s">
        <v>10396</v>
      </c>
      <c r="D3168" s="4" t="s">
        <v>12569</v>
      </c>
      <c r="E3168" s="5" t="n">
        <v>24834</v>
      </c>
      <c r="F3168" s="4" t="n">
        <v>1</v>
      </c>
      <c r="G3168" s="4" t="s">
        <v>12570</v>
      </c>
      <c r="H3168" s="4" t="n">
        <v>35.49395</v>
      </c>
      <c r="I3168" s="4" t="n">
        <v>-85.01403</v>
      </c>
      <c r="J3168" s="4" t="s">
        <v>12571</v>
      </c>
      <c r="K3168" s="6" t="str">
        <f aca="false">HYPERLINK("https://www.google.com/search?q=Clyde+W.+Roddy+Public+Library+Dayton+TN+library+website","Search")</f>
        <v>Search</v>
      </c>
      <c r="L3168" s="7"/>
      <c r="M3168" s="7"/>
    </row>
    <row r="3169" customFormat="false" ht="15" hidden="false" customHeight="true" outlineLevel="0" collapsed="false">
      <c r="A3169" s="4" t="s">
        <v>12508</v>
      </c>
      <c r="B3169" s="4" t="s">
        <v>12572</v>
      </c>
      <c r="C3169" s="4" t="s">
        <v>12573</v>
      </c>
      <c r="D3169" s="4" t="s">
        <v>171</v>
      </c>
      <c r="E3169" s="5" t="n">
        <v>29652</v>
      </c>
      <c r="F3169" s="4" t="n">
        <v>1</v>
      </c>
      <c r="G3169" s="4" t="s">
        <v>12574</v>
      </c>
      <c r="H3169" s="4" t="n">
        <v>35.36195</v>
      </c>
      <c r="I3169" s="4" t="n">
        <v>-86.22029</v>
      </c>
      <c r="J3169" s="4" t="s">
        <v>12575</v>
      </c>
      <c r="K3169" s="6" t="str">
        <f aca="false">HYPERLINK("https://www.google.com/search?q=Coffee+County+Lannom+Memorial+Public+Library+Tullahoma+TN+library+website","Search")</f>
        <v>Search</v>
      </c>
      <c r="L3169" s="7"/>
      <c r="M3169" s="7"/>
    </row>
    <row r="3170" customFormat="false" ht="15" hidden="false" customHeight="true" outlineLevel="0" collapsed="false">
      <c r="A3170" s="4" t="s">
        <v>12508</v>
      </c>
      <c r="B3170" s="4" t="s">
        <v>12576</v>
      </c>
      <c r="C3170" s="4" t="s">
        <v>1996</v>
      </c>
      <c r="D3170" s="4" t="s">
        <v>171</v>
      </c>
      <c r="E3170" s="5" t="n">
        <v>29380</v>
      </c>
      <c r="F3170" s="4" t="n">
        <v>1</v>
      </c>
      <c r="G3170" s="4" t="s">
        <v>12577</v>
      </c>
      <c r="H3170" s="4" t="n">
        <v>35.47356</v>
      </c>
      <c r="I3170" s="4" t="n">
        <v>-86.07784</v>
      </c>
      <c r="J3170" s="4" t="s">
        <v>12578</v>
      </c>
      <c r="K3170" s="6" t="str">
        <f aca="false">HYPERLINK("https://www.google.com/search?q=Coffee+County-Manchester+Public+Library+Manchester+TN+library+website","Search")</f>
        <v>Search</v>
      </c>
      <c r="L3170" s="7"/>
      <c r="M3170" s="7"/>
    </row>
    <row r="3171" customFormat="false" ht="15" hidden="false" customHeight="true" outlineLevel="0" collapsed="false">
      <c r="A3171" s="4" t="s">
        <v>12508</v>
      </c>
      <c r="B3171" s="4" t="s">
        <v>12579</v>
      </c>
      <c r="C3171" s="4" t="s">
        <v>12580</v>
      </c>
      <c r="D3171" s="4" t="s">
        <v>3025</v>
      </c>
      <c r="E3171" s="5" t="n">
        <v>11621</v>
      </c>
      <c r="F3171" s="4" t="n">
        <v>1</v>
      </c>
      <c r="G3171" s="4" t="s">
        <v>12581</v>
      </c>
      <c r="H3171" s="4" t="n">
        <v>35.06112</v>
      </c>
      <c r="I3171" s="4" t="n">
        <v>-85.07057</v>
      </c>
      <c r="J3171" s="4" t="s">
        <v>12582</v>
      </c>
      <c r="K3171" s="6" t="str">
        <f aca="false">HYPERLINK("https://www.google.com/search?q=Collegedale+Public+Library+Collegedale+TN+library+website","Search")</f>
        <v>Search</v>
      </c>
      <c r="L3171" s="7"/>
      <c r="M3171" s="7"/>
    </row>
    <row r="3172" customFormat="false" ht="15" hidden="false" customHeight="true" outlineLevel="0" collapsed="false">
      <c r="A3172" s="4" t="s">
        <v>12508</v>
      </c>
      <c r="B3172" s="4" t="s">
        <v>12583</v>
      </c>
      <c r="C3172" s="4" t="s">
        <v>12584</v>
      </c>
      <c r="D3172" s="4" t="s">
        <v>12585</v>
      </c>
      <c r="E3172" s="5" t="n">
        <v>13979</v>
      </c>
      <c r="F3172" s="4" t="n">
        <v>1</v>
      </c>
      <c r="G3172" s="4" t="s">
        <v>12586</v>
      </c>
      <c r="H3172" s="4" t="n">
        <v>35.78671</v>
      </c>
      <c r="I3172" s="4" t="n">
        <v>-89.11275</v>
      </c>
      <c r="J3172" s="4" t="s">
        <v>12587</v>
      </c>
      <c r="K3172" s="6" t="str">
        <f aca="false">HYPERLINK("https://www.google.com/search?q=Crockett+Memorial+Library+Alamo+TN+library+website","Search")</f>
        <v>Search</v>
      </c>
      <c r="L3172" s="7"/>
      <c r="M3172" s="7"/>
    </row>
    <row r="3173" customFormat="false" ht="15" hidden="false" customHeight="true" outlineLevel="0" collapsed="false">
      <c r="A3173" s="4" t="s">
        <v>12508</v>
      </c>
      <c r="B3173" s="4" t="s">
        <v>12588</v>
      </c>
      <c r="C3173" s="4" t="s">
        <v>12589</v>
      </c>
      <c r="D3173" s="4" t="s">
        <v>98</v>
      </c>
      <c r="E3173" s="5" t="n">
        <v>20025</v>
      </c>
      <c r="F3173" s="4" t="n">
        <v>1</v>
      </c>
      <c r="G3173" s="4" t="s">
        <v>12590</v>
      </c>
      <c r="H3173" s="4" t="n">
        <v>36.01395</v>
      </c>
      <c r="I3173" s="4" t="n">
        <v>-83.41488</v>
      </c>
      <c r="J3173" s="4" t="s">
        <v>12591</v>
      </c>
      <c r="K3173" s="6" t="str">
        <f aca="false">HYPERLINK("https://www.google.com/search?q=Dandridge+Memorial+Library+Dandridge+TN+library+website","Search")</f>
        <v>Search</v>
      </c>
      <c r="L3173" s="7"/>
      <c r="M3173" s="7"/>
    </row>
    <row r="3174" customFormat="false" ht="15" hidden="false" customHeight="true" outlineLevel="0" collapsed="false">
      <c r="A3174" s="4" t="s">
        <v>12508</v>
      </c>
      <c r="B3174" s="4" t="s">
        <v>12592</v>
      </c>
      <c r="C3174" s="4" t="s">
        <v>12593</v>
      </c>
      <c r="D3174" s="4" t="s">
        <v>12593</v>
      </c>
      <c r="E3174" s="5" t="n">
        <v>55292</v>
      </c>
      <c r="F3174" s="4" t="n">
        <v>1</v>
      </c>
      <c r="G3174" s="4" t="s">
        <v>12594</v>
      </c>
      <c r="H3174" s="4" t="n">
        <v>36.07647</v>
      </c>
      <c r="I3174" s="4" t="n">
        <v>-87.37352</v>
      </c>
      <c r="J3174" s="4" t="s">
        <v>12595</v>
      </c>
      <c r="K3174" s="6" t="str">
        <f aca="false">HYPERLINK("https://www.google.com/search?q=Dickson+County+Public+Library+Dickson+TN+library+website","Search")</f>
        <v>Search</v>
      </c>
      <c r="L3174" s="7"/>
      <c r="M3174" s="7"/>
    </row>
    <row r="3175" customFormat="false" ht="15" hidden="false" customHeight="true" outlineLevel="0" collapsed="false">
      <c r="A3175" s="4" t="s">
        <v>12508</v>
      </c>
      <c r="B3175" s="4" t="s">
        <v>12596</v>
      </c>
      <c r="C3175" s="4" t="s">
        <v>77</v>
      </c>
      <c r="D3175" s="4" t="s">
        <v>12597</v>
      </c>
      <c r="E3175" s="5" t="n">
        <v>37679</v>
      </c>
      <c r="F3175" s="4" t="n">
        <v>1</v>
      </c>
      <c r="G3175" s="4" t="s">
        <v>12598</v>
      </c>
      <c r="H3175" s="4" t="n">
        <v>35.45543</v>
      </c>
      <c r="I3175" s="4" t="n">
        <v>-84.58264</v>
      </c>
      <c r="J3175" s="4" t="s">
        <v>12599</v>
      </c>
      <c r="K3175" s="6" t="str">
        <f aca="false">HYPERLINK("https://www.google.com/search?q=E.+G.+Fisher+Public+Library+Athens+TN+library+website","Search")</f>
        <v>Search</v>
      </c>
      <c r="L3175" s="7"/>
      <c r="M3175" s="7"/>
    </row>
    <row r="3176" customFormat="false" ht="15" hidden="false" customHeight="true" outlineLevel="0" collapsed="false">
      <c r="A3176" s="4" t="s">
        <v>12508</v>
      </c>
      <c r="B3176" s="4" t="s">
        <v>12600</v>
      </c>
      <c r="C3176" s="4" t="s">
        <v>12601</v>
      </c>
      <c r="D3176" s="4" t="s">
        <v>3025</v>
      </c>
      <c r="E3176" s="5" t="n">
        <v>21961</v>
      </c>
      <c r="F3176" s="4" t="n">
        <v>1</v>
      </c>
      <c r="G3176" s="4" t="s">
        <v>12602</v>
      </c>
      <c r="H3176" s="4" t="n">
        <v>34.99418</v>
      </c>
      <c r="I3176" s="4" t="n">
        <v>-85.24182</v>
      </c>
      <c r="J3176" s="4" t="s">
        <v>12603</v>
      </c>
      <c r="K3176" s="6" t="str">
        <f aca="false">HYPERLINK("https://www.google.com/search?q=East+Ridge+City+Library+East+Ridge+%28In%29+TN+library+website","Search")</f>
        <v>Search</v>
      </c>
      <c r="L3176" s="7"/>
      <c r="M3176" s="7"/>
    </row>
    <row r="3177" customFormat="false" ht="15" hidden="false" customHeight="true" outlineLevel="0" collapsed="false">
      <c r="A3177" s="4" t="s">
        <v>12508</v>
      </c>
      <c r="B3177" s="4" t="s">
        <v>12604</v>
      </c>
      <c r="C3177" s="4" t="s">
        <v>12605</v>
      </c>
      <c r="D3177" s="4" t="s">
        <v>4875</v>
      </c>
      <c r="E3177" s="5" t="n">
        <v>56134</v>
      </c>
      <c r="F3177" s="4" t="n">
        <v>1</v>
      </c>
      <c r="G3177" s="4" t="s">
        <v>12606</v>
      </c>
      <c r="H3177" s="4" t="n">
        <v>36.34915</v>
      </c>
      <c r="I3177" s="4" t="n">
        <v>-82.2149</v>
      </c>
      <c r="J3177" s="4" t="s">
        <v>12607</v>
      </c>
      <c r="K3177" s="6" t="str">
        <f aca="false">HYPERLINK("https://www.google.com/search?q=Elizabethton+Carter+County+Public+Library+Elizabethton+TN+library+website","Search")</f>
        <v>Search</v>
      </c>
      <c r="L3177" s="7"/>
      <c r="M3177" s="7"/>
    </row>
    <row r="3178" customFormat="false" ht="15" hidden="false" customHeight="true" outlineLevel="0" collapsed="false">
      <c r="A3178" s="4" t="s">
        <v>12508</v>
      </c>
      <c r="B3178" s="4" t="s">
        <v>12608</v>
      </c>
      <c r="C3178" s="4" t="s">
        <v>4901</v>
      </c>
      <c r="D3178" s="4" t="s">
        <v>8032</v>
      </c>
      <c r="E3178" s="5" t="n">
        <v>17694</v>
      </c>
      <c r="F3178" s="4" t="n">
        <v>1</v>
      </c>
      <c r="G3178" s="4" t="s">
        <v>12609</v>
      </c>
      <c r="H3178" s="4" t="n">
        <v>35.59362</v>
      </c>
      <c r="I3178" s="4" t="n">
        <v>-89.25203</v>
      </c>
      <c r="J3178" s="4" t="s">
        <v>12610</v>
      </c>
      <c r="K3178" s="6" t="str">
        <f aca="false">HYPERLINK("https://www.google.com/search?q=Elma+Ross+Public+Library+Brownsville+TN+library+website","Search")</f>
        <v>Search</v>
      </c>
      <c r="L3178" s="7"/>
      <c r="M3178" s="7"/>
    </row>
    <row r="3179" customFormat="false" ht="15" hidden="false" customHeight="true" outlineLevel="0" collapsed="false">
      <c r="A3179" s="4" t="s">
        <v>12508</v>
      </c>
      <c r="B3179" s="4" t="s">
        <v>12611</v>
      </c>
      <c r="C3179" s="4" t="s">
        <v>5037</v>
      </c>
      <c r="D3179" s="4" t="s">
        <v>4969</v>
      </c>
      <c r="E3179" s="5" t="n">
        <v>27953</v>
      </c>
      <c r="F3179" s="4" t="n">
        <v>1</v>
      </c>
      <c r="G3179" s="4" t="s">
        <v>12612</v>
      </c>
      <c r="H3179" s="4" t="n">
        <v>35.65854</v>
      </c>
      <c r="I3179" s="4" t="n">
        <v>-88.41578</v>
      </c>
      <c r="J3179" s="4" t="s">
        <v>12613</v>
      </c>
      <c r="K3179" s="6" t="str">
        <f aca="false">HYPERLINK("https://www.google.com/search?q=Everett+Horn+Public+Library+Lexington+TN+library+website","Search")</f>
        <v>Search</v>
      </c>
      <c r="L3179" s="7"/>
      <c r="M3179" s="7"/>
    </row>
    <row r="3180" customFormat="false" ht="15" hidden="false" customHeight="true" outlineLevel="0" collapsed="false">
      <c r="A3180" s="4" t="s">
        <v>12508</v>
      </c>
      <c r="B3180" s="4" t="s">
        <v>12614</v>
      </c>
      <c r="C3180" s="4" t="s">
        <v>534</v>
      </c>
      <c r="D3180" s="4" t="s">
        <v>1131</v>
      </c>
      <c r="E3180" s="5" t="n">
        <v>35433</v>
      </c>
      <c r="F3180" s="4" t="n">
        <v>1</v>
      </c>
      <c r="G3180" s="4" t="s">
        <v>12615</v>
      </c>
      <c r="H3180" s="4" t="n">
        <v>35.15463</v>
      </c>
      <c r="I3180" s="4" t="n">
        <v>-86.56887</v>
      </c>
      <c r="J3180" s="4" t="s">
        <v>12616</v>
      </c>
      <c r="K3180" s="6" t="str">
        <f aca="false">HYPERLINK("https://www.google.com/search?q=Fayetteville-Lincoln+County+Public+Library+Fayetteville+TN+library+website","Search")</f>
        <v>Search</v>
      </c>
      <c r="L3180" s="7"/>
      <c r="M3180" s="7"/>
    </row>
    <row r="3181" customFormat="false" ht="15" hidden="false" customHeight="true" outlineLevel="0" collapsed="false">
      <c r="A3181" s="4" t="s">
        <v>12508</v>
      </c>
      <c r="B3181" s="4" t="s">
        <v>12617</v>
      </c>
      <c r="C3181" s="4" t="s">
        <v>5165</v>
      </c>
      <c r="D3181" s="4" t="s">
        <v>12618</v>
      </c>
      <c r="E3181" s="5" t="n">
        <v>18850</v>
      </c>
      <c r="F3181" s="4" t="n">
        <v>1</v>
      </c>
      <c r="G3181" s="4" t="s">
        <v>12619</v>
      </c>
      <c r="H3181" s="4" t="n">
        <v>36.42404</v>
      </c>
      <c r="I3181" s="4" t="n">
        <v>-84.93244</v>
      </c>
      <c r="J3181" s="4" t="s">
        <v>12620</v>
      </c>
      <c r="K3181" s="6" t="str">
        <f aca="false">HYPERLINK("https://www.google.com/search?q=Fentress+County+Public+Library+Jamestown+TN+library+website","Search")</f>
        <v>Search</v>
      </c>
      <c r="L3181" s="7"/>
      <c r="M3181" s="7"/>
    </row>
    <row r="3182" customFormat="false" ht="15" hidden="false" customHeight="true" outlineLevel="0" collapsed="false">
      <c r="A3182" s="4" t="s">
        <v>12508</v>
      </c>
      <c r="B3182" s="4" t="s">
        <v>12621</v>
      </c>
      <c r="C3182" s="4" t="s">
        <v>1811</v>
      </c>
      <c r="D3182" s="4" t="s">
        <v>384</v>
      </c>
      <c r="E3182" s="5" t="n">
        <v>43215</v>
      </c>
      <c r="F3182" s="4" t="n">
        <v>1</v>
      </c>
      <c r="G3182" s="4" t="s">
        <v>12622</v>
      </c>
      <c r="H3182" s="4" t="n">
        <v>35.18635</v>
      </c>
      <c r="I3182" s="4" t="n">
        <v>-86.10988</v>
      </c>
      <c r="J3182" s="4" t="s">
        <v>12623</v>
      </c>
      <c r="K3182" s="6" t="str">
        <f aca="false">HYPERLINK("https://www.google.com/search?q=Franklin+County+Public+Library+Winchester+TN+library+website","Search")</f>
        <v>Search</v>
      </c>
      <c r="L3182" s="7"/>
      <c r="M3182" s="7"/>
    </row>
    <row r="3183" customFormat="false" ht="15" hidden="false" customHeight="true" outlineLevel="0" collapsed="false">
      <c r="A3183" s="4" t="s">
        <v>12508</v>
      </c>
      <c r="B3183" s="4" t="s">
        <v>12624</v>
      </c>
      <c r="C3183" s="4" t="s">
        <v>12625</v>
      </c>
      <c r="D3183" s="4" t="s">
        <v>12626</v>
      </c>
      <c r="E3183" s="5" t="n">
        <v>12035</v>
      </c>
      <c r="F3183" s="4" t="n">
        <v>1</v>
      </c>
      <c r="G3183" s="4" t="s">
        <v>12627</v>
      </c>
      <c r="H3183" s="4" t="n">
        <v>36.39454</v>
      </c>
      <c r="I3183" s="4" t="n">
        <v>-86.16157</v>
      </c>
      <c r="J3183" s="4" t="s">
        <v>12628</v>
      </c>
      <c r="K3183" s="6" t="str">
        <f aca="false">HYPERLINK("https://www.google.com/search?q=Fred+A.+Vaught+Memorial+Library+Hartsville+TN+library+website","Search")</f>
        <v>Search</v>
      </c>
      <c r="L3183" s="7"/>
      <c r="M3183" s="7"/>
    </row>
    <row r="3184" customFormat="false" ht="15" hidden="false" customHeight="true" outlineLevel="0" collapsed="false">
      <c r="A3184" s="4" t="s">
        <v>12508</v>
      </c>
      <c r="B3184" s="4" t="s">
        <v>12629</v>
      </c>
      <c r="C3184" s="4" t="s">
        <v>10451</v>
      </c>
      <c r="D3184" s="4" t="s">
        <v>53</v>
      </c>
      <c r="E3184" s="5" t="n">
        <v>41034</v>
      </c>
      <c r="F3184" s="4" t="n">
        <v>2</v>
      </c>
      <c r="G3184" s="4" t="s">
        <v>12630</v>
      </c>
      <c r="H3184" s="4" t="n">
        <v>35.09646</v>
      </c>
      <c r="I3184" s="4" t="n">
        <v>-89.80215</v>
      </c>
      <c r="J3184" s="4" t="s">
        <v>12631</v>
      </c>
      <c r="K3184" s="6" t="str">
        <f aca="false">HYPERLINK("https://www.google.com/search?q=Germantown+Community+Library+Germantown+TN+library+website","Search")</f>
        <v>Search</v>
      </c>
      <c r="L3184" s="7"/>
      <c r="M3184" s="7"/>
    </row>
    <row r="3185" customFormat="false" ht="15" hidden="false" customHeight="true" outlineLevel="0" collapsed="false">
      <c r="A3185" s="4" t="s">
        <v>12508</v>
      </c>
      <c r="B3185" s="4" t="s">
        <v>12632</v>
      </c>
      <c r="C3185" s="4" t="s">
        <v>7071</v>
      </c>
      <c r="D3185" s="4" t="s">
        <v>4584</v>
      </c>
      <c r="E3185" s="5" t="n">
        <v>22743</v>
      </c>
      <c r="F3185" s="4" t="n">
        <v>1</v>
      </c>
      <c r="G3185" s="4" t="s">
        <v>12633</v>
      </c>
      <c r="H3185" s="4" t="n">
        <v>35.97867</v>
      </c>
      <c r="I3185" s="4" t="n">
        <v>-88.9429</v>
      </c>
      <c r="J3185" s="4" t="s">
        <v>12634</v>
      </c>
      <c r="K3185" s="6" t="str">
        <f aca="false">HYPERLINK("https://www.google.com/search?q=Gibson+County+Memorial+Library+Trenton+TN+library+website","Search")</f>
        <v>Search</v>
      </c>
      <c r="L3185" s="7"/>
      <c r="M3185" s="7"/>
    </row>
    <row r="3186" customFormat="false" ht="15" hidden="false" customHeight="true" outlineLevel="0" collapsed="false">
      <c r="A3186" s="4" t="s">
        <v>12508</v>
      </c>
      <c r="B3186" s="4" t="s">
        <v>12635</v>
      </c>
      <c r="C3186" s="4" t="s">
        <v>12636</v>
      </c>
      <c r="D3186" s="4" t="s">
        <v>12637</v>
      </c>
      <c r="E3186" s="5" t="n">
        <v>26497</v>
      </c>
      <c r="F3186" s="4" t="n">
        <v>3</v>
      </c>
      <c r="G3186" s="4" t="s">
        <v>12638</v>
      </c>
      <c r="H3186" s="4" t="n">
        <v>35.19851</v>
      </c>
      <c r="I3186" s="4" t="n">
        <v>-87.03216</v>
      </c>
      <c r="J3186" s="4" t="s">
        <v>12639</v>
      </c>
      <c r="K3186" s="6" t="str">
        <f aca="false">HYPERLINK("https://www.google.com/search?q=Giles+County+Public+Library+Pulaski+%28S%29+TN+library+website","Search")</f>
        <v>Search</v>
      </c>
      <c r="L3186" s="7"/>
      <c r="M3186" s="7"/>
    </row>
    <row r="3187" customFormat="false" ht="15" hidden="false" customHeight="true" outlineLevel="0" collapsed="false">
      <c r="A3187" s="4" t="s">
        <v>12508</v>
      </c>
      <c r="B3187" s="4" t="s">
        <v>12640</v>
      </c>
      <c r="C3187" s="4" t="s">
        <v>12641</v>
      </c>
      <c r="D3187" s="4" t="s">
        <v>591</v>
      </c>
      <c r="E3187" s="5" t="n">
        <v>68137</v>
      </c>
      <c r="F3187" s="4" t="n">
        <v>2</v>
      </c>
      <c r="G3187" s="4" t="s">
        <v>12642</v>
      </c>
      <c r="H3187" s="4" t="n">
        <v>36.16506</v>
      </c>
      <c r="I3187" s="4" t="n">
        <v>-82.82981</v>
      </c>
      <c r="J3187" s="4" t="s">
        <v>12643</v>
      </c>
      <c r="K3187" s="6" t="str">
        <f aca="false">HYPERLINK("https://www.google.com/search?q=Greeneville-Greene+County+Public+Library+Greeneville+TN+library+website","Search")</f>
        <v>Search</v>
      </c>
      <c r="L3187" s="7"/>
      <c r="M3187" s="7"/>
    </row>
    <row r="3188" customFormat="false" ht="15" hidden="false" customHeight="true" outlineLevel="0" collapsed="false">
      <c r="A3188" s="4" t="s">
        <v>12508</v>
      </c>
      <c r="B3188" s="4" t="s">
        <v>12644</v>
      </c>
      <c r="C3188" s="4" t="s">
        <v>2739</v>
      </c>
      <c r="D3188" s="4" t="s">
        <v>4958</v>
      </c>
      <c r="E3188" s="5" t="n">
        <v>26892</v>
      </c>
      <c r="F3188" s="4" t="n">
        <v>1</v>
      </c>
      <c r="G3188" s="4" t="s">
        <v>12645</v>
      </c>
      <c r="H3188" s="4" t="n">
        <v>35.2078</v>
      </c>
      <c r="I3188" s="4" t="n">
        <v>-88.24561</v>
      </c>
      <c r="J3188" s="4" t="s">
        <v>12646</v>
      </c>
      <c r="K3188" s="6" t="str">
        <f aca="false">HYPERLINK("https://www.google.com/search?q=Hardin+County+Library+Savannah+TN+library+website","Search")</f>
        <v>Search</v>
      </c>
      <c r="L3188" s="7"/>
      <c r="M3188" s="7"/>
    </row>
    <row r="3189" customFormat="false" ht="15" hidden="false" customHeight="true" outlineLevel="0" collapsed="false">
      <c r="A3189" s="4" t="s">
        <v>12508</v>
      </c>
      <c r="B3189" s="4" t="s">
        <v>12647</v>
      </c>
      <c r="C3189" s="4" t="s">
        <v>12648</v>
      </c>
      <c r="D3189" s="4" t="s">
        <v>12649</v>
      </c>
      <c r="E3189" s="5" t="n">
        <v>17219</v>
      </c>
      <c r="F3189" s="4" t="n">
        <v>1</v>
      </c>
      <c r="G3189" s="4" t="s">
        <v>12650</v>
      </c>
      <c r="H3189" s="4" t="n">
        <v>35.93426</v>
      </c>
      <c r="I3189" s="4" t="n">
        <v>-84.55147</v>
      </c>
      <c r="J3189" s="4" t="s">
        <v>12651</v>
      </c>
      <c r="K3189" s="6" t="str">
        <f aca="false">HYPERLINK("https://www.google.com/search?q=Harriman+Public+Library+Harriman+TN+library+website","Search")</f>
        <v>Search</v>
      </c>
      <c r="L3189" s="7"/>
      <c r="M3189" s="7"/>
    </row>
    <row r="3190" customFormat="false" ht="15" hidden="false" customHeight="true" outlineLevel="0" collapsed="false">
      <c r="A3190" s="4" t="s">
        <v>12508</v>
      </c>
      <c r="B3190" s="4" t="s">
        <v>12652</v>
      </c>
      <c r="C3190" s="4" t="s">
        <v>12653</v>
      </c>
      <c r="D3190" s="4" t="s">
        <v>12654</v>
      </c>
      <c r="E3190" s="5" t="n">
        <v>51794</v>
      </c>
      <c r="F3190" s="4" t="n">
        <v>3</v>
      </c>
      <c r="G3190" s="4" t="s">
        <v>12655</v>
      </c>
      <c r="H3190" s="4" t="n">
        <v>36.40822</v>
      </c>
      <c r="I3190" s="4" t="n">
        <v>-83.00347</v>
      </c>
      <c r="J3190" s="4" t="s">
        <v>12656</v>
      </c>
      <c r="K3190" s="6" t="str">
        <f aca="false">HYPERLINK("https://www.google.com/search?q=Hawkins+County+Library+System+Rogersville+TN+library+website","Search")</f>
        <v>Search</v>
      </c>
      <c r="L3190" s="7"/>
      <c r="M3190" s="7"/>
    </row>
    <row r="3191" customFormat="false" ht="15" hidden="false" customHeight="true" outlineLevel="0" collapsed="false">
      <c r="A3191" s="4" t="s">
        <v>12508</v>
      </c>
      <c r="B3191" s="4" t="s">
        <v>12657</v>
      </c>
      <c r="C3191" s="4" t="s">
        <v>12658</v>
      </c>
      <c r="D3191" s="4" t="s">
        <v>12659</v>
      </c>
      <c r="E3191" s="5" t="n">
        <v>25307</v>
      </c>
      <c r="F3191" s="4" t="n">
        <v>2</v>
      </c>
      <c r="G3191" s="4" t="s">
        <v>12660</v>
      </c>
      <c r="H3191" s="4" t="n">
        <v>35.78245</v>
      </c>
      <c r="I3191" s="4" t="n">
        <v>-87.47107</v>
      </c>
      <c r="J3191" s="4" t="s">
        <v>12661</v>
      </c>
      <c r="K3191" s="6" t="str">
        <f aca="false">HYPERLINK("https://www.google.com/search?q=Hickman+County+Public+Library+Centerville+%28S%29+TN+library+website","Search")</f>
        <v>Search</v>
      </c>
      <c r="L3191" s="7"/>
      <c r="M3191" s="7"/>
    </row>
    <row r="3192" customFormat="false" ht="15" hidden="false" customHeight="true" outlineLevel="0" collapsed="false">
      <c r="A3192" s="4" t="s">
        <v>12508</v>
      </c>
      <c r="B3192" s="4" t="s">
        <v>12662</v>
      </c>
      <c r="C3192" s="4" t="s">
        <v>1082</v>
      </c>
      <c r="D3192" s="4" t="s">
        <v>4584</v>
      </c>
      <c r="E3192" s="5" t="n">
        <v>14151</v>
      </c>
      <c r="F3192" s="4" t="n">
        <v>1</v>
      </c>
      <c r="G3192" s="4" t="s">
        <v>12663</v>
      </c>
      <c r="H3192" s="4" t="n">
        <v>35.81917</v>
      </c>
      <c r="I3192" s="4" t="n">
        <v>-88.91513</v>
      </c>
      <c r="J3192" s="4" t="s">
        <v>12664</v>
      </c>
      <c r="K3192" s="6" t="str">
        <f aca="false">HYPERLINK("https://www.google.com/search?q=Humboldt+Public+Library+Humboldt+TN+library+website","Search")</f>
        <v>Search</v>
      </c>
      <c r="L3192" s="7"/>
      <c r="M3192" s="7"/>
    </row>
    <row r="3193" customFormat="false" ht="15" hidden="false" customHeight="true" outlineLevel="0" collapsed="false">
      <c r="A3193" s="4" t="s">
        <v>12508</v>
      </c>
      <c r="B3193" s="4" t="s">
        <v>12665</v>
      </c>
      <c r="C3193" s="4" t="s">
        <v>3147</v>
      </c>
      <c r="D3193" s="4" t="s">
        <v>12666</v>
      </c>
      <c r="E3193" s="5" t="n">
        <v>19211</v>
      </c>
      <c r="F3193" s="4" t="n">
        <v>1</v>
      </c>
      <c r="G3193" s="4" t="s">
        <v>12667</v>
      </c>
      <c r="H3193" s="4" t="n">
        <v>36.08448</v>
      </c>
      <c r="I3193" s="4" t="n">
        <v>-87.79563</v>
      </c>
      <c r="J3193" s="4" t="s">
        <v>12668</v>
      </c>
      <c r="K3193" s="6" t="str">
        <f aca="false">HYPERLINK("https://www.google.com/search?q=Humphreys+County+Public+Library+Waverly+TN+library+website","Search")</f>
        <v>Search</v>
      </c>
      <c r="L3193" s="7"/>
      <c r="M3193" s="7"/>
    </row>
    <row r="3194" customFormat="false" ht="15" hidden="false" customHeight="true" outlineLevel="0" collapsed="false">
      <c r="A3194" s="4" t="s">
        <v>12508</v>
      </c>
      <c r="B3194" s="4" t="s">
        <v>12669</v>
      </c>
      <c r="C3194" s="4" t="s">
        <v>12670</v>
      </c>
      <c r="D3194" s="4" t="s">
        <v>12671</v>
      </c>
      <c r="E3194" s="5" t="n">
        <v>17217</v>
      </c>
      <c r="F3194" s="4" t="n">
        <v>1</v>
      </c>
      <c r="G3194" s="4" t="s">
        <v>12672</v>
      </c>
      <c r="H3194" s="4" t="n">
        <v>35.16336</v>
      </c>
      <c r="I3194" s="4" t="n">
        <v>-88.57306</v>
      </c>
      <c r="J3194" s="4" t="s">
        <v>12673</v>
      </c>
      <c r="K3194" s="6" t="str">
        <f aca="false">HYPERLINK("https://www.google.com/search?q=Jack+Mcconnico+Memorial+Library+Selmer+TN+library+website","Search")</f>
        <v>Search</v>
      </c>
      <c r="L3194" s="7"/>
      <c r="M3194" s="7"/>
    </row>
    <row r="3195" customFormat="false" ht="15" hidden="false" customHeight="true" outlineLevel="0" collapsed="false">
      <c r="A3195" s="4" t="s">
        <v>12508</v>
      </c>
      <c r="B3195" s="4" t="s">
        <v>12674</v>
      </c>
      <c r="C3195" s="4" t="s">
        <v>389</v>
      </c>
      <c r="D3195" s="4" t="s">
        <v>261</v>
      </c>
      <c r="E3195" s="5" t="n">
        <v>98775</v>
      </c>
      <c r="F3195" s="4" t="n">
        <v>2</v>
      </c>
      <c r="G3195" s="4" t="s">
        <v>12675</v>
      </c>
      <c r="H3195" s="4" t="n">
        <v>35.61505</v>
      </c>
      <c r="I3195" s="4" t="n">
        <v>-88.81474</v>
      </c>
      <c r="J3195" s="4" t="s">
        <v>12676</v>
      </c>
      <c r="K3195" s="6" t="str">
        <f aca="false">HYPERLINK("https://www.google.com/search?q=Jackson-Madison+County+Library+Jackson+TN+library+website","Search")</f>
        <v>Search</v>
      </c>
      <c r="L3195" s="7"/>
      <c r="M3195" s="7"/>
    </row>
    <row r="3196" customFormat="false" ht="15" hidden="false" customHeight="true" outlineLevel="0" collapsed="false">
      <c r="A3196" s="4" t="s">
        <v>12508</v>
      </c>
      <c r="B3196" s="4" t="s">
        <v>12677</v>
      </c>
      <c r="C3196" s="4" t="s">
        <v>7478</v>
      </c>
      <c r="D3196" s="4" t="s">
        <v>98</v>
      </c>
      <c r="E3196" s="5" t="n">
        <v>16687</v>
      </c>
      <c r="F3196" s="4" t="n">
        <v>1</v>
      </c>
      <c r="G3196" s="4" t="s">
        <v>12678</v>
      </c>
      <c r="H3196" s="4" t="n">
        <v>36.11151</v>
      </c>
      <c r="I3196" s="4" t="n">
        <v>-83.49083</v>
      </c>
      <c r="J3196" s="4" t="s">
        <v>12679</v>
      </c>
      <c r="K3196" s="6" t="str">
        <f aca="false">HYPERLINK("https://www.google.com/search?q=Jefferson+City+Public+Library+Jefferson+City+TN+library+website","Search")</f>
        <v>Search</v>
      </c>
      <c r="L3196" s="7"/>
      <c r="M3196" s="7"/>
    </row>
    <row r="3197" customFormat="false" ht="15" hidden="false" customHeight="true" outlineLevel="0" collapsed="false">
      <c r="A3197" s="4" t="s">
        <v>12508</v>
      </c>
      <c r="B3197" s="4" t="s">
        <v>12680</v>
      </c>
      <c r="C3197" s="4" t="s">
        <v>10258</v>
      </c>
      <c r="D3197" s="4" t="s">
        <v>441</v>
      </c>
      <c r="E3197" s="5" t="n">
        <v>71278</v>
      </c>
      <c r="F3197" s="4" t="n">
        <v>1</v>
      </c>
      <c r="G3197" s="4" t="s">
        <v>12681</v>
      </c>
      <c r="H3197" s="4" t="n">
        <v>36.31963</v>
      </c>
      <c r="I3197" s="4" t="n">
        <v>-82.35427</v>
      </c>
      <c r="J3197" s="4" t="s">
        <v>12682</v>
      </c>
      <c r="K3197" s="6" t="str">
        <f aca="false">HYPERLINK("https://www.google.com/search?q=Johnson+City+Public+Library+Johnson+City+TN+library+website","Search")</f>
        <v>Search</v>
      </c>
      <c r="L3197" s="7"/>
      <c r="M3197" s="7"/>
    </row>
    <row r="3198" customFormat="false" ht="15" hidden="false" customHeight="true" outlineLevel="0" collapsed="false">
      <c r="A3198" s="4" t="s">
        <v>12508</v>
      </c>
      <c r="B3198" s="4" t="s">
        <v>4426</v>
      </c>
      <c r="C3198" s="4" t="s">
        <v>12683</v>
      </c>
      <c r="D3198" s="4" t="s">
        <v>2942</v>
      </c>
      <c r="E3198" s="5" t="n">
        <v>18170</v>
      </c>
      <c r="F3198" s="4" t="n">
        <v>1</v>
      </c>
      <c r="G3198" s="4" t="s">
        <v>12684</v>
      </c>
      <c r="H3198" s="4" t="n">
        <v>36.47577</v>
      </c>
      <c r="I3198" s="4" t="n">
        <v>-81.80366</v>
      </c>
      <c r="J3198" s="4" t="s">
        <v>12685</v>
      </c>
      <c r="K3198" s="6" t="str">
        <f aca="false">HYPERLINK("https://www.google.com/search?q=Johnson+County+Public+Library+Mountain+City+TN+library+website","Search")</f>
        <v>Search</v>
      </c>
      <c r="L3198" s="7"/>
      <c r="M3198" s="7"/>
    </row>
    <row r="3199" customFormat="false" ht="15" hidden="false" customHeight="true" outlineLevel="0" collapsed="false">
      <c r="A3199" s="4" t="s">
        <v>12508</v>
      </c>
      <c r="B3199" s="4" t="s">
        <v>12686</v>
      </c>
      <c r="C3199" s="4" t="s">
        <v>12687</v>
      </c>
      <c r="D3199" s="4" t="s">
        <v>211</v>
      </c>
      <c r="E3199" s="5" t="n">
        <v>20478</v>
      </c>
      <c r="F3199" s="4" t="n">
        <v>2</v>
      </c>
      <c r="G3199" s="4" t="s">
        <v>12688</v>
      </c>
      <c r="H3199" s="4" t="n">
        <v>35.96049</v>
      </c>
      <c r="I3199" s="4" t="n">
        <v>-85.81172</v>
      </c>
      <c r="J3199" s="4" t="s">
        <v>12689</v>
      </c>
      <c r="K3199" s="6" t="str">
        <f aca="false">HYPERLINK("https://www.google.com/search?q=Justin+Potter+Library+Smithville+TN+library+website","Search")</f>
        <v>Search</v>
      </c>
      <c r="L3199" s="7"/>
      <c r="M3199" s="7"/>
    </row>
    <row r="3200" customFormat="false" ht="15" hidden="false" customHeight="true" outlineLevel="0" collapsed="false">
      <c r="A3200" s="4" t="s">
        <v>12508</v>
      </c>
      <c r="B3200" s="4" t="s">
        <v>12690</v>
      </c>
      <c r="C3200" s="4" t="s">
        <v>12691</v>
      </c>
      <c r="D3200" s="4" t="s">
        <v>4622</v>
      </c>
      <c r="E3200" s="5" t="n">
        <v>55582</v>
      </c>
      <c r="F3200" s="4" t="n">
        <v>1</v>
      </c>
      <c r="G3200" s="4" t="s">
        <v>12692</v>
      </c>
      <c r="H3200" s="4" t="n">
        <v>36.54835</v>
      </c>
      <c r="I3200" s="4" t="n">
        <v>-82.55922</v>
      </c>
      <c r="J3200" s="4" t="s">
        <v>12693</v>
      </c>
      <c r="K3200" s="6" t="str">
        <f aca="false">HYPERLINK("https://www.google.com/search?q=Kingsport+Public+Library+Kingsport+%28S%29+TN+library+website","Search")</f>
        <v>Search</v>
      </c>
      <c r="L3200" s="7"/>
      <c r="M3200" s="7"/>
    </row>
    <row r="3201" customFormat="false" ht="15" hidden="false" customHeight="true" outlineLevel="0" collapsed="false">
      <c r="A3201" s="4" t="s">
        <v>12508</v>
      </c>
      <c r="B3201" s="4" t="s">
        <v>5770</v>
      </c>
      <c r="C3201" s="4" t="s">
        <v>5771</v>
      </c>
      <c r="D3201" s="4" t="s">
        <v>12649</v>
      </c>
      <c r="E3201" s="5" t="n">
        <v>17430</v>
      </c>
      <c r="F3201" s="4" t="n">
        <v>1</v>
      </c>
      <c r="G3201" s="4" t="s">
        <v>12694</v>
      </c>
      <c r="H3201" s="4" t="n">
        <v>35.86594</v>
      </c>
      <c r="I3201" s="4" t="n">
        <v>-84.52081</v>
      </c>
      <c r="J3201" s="4" t="s">
        <v>12695</v>
      </c>
      <c r="K3201" s="6" t="str">
        <f aca="false">HYPERLINK("https://www.google.com/search?q=Kingston+Public+Library+Kingston+TN+library+website","Search")</f>
        <v>Search</v>
      </c>
      <c r="L3201" s="7"/>
      <c r="M3201" s="7"/>
    </row>
    <row r="3202" customFormat="false" ht="15" hidden="false" customHeight="true" outlineLevel="0" collapsed="false">
      <c r="A3202" s="4" t="s">
        <v>12508</v>
      </c>
      <c r="B3202" s="4" t="s">
        <v>12696</v>
      </c>
      <c r="C3202" s="4" t="s">
        <v>12697</v>
      </c>
      <c r="D3202" s="4" t="s">
        <v>3618</v>
      </c>
      <c r="E3202" s="5" t="n">
        <v>486677</v>
      </c>
      <c r="F3202" s="4" t="n">
        <v>19</v>
      </c>
      <c r="G3202" s="4" t="s">
        <v>12698</v>
      </c>
      <c r="H3202" s="4" t="n">
        <v>35.96254</v>
      </c>
      <c r="I3202" s="4" t="n">
        <v>-83.9196</v>
      </c>
      <c r="J3202" s="4" t="s">
        <v>12699</v>
      </c>
      <c r="K3202" s="6" t="str">
        <f aca="false">HYPERLINK("https://www.google.com/search?q=Knox+County+Public+Library+System+Knoxville+%28S%29+TN+library+website","Search")</f>
        <v>Search</v>
      </c>
      <c r="L3202" s="7"/>
      <c r="M3202" s="7"/>
    </row>
    <row r="3203" customFormat="false" ht="15" hidden="false" customHeight="true" outlineLevel="0" collapsed="false">
      <c r="A3203" s="4" t="s">
        <v>12508</v>
      </c>
      <c r="B3203" s="4" t="s">
        <v>12700</v>
      </c>
      <c r="C3203" s="4" t="s">
        <v>12701</v>
      </c>
      <c r="D3203" s="4" t="s">
        <v>8139</v>
      </c>
      <c r="E3203" s="5" t="n">
        <v>39091</v>
      </c>
      <c r="F3203" s="4" t="n">
        <v>1</v>
      </c>
      <c r="G3203" s="4" t="s">
        <v>12702</v>
      </c>
      <c r="H3203" s="4" t="n">
        <v>36.02223</v>
      </c>
      <c r="I3203" s="4" t="n">
        <v>-86.58288</v>
      </c>
      <c r="J3203" s="4" t="s">
        <v>12703</v>
      </c>
      <c r="K3203" s="6" t="str">
        <f aca="false">HYPERLINK("https://www.google.com/search?q=La+Vergne+Public+Library+La+Vergne+TN+library+website","Search")</f>
        <v>Search</v>
      </c>
      <c r="L3203" s="7"/>
      <c r="M3203" s="8" t="str">
        <f aca="false">HYPERLINK("https://lavergnelibrary.overdrive.com","https://lavergnelibrary.overdrive.com")</f>
        <v>https://lavergnelibrary.overdrive.com</v>
      </c>
    </row>
    <row r="3204" customFormat="false" ht="15" hidden="false" customHeight="true" outlineLevel="0" collapsed="false">
      <c r="A3204" s="4" t="s">
        <v>12508</v>
      </c>
      <c r="B3204" s="4" t="s">
        <v>12704</v>
      </c>
      <c r="C3204" s="4" t="s">
        <v>12705</v>
      </c>
      <c r="D3204" s="4" t="s">
        <v>1428</v>
      </c>
      <c r="E3204" s="5" t="n">
        <v>21768</v>
      </c>
      <c r="F3204" s="4" t="n">
        <v>1</v>
      </c>
      <c r="G3204" s="4" t="s">
        <v>12706</v>
      </c>
      <c r="H3204" s="4" t="n">
        <v>36.37949</v>
      </c>
      <c r="I3204" s="4" t="n">
        <v>-84.1216</v>
      </c>
      <c r="J3204" s="4" t="s">
        <v>12707</v>
      </c>
      <c r="K3204" s="6" t="str">
        <f aca="false">HYPERLINK("https://www.google.com/search?q=Lafollette+Public+Library+Lafollette+TN+library+website","Search")</f>
        <v>Search</v>
      </c>
      <c r="L3204" s="7"/>
      <c r="M3204" s="7"/>
    </row>
    <row r="3205" customFormat="false" ht="15" hidden="false" customHeight="true" outlineLevel="0" collapsed="false">
      <c r="A3205" s="4" t="s">
        <v>12508</v>
      </c>
      <c r="B3205" s="4" t="s">
        <v>12708</v>
      </c>
      <c r="C3205" s="4" t="s">
        <v>4265</v>
      </c>
      <c r="D3205" s="4" t="s">
        <v>202</v>
      </c>
      <c r="E3205" s="5" t="n">
        <v>19817</v>
      </c>
      <c r="F3205" s="4" t="n">
        <v>1</v>
      </c>
      <c r="G3205" s="4" t="s">
        <v>12709</v>
      </c>
      <c r="H3205" s="4" t="n">
        <v>35.74734</v>
      </c>
      <c r="I3205" s="4" t="n">
        <v>-89.52769</v>
      </c>
      <c r="J3205" s="4" t="s">
        <v>12710</v>
      </c>
      <c r="K3205" s="6" t="str">
        <f aca="false">HYPERLINK("https://www.google.com/search?q=Lauderdale+County+Library+Ripley+TN+library+website","Search")</f>
        <v>Search</v>
      </c>
      <c r="L3205" s="7"/>
      <c r="M3205" s="7"/>
    </row>
    <row r="3206" customFormat="false" ht="15" hidden="false" customHeight="true" outlineLevel="0" collapsed="false">
      <c r="A3206" s="4" t="s">
        <v>12508</v>
      </c>
      <c r="B3206" s="4" t="s">
        <v>277</v>
      </c>
      <c r="C3206" s="4" t="s">
        <v>12711</v>
      </c>
      <c r="D3206" s="4" t="s">
        <v>279</v>
      </c>
      <c r="E3206" s="5" t="n">
        <v>44828</v>
      </c>
      <c r="F3206" s="4" t="n">
        <v>2</v>
      </c>
      <c r="G3206" s="4" t="s">
        <v>12712</v>
      </c>
      <c r="H3206" s="4" t="n">
        <v>35.23978</v>
      </c>
      <c r="I3206" s="4" t="n">
        <v>-87.32458</v>
      </c>
      <c r="J3206" s="4" t="s">
        <v>12713</v>
      </c>
      <c r="K3206" s="6" t="str">
        <f aca="false">HYPERLINK("https://www.google.com/search?q=Lawrence+County+Public+Library+Lawrenceburg+%28S%29+TN+library+website","Search")</f>
        <v>Search</v>
      </c>
      <c r="L3206" s="7"/>
      <c r="M3206" s="7"/>
    </row>
    <row r="3207" customFormat="false" ht="15" hidden="false" customHeight="true" outlineLevel="0" collapsed="false">
      <c r="A3207" s="4" t="s">
        <v>12508</v>
      </c>
      <c r="B3207" s="4" t="s">
        <v>12714</v>
      </c>
      <c r="C3207" s="4" t="s">
        <v>4459</v>
      </c>
      <c r="D3207" s="4" t="s">
        <v>8187</v>
      </c>
      <c r="E3207" s="5" t="n">
        <v>77491</v>
      </c>
      <c r="F3207" s="4" t="n">
        <v>2</v>
      </c>
      <c r="G3207" s="4" t="s">
        <v>12715</v>
      </c>
      <c r="H3207" s="4" t="n">
        <v>36.20836</v>
      </c>
      <c r="I3207" s="4" t="n">
        <v>-86.29876</v>
      </c>
      <c r="J3207" s="4" t="s">
        <v>12716</v>
      </c>
      <c r="K3207" s="6" t="str">
        <f aca="false">HYPERLINK("https://www.google.com/search?q=Lebanon-Wilson+County+Public+Library+Lebanon+TN+library+website","Search")</f>
        <v>Search</v>
      </c>
      <c r="L3207" s="7"/>
      <c r="M3207" s="7"/>
    </row>
    <row r="3208" customFormat="false" ht="15" hidden="false" customHeight="true" outlineLevel="0" collapsed="false">
      <c r="A3208" s="4" t="s">
        <v>12508</v>
      </c>
      <c r="B3208" s="4" t="s">
        <v>12717</v>
      </c>
      <c r="C3208" s="4" t="s">
        <v>12718</v>
      </c>
      <c r="D3208" s="4" t="s">
        <v>12719</v>
      </c>
      <c r="E3208" s="5" t="n">
        <v>22749</v>
      </c>
      <c r="F3208" s="4" t="n">
        <v>1</v>
      </c>
      <c r="G3208" s="4" t="s">
        <v>12720</v>
      </c>
      <c r="H3208" s="4" t="n">
        <v>35.79096</v>
      </c>
      <c r="I3208" s="4" t="n">
        <v>-84.26592</v>
      </c>
      <c r="J3208" s="4" t="s">
        <v>12721</v>
      </c>
      <c r="K3208" s="6" t="str">
        <f aca="false">HYPERLINK("https://www.google.com/search?q=Lenoir+City+Public+Library+Lenoir+City+TN+library+website","Search")</f>
        <v>Search</v>
      </c>
      <c r="L3208" s="7"/>
      <c r="M3208" s="7"/>
    </row>
    <row r="3209" customFormat="false" ht="15" hidden="false" customHeight="true" outlineLevel="0" collapsed="false">
      <c r="A3209" s="4" t="s">
        <v>12508</v>
      </c>
      <c r="B3209" s="4" t="s">
        <v>5031</v>
      </c>
      <c r="C3209" s="4" t="s">
        <v>12722</v>
      </c>
      <c r="D3209" s="4" t="s">
        <v>5033</v>
      </c>
      <c r="E3209" s="5" t="n">
        <v>12857</v>
      </c>
      <c r="F3209" s="4" t="n">
        <v>1</v>
      </c>
      <c r="G3209" s="4" t="s">
        <v>12723</v>
      </c>
      <c r="H3209" s="4" t="n">
        <v>35.55012</v>
      </c>
      <c r="I3209" s="4" t="n">
        <v>-87.55209</v>
      </c>
      <c r="J3209" s="4" t="s">
        <v>12724</v>
      </c>
      <c r="K3209" s="6" t="str">
        <f aca="false">HYPERLINK("https://www.google.com/search?q=Lewis+County+Public+Library+Hohenwald+TN+library+website","Search")</f>
        <v>Search</v>
      </c>
      <c r="L3209" s="7"/>
      <c r="M3209" s="7"/>
    </row>
    <row r="3210" customFormat="false" ht="15" hidden="false" customHeight="true" outlineLevel="0" collapsed="false">
      <c r="A3210" s="4" t="s">
        <v>12508</v>
      </c>
      <c r="B3210" s="4" t="s">
        <v>12725</v>
      </c>
      <c r="C3210" s="4" t="s">
        <v>12719</v>
      </c>
      <c r="D3210" s="4" t="s">
        <v>12719</v>
      </c>
      <c r="E3210" s="5" t="n">
        <v>14173</v>
      </c>
      <c r="F3210" s="4" t="n">
        <v>1</v>
      </c>
      <c r="G3210" s="4" t="s">
        <v>12726</v>
      </c>
      <c r="H3210" s="4" t="n">
        <v>35.73943</v>
      </c>
      <c r="I3210" s="4" t="n">
        <v>-84.34518</v>
      </c>
      <c r="J3210" s="4" t="s">
        <v>12727</v>
      </c>
      <c r="K3210" s="6" t="str">
        <f aca="false">HYPERLINK("https://www.google.com/search?q=Loudon+Public+Library+Loudon+TN+library+website","Search")</f>
        <v>Search</v>
      </c>
      <c r="L3210" s="7"/>
      <c r="M3210" s="7"/>
    </row>
    <row r="3211" customFormat="false" ht="15" hidden="false" customHeight="true" outlineLevel="0" collapsed="false">
      <c r="A3211" s="4" t="s">
        <v>12508</v>
      </c>
      <c r="B3211" s="4" t="s">
        <v>12728</v>
      </c>
      <c r="C3211" s="4" t="s">
        <v>12729</v>
      </c>
      <c r="D3211" s="4" t="s">
        <v>53</v>
      </c>
      <c r="E3211" s="5" t="n">
        <v>51343</v>
      </c>
      <c r="F3211" s="4" t="n">
        <v>1</v>
      </c>
      <c r="G3211" s="4" t="s">
        <v>12730</v>
      </c>
      <c r="H3211" s="4" t="n">
        <v>35.05342</v>
      </c>
      <c r="I3211" s="4" t="n">
        <v>-89.70051</v>
      </c>
      <c r="J3211" s="4" t="s">
        <v>12731</v>
      </c>
      <c r="K3211" s="6" t="str">
        <f aca="false">HYPERLINK("https://www.google.com/search?q=Lucius+E.+And+Elsie+C.+Burch%2C+Jr.+Library+Collierville+TN+library+website","Search")</f>
        <v>Search</v>
      </c>
      <c r="L3211" s="7"/>
      <c r="M3211" s="7"/>
    </row>
    <row r="3212" customFormat="false" ht="15" hidden="false" customHeight="true" outlineLevel="0" collapsed="false">
      <c r="A3212" s="4" t="s">
        <v>12508</v>
      </c>
      <c r="B3212" s="4" t="s">
        <v>12732</v>
      </c>
      <c r="C3212" s="4" t="s">
        <v>12733</v>
      </c>
      <c r="D3212" s="4" t="s">
        <v>467</v>
      </c>
      <c r="E3212" s="5" t="n">
        <v>10020</v>
      </c>
      <c r="F3212" s="4" t="n">
        <v>1</v>
      </c>
      <c r="G3212" s="4" t="s">
        <v>12734</v>
      </c>
      <c r="H3212" s="4" t="n">
        <v>36.20245</v>
      </c>
      <c r="I3212" s="4" t="n">
        <v>-83.75534</v>
      </c>
      <c r="J3212" s="4" t="s">
        <v>12735</v>
      </c>
      <c r="K3212" s="6" t="str">
        <f aca="false">HYPERLINK("https://www.google.com/search?q=Luttrell+Public+Library+Luttrell+TN+library+website","Search")</f>
        <v>Search</v>
      </c>
      <c r="L3212" s="7"/>
      <c r="M3212" s="7"/>
    </row>
    <row r="3213" customFormat="false" ht="15" hidden="false" customHeight="true" outlineLevel="0" collapsed="false">
      <c r="A3213" s="4" t="s">
        <v>12508</v>
      </c>
      <c r="B3213" s="4" t="s">
        <v>12736</v>
      </c>
      <c r="C3213" s="4" t="s">
        <v>1682</v>
      </c>
      <c r="D3213" s="4" t="s">
        <v>293</v>
      </c>
      <c r="E3213" s="5" t="n">
        <v>25699</v>
      </c>
      <c r="F3213" s="4" t="n">
        <v>2</v>
      </c>
      <c r="G3213" s="4" t="s">
        <v>12737</v>
      </c>
      <c r="H3213" s="4" t="n">
        <v>36.52229</v>
      </c>
      <c r="I3213" s="4" t="n">
        <v>-86.0326</v>
      </c>
      <c r="J3213" s="4" t="s">
        <v>12738</v>
      </c>
      <c r="K3213" s="6" t="str">
        <f aca="false">HYPERLINK("https://www.google.com/search?q=Macon+County+Public+Library+Lafayette+TN+library+website","Search")</f>
        <v>Search</v>
      </c>
      <c r="L3213" s="7"/>
      <c r="M3213" s="7"/>
    </row>
    <row r="3214" customFormat="false" ht="15" hidden="false" customHeight="true" outlineLevel="0" collapsed="false">
      <c r="A3214" s="4" t="s">
        <v>12508</v>
      </c>
      <c r="B3214" s="4" t="s">
        <v>12739</v>
      </c>
      <c r="C3214" s="4" t="s">
        <v>4977</v>
      </c>
      <c r="D3214" s="4" t="s">
        <v>311</v>
      </c>
      <c r="E3214" s="5" t="n">
        <v>17316</v>
      </c>
      <c r="F3214" s="4" t="n">
        <v>1</v>
      </c>
      <c r="G3214" s="4" t="s">
        <v>12740</v>
      </c>
      <c r="H3214" s="4" t="n">
        <v>35.52112</v>
      </c>
      <c r="I3214" s="4" t="n">
        <v>-84.35875</v>
      </c>
      <c r="J3214" s="4" t="s">
        <v>12741</v>
      </c>
      <c r="K3214" s="6" t="str">
        <f aca="false">HYPERLINK("https://www.google.com/search?q=Madisonville+Public+Library+Madisonville+TN+library+website","Search")</f>
        <v>Search</v>
      </c>
      <c r="L3214" s="7"/>
      <c r="M3214" s="7"/>
    </row>
    <row r="3215" customFormat="false" ht="15" hidden="false" customHeight="true" outlineLevel="0" collapsed="false">
      <c r="A3215" s="4" t="s">
        <v>12508</v>
      </c>
      <c r="B3215" s="4" t="s">
        <v>12742</v>
      </c>
      <c r="C3215" s="4" t="s">
        <v>11123</v>
      </c>
      <c r="D3215" s="4" t="s">
        <v>3012</v>
      </c>
      <c r="E3215" s="5" t="n">
        <v>41523</v>
      </c>
      <c r="F3215" s="4" t="n">
        <v>1</v>
      </c>
      <c r="G3215" s="4" t="s">
        <v>12743</v>
      </c>
      <c r="H3215" s="4" t="n">
        <v>35.6814</v>
      </c>
      <c r="I3215" s="4" t="n">
        <v>-85.77423</v>
      </c>
      <c r="J3215" s="4" t="s">
        <v>12744</v>
      </c>
      <c r="K3215" s="6" t="str">
        <f aca="false">HYPERLINK("https://www.google.com/search?q=Magness+Community+House+%26+Library+Mcminnville+TN+library+website","Search")</f>
        <v>Search</v>
      </c>
      <c r="L3215" s="7"/>
      <c r="M3215" s="7"/>
    </row>
    <row r="3216" customFormat="false" ht="15" hidden="false" customHeight="true" outlineLevel="0" collapsed="false">
      <c r="A3216" s="4" t="s">
        <v>12508</v>
      </c>
      <c r="B3216" s="4" t="s">
        <v>12745</v>
      </c>
      <c r="C3216" s="4" t="s">
        <v>11964</v>
      </c>
      <c r="D3216" s="4" t="s">
        <v>58</v>
      </c>
      <c r="E3216" s="5" t="n">
        <v>34984</v>
      </c>
      <c r="F3216" s="4" t="n">
        <v>2</v>
      </c>
      <c r="G3216" s="4" t="s">
        <v>12746</v>
      </c>
      <c r="H3216" s="4" t="n">
        <v>35.45713</v>
      </c>
      <c r="I3216" s="4" t="n">
        <v>-86.78232</v>
      </c>
      <c r="J3216" s="4" t="s">
        <v>12747</v>
      </c>
      <c r="K3216" s="6" t="str">
        <f aca="false">HYPERLINK("https://www.google.com/search?q=Marshall+County+Memorial+Library+Lewisburg+TN+library+website","Search")</f>
        <v>Search</v>
      </c>
      <c r="L3216" s="7"/>
      <c r="M3216" s="7"/>
    </row>
    <row r="3217" customFormat="false" ht="15" hidden="false" customHeight="true" outlineLevel="0" collapsed="false">
      <c r="A3217" s="4" t="s">
        <v>12508</v>
      </c>
      <c r="B3217" s="4" t="s">
        <v>12748</v>
      </c>
      <c r="C3217" s="4" t="s">
        <v>2438</v>
      </c>
      <c r="D3217" s="4" t="s">
        <v>12749</v>
      </c>
      <c r="E3217" s="5" t="n">
        <v>14592</v>
      </c>
      <c r="F3217" s="4" t="n">
        <v>1</v>
      </c>
      <c r="G3217" s="4" t="s">
        <v>12750</v>
      </c>
      <c r="H3217" s="4" t="n">
        <v>36.34251</v>
      </c>
      <c r="I3217" s="4" t="n">
        <v>-88.85052</v>
      </c>
      <c r="J3217" s="4" t="s">
        <v>12751</v>
      </c>
      <c r="K3217" s="6" t="str">
        <f aca="false">HYPERLINK("https://www.google.com/search?q=Martin+Public+Library+Martin+TN+library+website","Search")</f>
        <v>Search</v>
      </c>
      <c r="L3217" s="7"/>
      <c r="M3217" s="7"/>
    </row>
    <row r="3218" customFormat="false" ht="15" hidden="false" customHeight="true" outlineLevel="0" collapsed="false">
      <c r="A3218" s="4" t="s">
        <v>12508</v>
      </c>
      <c r="B3218" s="4" t="s">
        <v>12752</v>
      </c>
      <c r="C3218" s="4" t="s">
        <v>12753</v>
      </c>
      <c r="D3218" s="4" t="s">
        <v>12754</v>
      </c>
      <c r="E3218" s="5" t="n">
        <v>82767</v>
      </c>
      <c r="F3218" s="4" t="n">
        <v>2</v>
      </c>
      <c r="G3218" s="4" t="s">
        <v>12755</v>
      </c>
      <c r="H3218" s="4" t="n">
        <v>35.61376</v>
      </c>
      <c r="I3218" s="4" t="n">
        <v>-87.03711</v>
      </c>
      <c r="J3218" s="4" t="s">
        <v>12756</v>
      </c>
      <c r="K3218" s="6" t="str">
        <f aca="false">HYPERLINK("https://www.google.com/search?q=Maury+County+Public+Library+Columbia+%28S%29+TN+library+website","Search")</f>
        <v>Search</v>
      </c>
      <c r="L3218" s="7"/>
      <c r="M3218" s="7"/>
    </row>
    <row r="3219" customFormat="false" ht="15" hidden="false" customHeight="true" outlineLevel="0" collapsed="false">
      <c r="A3219" s="4" t="s">
        <v>12508</v>
      </c>
      <c r="B3219" s="4" t="s">
        <v>12757</v>
      </c>
      <c r="C3219" s="4" t="s">
        <v>12758</v>
      </c>
      <c r="D3219" s="4" t="s">
        <v>467</v>
      </c>
      <c r="E3219" s="5" t="n">
        <v>10020</v>
      </c>
      <c r="F3219" s="4" t="n">
        <v>1</v>
      </c>
      <c r="G3219" s="4" t="s">
        <v>12759</v>
      </c>
      <c r="H3219" s="4" t="n">
        <v>36.24324</v>
      </c>
      <c r="I3219" s="4" t="n">
        <v>-83.81126</v>
      </c>
      <c r="J3219" s="4" t="s">
        <v>12760</v>
      </c>
      <c r="K3219" s="6" t="str">
        <f aca="false">HYPERLINK("https://www.google.com/search?q=Maynardville+Public+Library+Maynardville+TN+library+website","Search")</f>
        <v>Search</v>
      </c>
      <c r="L3219" s="7"/>
      <c r="M3219" s="7"/>
    </row>
    <row r="3220" customFormat="false" ht="15" hidden="false" customHeight="true" outlineLevel="0" collapsed="false">
      <c r="A3220" s="4" t="s">
        <v>12508</v>
      </c>
      <c r="B3220" s="4" t="s">
        <v>12761</v>
      </c>
      <c r="C3220" s="4" t="s">
        <v>12762</v>
      </c>
      <c r="D3220" s="4" t="s">
        <v>12763</v>
      </c>
      <c r="E3220" s="5" t="n">
        <v>29895</v>
      </c>
      <c r="F3220" s="4" t="n">
        <v>1</v>
      </c>
      <c r="G3220" s="4" t="s">
        <v>12764</v>
      </c>
      <c r="H3220" s="4" t="n">
        <v>36.03324</v>
      </c>
      <c r="I3220" s="4" t="n">
        <v>-89.38974</v>
      </c>
      <c r="J3220" s="4" t="s">
        <v>12765</v>
      </c>
      <c r="K3220" s="6" t="str">
        <f aca="false">HYPERLINK("https://www.google.com/search?q=Mciver%60S+Grant+Public+Library+Dyersburg+TN+library+website","Search")</f>
        <v>Search</v>
      </c>
      <c r="L3220" s="7"/>
      <c r="M3220" s="7"/>
    </row>
    <row r="3221" customFormat="false" ht="15" hidden="false" customHeight="true" outlineLevel="0" collapsed="false">
      <c r="A3221" s="4" t="s">
        <v>12508</v>
      </c>
      <c r="B3221" s="4" t="s">
        <v>12766</v>
      </c>
      <c r="C3221" s="4" t="s">
        <v>155</v>
      </c>
      <c r="D3221" s="4" t="s">
        <v>10599</v>
      </c>
      <c r="E3221" s="5" t="n">
        <v>13049</v>
      </c>
      <c r="F3221" s="4" t="n">
        <v>1</v>
      </c>
      <c r="G3221" s="4" t="s">
        <v>12767</v>
      </c>
      <c r="H3221" s="4" t="n">
        <v>35.51456</v>
      </c>
      <c r="I3221" s="4" t="n">
        <v>-84.78964</v>
      </c>
      <c r="J3221" s="4" t="s">
        <v>12768</v>
      </c>
      <c r="K3221" s="6" t="str">
        <f aca="false">HYPERLINK("https://www.google.com/search?q=Meigs-Decatur+Public+Library+Decatur+TN+library+website","Search")</f>
        <v>Search</v>
      </c>
      <c r="L3221" s="7"/>
      <c r="M3221" s="7"/>
    </row>
    <row r="3222" customFormat="false" ht="15" hidden="false" customHeight="true" outlineLevel="0" collapsed="false">
      <c r="A3222" s="4" t="s">
        <v>12508</v>
      </c>
      <c r="B3222" s="4" t="s">
        <v>12769</v>
      </c>
      <c r="C3222" s="4" t="s">
        <v>12770</v>
      </c>
      <c r="D3222" s="4" t="s">
        <v>53</v>
      </c>
      <c r="E3222" s="5" t="n">
        <v>807121</v>
      </c>
      <c r="F3222" s="4" t="n">
        <v>18</v>
      </c>
      <c r="G3222" s="4" t="s">
        <v>12771</v>
      </c>
      <c r="H3222" s="4" t="n">
        <v>35.13259</v>
      </c>
      <c r="I3222" s="4" t="n">
        <v>-89.96113</v>
      </c>
      <c r="J3222" s="4" t="s">
        <v>12772</v>
      </c>
      <c r="K3222" s="6" t="str">
        <f aca="false">HYPERLINK("https://www.google.com/search?q=Memphis+Public+Library+And+Information+Center+Memphis+%28S%29+TN+library+website","Search")</f>
        <v>Search</v>
      </c>
      <c r="L3222" s="7"/>
      <c r="M3222" s="7"/>
    </row>
    <row r="3223" customFormat="false" ht="15" hidden="false" customHeight="true" outlineLevel="0" collapsed="false">
      <c r="A3223" s="4" t="s">
        <v>12508</v>
      </c>
      <c r="B3223" s="4" t="s">
        <v>12773</v>
      </c>
      <c r="C3223" s="4" t="s">
        <v>6855</v>
      </c>
      <c r="D3223" s="4" t="s">
        <v>4584</v>
      </c>
      <c r="E3223" s="5" t="n">
        <v>13646</v>
      </c>
      <c r="F3223" s="4" t="n">
        <v>1</v>
      </c>
      <c r="G3223" s="4" t="s">
        <v>12774</v>
      </c>
      <c r="H3223" s="4" t="n">
        <v>35.91748</v>
      </c>
      <c r="I3223" s="4" t="n">
        <v>-88.75199</v>
      </c>
      <c r="J3223" s="4" t="s">
        <v>12775</v>
      </c>
      <c r="K3223" s="6" t="str">
        <f aca="false">HYPERLINK("https://www.google.com/search?q=Mildred+G.+Fields+Memorial+Library+Milan+TN+library+website","Search")</f>
        <v>Search</v>
      </c>
      <c r="L3223" s="7"/>
      <c r="M3223" s="7"/>
    </row>
    <row r="3224" customFormat="false" ht="15" hidden="false" customHeight="true" outlineLevel="0" collapsed="false">
      <c r="A3224" s="4" t="s">
        <v>12508</v>
      </c>
      <c r="B3224" s="4" t="s">
        <v>12776</v>
      </c>
      <c r="C3224" s="4" t="s">
        <v>3979</v>
      </c>
      <c r="D3224" s="4" t="s">
        <v>12777</v>
      </c>
      <c r="E3224" s="5" t="n">
        <v>22839</v>
      </c>
      <c r="F3224" s="4" t="n">
        <v>1</v>
      </c>
      <c r="G3224" s="4" t="s">
        <v>12778</v>
      </c>
      <c r="H3224" s="4" t="n">
        <v>36.38323</v>
      </c>
      <c r="I3224" s="4" t="n">
        <v>-85.32212</v>
      </c>
      <c r="J3224" s="4" t="s">
        <v>12779</v>
      </c>
      <c r="K3224" s="6" t="str">
        <f aca="false">HYPERLINK("https://www.google.com/search?q=Millard+Oakley+Public+Library+Livingston+TN+library+website","Search")</f>
        <v>Search</v>
      </c>
      <c r="L3224" s="7"/>
      <c r="M3224" s="7"/>
    </row>
    <row r="3225" customFormat="false" ht="15" hidden="false" customHeight="true" outlineLevel="0" collapsed="false">
      <c r="A3225" s="4" t="s">
        <v>12508</v>
      </c>
      <c r="B3225" s="4" t="s">
        <v>12780</v>
      </c>
      <c r="C3225" s="4" t="s">
        <v>12781</v>
      </c>
      <c r="D3225" s="4" t="s">
        <v>53</v>
      </c>
      <c r="E3225" s="5" t="n">
        <v>10508</v>
      </c>
      <c r="F3225" s="4" t="n">
        <v>1</v>
      </c>
      <c r="G3225" s="4" t="s">
        <v>12782</v>
      </c>
      <c r="H3225" s="4" t="n">
        <v>35.34139</v>
      </c>
      <c r="I3225" s="4" t="n">
        <v>-89.90145</v>
      </c>
      <c r="J3225" s="4" t="s">
        <v>12783</v>
      </c>
      <c r="K3225" s="6" t="str">
        <f aca="false">HYPERLINK("https://www.google.com/search?q=Millington+Public+Library+Millington+TN+library+website","Search")</f>
        <v>Search</v>
      </c>
      <c r="L3225" s="7"/>
      <c r="M3225" s="7"/>
    </row>
    <row r="3226" customFormat="false" ht="15" hidden="false" customHeight="true" outlineLevel="0" collapsed="false">
      <c r="A3226" s="4" t="s">
        <v>12508</v>
      </c>
      <c r="B3226" s="4" t="s">
        <v>12784</v>
      </c>
      <c r="C3226" s="4" t="s">
        <v>8776</v>
      </c>
      <c r="D3226" s="4" t="s">
        <v>12785</v>
      </c>
      <c r="E3226" s="5" t="n">
        <v>64468</v>
      </c>
      <c r="F3226" s="4" t="n">
        <v>1</v>
      </c>
      <c r="G3226" s="4" t="s">
        <v>12786</v>
      </c>
      <c r="H3226" s="4" t="n">
        <v>36.21178</v>
      </c>
      <c r="I3226" s="4" t="n">
        <v>-83.29603</v>
      </c>
      <c r="J3226" s="4" t="s">
        <v>12787</v>
      </c>
      <c r="K3226" s="6" t="str">
        <f aca="false">HYPERLINK("https://www.google.com/search?q=Morristown-Hamblen+Public+Library+Morristown+TN+library+website","Search")</f>
        <v>Search</v>
      </c>
      <c r="L3226" s="7"/>
      <c r="M3226" s="7"/>
    </row>
    <row r="3227" customFormat="false" ht="15" hidden="false" customHeight="true" outlineLevel="0" collapsed="false">
      <c r="A3227" s="4" t="s">
        <v>12508</v>
      </c>
      <c r="B3227" s="4" t="s">
        <v>12788</v>
      </c>
      <c r="C3227" s="4" t="s">
        <v>12789</v>
      </c>
      <c r="D3227" s="4" t="s">
        <v>8187</v>
      </c>
      <c r="E3227" s="5" t="n">
        <v>74426</v>
      </c>
      <c r="F3227" s="4" t="n">
        <v>1</v>
      </c>
      <c r="G3227" s="4" t="s">
        <v>12790</v>
      </c>
      <c r="H3227" s="4" t="n">
        <v>36.20846</v>
      </c>
      <c r="I3227" s="4" t="n">
        <v>-86.51634</v>
      </c>
      <c r="J3227" s="4" t="s">
        <v>12791</v>
      </c>
      <c r="K3227" s="6" t="str">
        <f aca="false">HYPERLINK("https://www.google.com/search?q=Mt.+Juliet-Wilson+County+Public+Library+Mt.+Juliet+TN+library+website","Search")</f>
        <v>Search</v>
      </c>
      <c r="L3227" s="7"/>
      <c r="M3227" s="7"/>
    </row>
    <row r="3228" customFormat="false" ht="15" hidden="false" customHeight="true" outlineLevel="0" collapsed="false">
      <c r="A3228" s="4" t="s">
        <v>12508</v>
      </c>
      <c r="B3228" s="4" t="s">
        <v>12792</v>
      </c>
      <c r="C3228" s="4" t="s">
        <v>12793</v>
      </c>
      <c r="D3228" s="4" t="s">
        <v>4630</v>
      </c>
      <c r="E3228" s="5" t="n">
        <v>26842</v>
      </c>
      <c r="F3228" s="4" t="n">
        <v>1</v>
      </c>
      <c r="G3228" s="4" t="s">
        <v>12794</v>
      </c>
      <c r="H3228" s="4" t="n">
        <v>35.44852</v>
      </c>
      <c r="I3228" s="4" t="n">
        <v>-89.81411</v>
      </c>
      <c r="J3228" s="4" t="s">
        <v>12795</v>
      </c>
      <c r="K3228" s="6" t="str">
        <f aca="false">HYPERLINK("https://www.google.com/search?q=Munford+Tipton+County+Memorial+Library+Munford+TN+library+website","Search")</f>
        <v>Search</v>
      </c>
      <c r="L3228" s="7"/>
      <c r="M3228" s="7"/>
    </row>
    <row r="3229" customFormat="false" ht="15" hidden="false" customHeight="true" outlineLevel="0" collapsed="false">
      <c r="A3229" s="4" t="s">
        <v>12508</v>
      </c>
      <c r="B3229" s="4" t="s">
        <v>12796</v>
      </c>
      <c r="C3229" s="4" t="s">
        <v>4281</v>
      </c>
      <c r="D3229" s="4" t="s">
        <v>7961</v>
      </c>
      <c r="E3229" s="5" t="n">
        <v>703953</v>
      </c>
      <c r="F3229" s="4" t="n">
        <v>21</v>
      </c>
      <c r="G3229" s="4" t="s">
        <v>12797</v>
      </c>
      <c r="H3229" s="4" t="n">
        <v>36.16241</v>
      </c>
      <c r="I3229" s="4" t="n">
        <v>-86.78187</v>
      </c>
      <c r="J3229" s="4" t="s">
        <v>12798</v>
      </c>
      <c r="K3229" s="6" t="str">
        <f aca="false">HYPERLINK("https://www.google.com/search?q=Nashville+Public+Library+Nashville+TN+library+website","Search")</f>
        <v>Search</v>
      </c>
      <c r="L3229" s="7"/>
      <c r="M3229" s="8" t="str">
        <f aca="false">HYPERLINK("https://nashville.overdrive.com","https://nashville.overdrive.com")</f>
        <v>https://nashville.overdrive.com</v>
      </c>
    </row>
    <row r="3230" customFormat="false" ht="15" hidden="false" customHeight="true" outlineLevel="0" collapsed="false">
      <c r="A3230" s="4" t="s">
        <v>12508</v>
      </c>
      <c r="B3230" s="4" t="s">
        <v>12799</v>
      </c>
      <c r="C3230" s="4" t="s">
        <v>12800</v>
      </c>
      <c r="D3230" s="4" t="s">
        <v>12749</v>
      </c>
      <c r="E3230" s="5" t="n">
        <v>14019</v>
      </c>
      <c r="F3230" s="4" t="n">
        <v>1</v>
      </c>
      <c r="G3230" s="4" t="s">
        <v>12801</v>
      </c>
      <c r="H3230" s="4" t="n">
        <v>36.28754</v>
      </c>
      <c r="I3230" s="4" t="n">
        <v>-88.70584</v>
      </c>
      <c r="J3230" s="4" t="s">
        <v>12802</v>
      </c>
      <c r="K3230" s="6" t="str">
        <f aca="false">HYPERLINK("https://www.google.com/search?q=Ned+R.+Mcwherter+Weakley+County+Library+Dresden+TN+library+website","Search")</f>
        <v>Search</v>
      </c>
      <c r="L3230" s="7"/>
      <c r="M3230" s="7"/>
    </row>
    <row r="3231" customFormat="false" ht="15" hidden="false" customHeight="true" outlineLevel="0" collapsed="false">
      <c r="A3231" s="4" t="s">
        <v>12508</v>
      </c>
      <c r="B3231" s="4" t="s">
        <v>12803</v>
      </c>
      <c r="C3231" s="4" t="s">
        <v>12804</v>
      </c>
      <c r="D3231" s="4" t="s">
        <v>4250</v>
      </c>
      <c r="E3231" s="5" t="n">
        <v>31824</v>
      </c>
      <c r="F3231" s="4" t="n">
        <v>1</v>
      </c>
      <c r="G3231" s="4" t="s">
        <v>12805</v>
      </c>
      <c r="H3231" s="4" t="n">
        <v>36.01412</v>
      </c>
      <c r="I3231" s="4" t="n">
        <v>-84.25838</v>
      </c>
      <c r="J3231" s="4" t="s">
        <v>12806</v>
      </c>
      <c r="K3231" s="6" t="str">
        <f aca="false">HYPERLINK("https://www.google.com/search?q=Oak+Ridge+Public+Library+Oak+Ridge+%28In%29+TN+library+website","Search")</f>
        <v>Search</v>
      </c>
      <c r="L3231" s="7"/>
      <c r="M3231" s="8" t="str">
        <f aca="false">HYPERLINK("https://orpl.overdrive.com","https://orpl.overdrive.com")</f>
        <v>https://orpl.overdrive.com</v>
      </c>
    </row>
    <row r="3232" customFormat="false" ht="15" hidden="false" customHeight="true" outlineLevel="0" collapsed="false">
      <c r="A3232" s="4" t="s">
        <v>12508</v>
      </c>
      <c r="B3232" s="4" t="s">
        <v>12807</v>
      </c>
      <c r="C3232" s="4" t="s">
        <v>9016</v>
      </c>
      <c r="D3232" s="4" t="s">
        <v>12808</v>
      </c>
      <c r="E3232" s="5" t="n">
        <v>30466</v>
      </c>
      <c r="F3232" s="4" t="n">
        <v>1</v>
      </c>
      <c r="G3232" s="4" t="s">
        <v>12809</v>
      </c>
      <c r="H3232" s="4" t="n">
        <v>36.41351</v>
      </c>
      <c r="I3232" s="4" t="n">
        <v>-89.04529</v>
      </c>
      <c r="J3232" s="4" t="s">
        <v>12810</v>
      </c>
      <c r="K3232" s="6" t="str">
        <f aca="false">HYPERLINK("https://www.google.com/search?q=Obion+County+Public+Library+Union+City+TN+library+website","Search")</f>
        <v>Search</v>
      </c>
      <c r="L3232" s="7"/>
      <c r="M3232" s="7"/>
    </row>
    <row r="3233" customFormat="false" ht="15" hidden="false" customHeight="true" outlineLevel="0" collapsed="false">
      <c r="A3233" s="4" t="s">
        <v>12508</v>
      </c>
      <c r="B3233" s="4" t="s">
        <v>9917</v>
      </c>
      <c r="C3233" s="4" t="s">
        <v>9441</v>
      </c>
      <c r="D3233" s="4" t="s">
        <v>2895</v>
      </c>
      <c r="E3233" s="5" t="n">
        <v>13825</v>
      </c>
      <c r="F3233" s="4" t="n">
        <v>1</v>
      </c>
      <c r="G3233" s="4" t="s">
        <v>12811</v>
      </c>
      <c r="H3233" s="4" t="n">
        <v>36.49903</v>
      </c>
      <c r="I3233" s="4" t="n">
        <v>-84.51287</v>
      </c>
      <c r="J3233" s="4" t="s">
        <v>12812</v>
      </c>
      <c r="K3233" s="6" t="str">
        <f aca="false">HYPERLINK("https://www.google.com/search?q=Oneida+Public+Library+Oneida+TN+library+website","Search")</f>
        <v>Search</v>
      </c>
      <c r="L3233" s="7"/>
      <c r="M3233" s="7"/>
    </row>
    <row r="3234" customFormat="false" ht="15" hidden="false" customHeight="true" outlineLevel="0" collapsed="false">
      <c r="A3234" s="4" t="s">
        <v>12508</v>
      </c>
      <c r="B3234" s="4" t="s">
        <v>12813</v>
      </c>
      <c r="C3234" s="4" t="s">
        <v>12719</v>
      </c>
      <c r="D3234" s="4" t="s">
        <v>12719</v>
      </c>
      <c r="E3234" s="5" t="n">
        <v>15244</v>
      </c>
      <c r="F3234" s="4" t="n">
        <v>1</v>
      </c>
      <c r="G3234" s="4" t="s">
        <v>12814</v>
      </c>
      <c r="H3234" s="4" t="n">
        <v>35.689</v>
      </c>
      <c r="I3234" s="4" t="n">
        <v>-84.26386</v>
      </c>
      <c r="J3234" s="4" t="s">
        <v>12815</v>
      </c>
      <c r="K3234" s="6" t="str">
        <f aca="false">HYPERLINK("https://www.google.com/search?q=Public+Library+At+Tellico+Village+Loudon+TN+library+website","Search")</f>
        <v>Search</v>
      </c>
      <c r="L3234" s="7"/>
      <c r="M3234" s="7"/>
    </row>
    <row r="3235" customFormat="false" ht="15" hidden="false" customHeight="true" outlineLevel="0" collapsed="false">
      <c r="A3235" s="4" t="s">
        <v>12508</v>
      </c>
      <c r="B3235" s="4" t="s">
        <v>12816</v>
      </c>
      <c r="C3235" s="4" t="s">
        <v>12817</v>
      </c>
      <c r="D3235" s="4" t="s">
        <v>4589</v>
      </c>
      <c r="E3235" s="5" t="n">
        <v>81188</v>
      </c>
      <c r="F3235" s="4" t="n">
        <v>4</v>
      </c>
      <c r="G3235" s="4" t="s">
        <v>12818</v>
      </c>
      <c r="H3235" s="4" t="n">
        <v>36.16322</v>
      </c>
      <c r="I3235" s="4" t="n">
        <v>-85.5042</v>
      </c>
      <c r="J3235" s="4" t="s">
        <v>12819</v>
      </c>
      <c r="K3235" s="6" t="str">
        <f aca="false">HYPERLINK("https://www.google.com/search?q=Putnam+County+Library+Cookeville+TN+library+website","Search")</f>
        <v>Search</v>
      </c>
      <c r="L3235" s="7"/>
      <c r="M3235" s="7"/>
    </row>
    <row r="3236" customFormat="false" ht="15" hidden="false" customHeight="true" outlineLevel="0" collapsed="false">
      <c r="A3236" s="4" t="s">
        <v>12508</v>
      </c>
      <c r="B3236" s="4" t="s">
        <v>12820</v>
      </c>
      <c r="C3236" s="4" t="s">
        <v>12821</v>
      </c>
      <c r="D3236" s="4" t="s">
        <v>12649</v>
      </c>
      <c r="E3236" s="5" t="n">
        <v>16041</v>
      </c>
      <c r="F3236" s="4" t="n">
        <v>1</v>
      </c>
      <c r="G3236" s="4" t="s">
        <v>12822</v>
      </c>
      <c r="H3236" s="4" t="n">
        <v>35.86867</v>
      </c>
      <c r="I3236" s="4" t="n">
        <v>-84.68556</v>
      </c>
      <c r="J3236" s="4" t="s">
        <v>12823</v>
      </c>
      <c r="K3236" s="6" t="str">
        <f aca="false">HYPERLINK("https://www.google.com/search?q=Rockwood+Public+Library+Rockwood+TN+library+website","Search")</f>
        <v>Search</v>
      </c>
      <c r="L3236" s="7"/>
      <c r="M3236" s="7"/>
    </row>
    <row r="3237" customFormat="false" ht="15" hidden="false" customHeight="true" outlineLevel="0" collapsed="false">
      <c r="A3237" s="4" t="s">
        <v>12508</v>
      </c>
      <c r="B3237" s="4" t="s">
        <v>12824</v>
      </c>
      <c r="C3237" s="4" t="s">
        <v>12825</v>
      </c>
      <c r="D3237" s="4" t="s">
        <v>8139</v>
      </c>
      <c r="E3237" s="5" t="n">
        <v>313091</v>
      </c>
      <c r="F3237" s="4" t="n">
        <v>6</v>
      </c>
      <c r="G3237" s="4" t="s">
        <v>12826</v>
      </c>
      <c r="H3237" s="4" t="n">
        <v>35.85754</v>
      </c>
      <c r="I3237" s="4" t="n">
        <v>-86.38002</v>
      </c>
      <c r="J3237" s="4" t="s">
        <v>12827</v>
      </c>
      <c r="K3237" s="6" t="str">
        <f aca="false">HYPERLINK("https://www.google.com/search?q=Rutherford+County+Library+System+Murfreesboro+TN+library+website","Search")</f>
        <v>Search</v>
      </c>
      <c r="L3237" s="7"/>
      <c r="M3237" s="7"/>
    </row>
    <row r="3238" customFormat="false" ht="15" hidden="false" customHeight="true" outlineLevel="0" collapsed="false">
      <c r="A3238" s="4" t="s">
        <v>12508</v>
      </c>
      <c r="B3238" s="4" t="s">
        <v>12828</v>
      </c>
      <c r="C3238" s="4" t="s">
        <v>5970</v>
      </c>
      <c r="D3238" s="4" t="s">
        <v>53</v>
      </c>
      <c r="E3238" s="5" t="n">
        <v>14448</v>
      </c>
      <c r="F3238" s="4" t="n">
        <v>1</v>
      </c>
      <c r="G3238" s="4" t="s">
        <v>12829</v>
      </c>
      <c r="H3238" s="4" t="n">
        <v>35.29535</v>
      </c>
      <c r="I3238" s="4" t="n">
        <v>-89.66367</v>
      </c>
      <c r="J3238" s="4" t="s">
        <v>12830</v>
      </c>
      <c r="K3238" s="6" t="str">
        <f aca="false">HYPERLINK("https://www.google.com/search?q=Sam+T.+Wilson+Public+Library+Arlington+TN+library+website","Search")</f>
        <v>Search</v>
      </c>
      <c r="L3238" s="7"/>
      <c r="M3238" s="7"/>
    </row>
    <row r="3239" customFormat="false" ht="15" hidden="false" customHeight="true" outlineLevel="0" collapsed="false">
      <c r="A3239" s="4" t="s">
        <v>12508</v>
      </c>
      <c r="B3239" s="4" t="s">
        <v>12831</v>
      </c>
      <c r="C3239" s="4" t="s">
        <v>12832</v>
      </c>
      <c r="D3239" s="4" t="s">
        <v>12833</v>
      </c>
      <c r="E3239" s="5" t="n">
        <v>16396</v>
      </c>
      <c r="F3239" s="4" t="n">
        <v>1</v>
      </c>
      <c r="G3239" s="4" t="s">
        <v>12834</v>
      </c>
      <c r="H3239" s="4" t="n">
        <v>35.37167</v>
      </c>
      <c r="I3239" s="4" t="n">
        <v>-85.39084</v>
      </c>
      <c r="J3239" s="4" t="s">
        <v>12835</v>
      </c>
      <c r="K3239" s="6" t="str">
        <f aca="false">HYPERLINK("https://www.google.com/search?q=Sequatchie+County+Public+Library+Dunlap+TN+library+website","Search")</f>
        <v>Search</v>
      </c>
      <c r="L3239" s="7"/>
      <c r="M3239" s="7"/>
    </row>
    <row r="3240" customFormat="false" ht="15" hidden="false" customHeight="true" outlineLevel="0" collapsed="false">
      <c r="A3240" s="4" t="s">
        <v>12508</v>
      </c>
      <c r="B3240" s="4" t="s">
        <v>12836</v>
      </c>
      <c r="C3240" s="4" t="s">
        <v>12837</v>
      </c>
      <c r="D3240" s="4" t="s">
        <v>643</v>
      </c>
      <c r="E3240" s="5" t="n">
        <v>89413</v>
      </c>
      <c r="F3240" s="4" t="n">
        <v>3</v>
      </c>
      <c r="G3240" s="4" t="s">
        <v>12838</v>
      </c>
      <c r="H3240" s="4" t="n">
        <v>35.86379</v>
      </c>
      <c r="I3240" s="4" t="n">
        <v>-83.55887</v>
      </c>
      <c r="J3240" s="4" t="s">
        <v>12839</v>
      </c>
      <c r="K3240" s="6" t="str">
        <f aca="false">HYPERLINK("https://www.google.com/search?q=Sevier+County+Public+Library+System+Sevierville+%28S%29+TN+library+website","Search")</f>
        <v>Search</v>
      </c>
      <c r="L3240" s="7"/>
      <c r="M3240" s="7"/>
    </row>
    <row r="3241" customFormat="false" ht="15" hidden="false" customHeight="true" outlineLevel="0" collapsed="false">
      <c r="A3241" s="4" t="s">
        <v>12508</v>
      </c>
      <c r="B3241" s="4" t="s">
        <v>12840</v>
      </c>
      <c r="C3241" s="4" t="s">
        <v>4606</v>
      </c>
      <c r="D3241" s="4" t="s">
        <v>4269</v>
      </c>
      <c r="E3241" s="5" t="n">
        <v>51119</v>
      </c>
      <c r="F3241" s="4" t="n">
        <v>1</v>
      </c>
      <c r="G3241" s="4" t="s">
        <v>12841</v>
      </c>
      <c r="H3241" s="4" t="n">
        <v>35.48132</v>
      </c>
      <c r="I3241" s="4" t="n">
        <v>-86.45847</v>
      </c>
      <c r="J3241" s="4" t="s">
        <v>12842</v>
      </c>
      <c r="K3241" s="6" t="str">
        <f aca="false">HYPERLINK("https://www.google.com/search?q=Shelbyville-Bedford+County+Public+Library+Shelbyville+TN+library+website","Search")</f>
        <v>Search</v>
      </c>
      <c r="L3241" s="7"/>
      <c r="M3241" s="7"/>
    </row>
    <row r="3242" customFormat="false" ht="15" hidden="false" customHeight="true" outlineLevel="0" collapsed="false">
      <c r="A3242" s="4" t="s">
        <v>12508</v>
      </c>
      <c r="B3242" s="4" t="s">
        <v>12843</v>
      </c>
      <c r="C3242" s="4" t="s">
        <v>12844</v>
      </c>
      <c r="D3242" s="4" t="s">
        <v>12845</v>
      </c>
      <c r="E3242" s="5" t="n">
        <v>20172</v>
      </c>
      <c r="F3242" s="4" t="n">
        <v>2</v>
      </c>
      <c r="G3242" s="4" t="s">
        <v>12846</v>
      </c>
      <c r="H3242" s="4" t="n">
        <v>36.25158</v>
      </c>
      <c r="I3242" s="4" t="n">
        <v>-85.95208</v>
      </c>
      <c r="J3242" s="4" t="s">
        <v>12847</v>
      </c>
      <c r="K3242" s="6" t="str">
        <f aca="false">HYPERLINK("https://www.google.com/search?q=Smith+County+Public+Library+Carthage+%28S%29+TN+library+website","Search")</f>
        <v>Search</v>
      </c>
      <c r="L3242" s="7"/>
      <c r="M3242" s="7"/>
    </row>
    <row r="3243" customFormat="false" ht="15" hidden="false" customHeight="true" outlineLevel="0" collapsed="false">
      <c r="A3243" s="4" t="s">
        <v>12508</v>
      </c>
      <c r="B3243" s="4" t="s">
        <v>12848</v>
      </c>
      <c r="C3243" s="4" t="s">
        <v>6011</v>
      </c>
      <c r="D3243" s="4" t="s">
        <v>197</v>
      </c>
      <c r="E3243" s="5" t="n">
        <v>42832</v>
      </c>
      <c r="F3243" s="4" t="n">
        <v>1</v>
      </c>
      <c r="G3243" s="4" t="s">
        <v>12849</v>
      </c>
      <c r="H3243" s="4" t="n">
        <v>35.24439</v>
      </c>
      <c r="I3243" s="4" t="n">
        <v>-89.35243</v>
      </c>
      <c r="J3243" s="4" t="s">
        <v>12850</v>
      </c>
      <c r="K3243" s="6" t="str">
        <f aca="false">HYPERLINK("https://www.google.com/search?q=Somerville-Fayette+County+Library+Somerville+TN+library+website","Search")</f>
        <v>Search</v>
      </c>
      <c r="L3243" s="7"/>
      <c r="M3243" s="7"/>
    </row>
    <row r="3244" customFormat="false" ht="15" hidden="false" customHeight="true" outlineLevel="0" collapsed="false">
      <c r="A3244" s="4" t="s">
        <v>12508</v>
      </c>
      <c r="B3244" s="4" t="s">
        <v>12851</v>
      </c>
      <c r="C3244" s="4" t="s">
        <v>12852</v>
      </c>
      <c r="D3244" s="4" t="s">
        <v>12554</v>
      </c>
      <c r="E3244" s="5" t="n">
        <v>14695</v>
      </c>
      <c r="F3244" s="4" t="n">
        <v>1</v>
      </c>
      <c r="G3244" s="4" t="s">
        <v>12853</v>
      </c>
      <c r="H3244" s="4" t="n">
        <v>36.09969</v>
      </c>
      <c r="I3244" s="4" t="n">
        <v>-87.11501</v>
      </c>
      <c r="J3244" s="4" t="s">
        <v>12854</v>
      </c>
      <c r="K3244" s="6" t="str">
        <f aca="false">HYPERLINK("https://www.google.com/search?q=South+Cheatham+Public+Library+Kingston+Springs+TN+library+website","Search")</f>
        <v>Search</v>
      </c>
      <c r="L3244" s="7"/>
      <c r="M3244" s="7"/>
    </row>
    <row r="3245" customFormat="false" ht="15" hidden="false" customHeight="true" outlineLevel="0" collapsed="false">
      <c r="A3245" s="4" t="s">
        <v>12508</v>
      </c>
      <c r="B3245" s="4" t="s">
        <v>12855</v>
      </c>
      <c r="C3245" s="4" t="s">
        <v>12856</v>
      </c>
      <c r="D3245" s="4" t="s">
        <v>12754</v>
      </c>
      <c r="E3245" s="5" t="n">
        <v>75556</v>
      </c>
      <c r="F3245" s="4" t="n">
        <v>1</v>
      </c>
      <c r="G3245" s="4" t="s">
        <v>12857</v>
      </c>
      <c r="H3245" s="4" t="n">
        <v>35.74936</v>
      </c>
      <c r="I3245" s="4" t="n">
        <v>-86.93802</v>
      </c>
      <c r="J3245" s="4" t="s">
        <v>12858</v>
      </c>
      <c r="K3245" s="6" t="str">
        <f aca="false">HYPERLINK("https://www.google.com/search?q=Spring+Hill+Public+Library+Spring+Hill+TN+library+website","Search")</f>
        <v>Search</v>
      </c>
      <c r="L3245" s="7"/>
      <c r="M3245" s="7"/>
    </row>
    <row r="3246" customFormat="false" ht="15" hidden="false" customHeight="true" outlineLevel="0" collapsed="false">
      <c r="A3246" s="4" t="s">
        <v>12508</v>
      </c>
      <c r="B3246" s="4" t="s">
        <v>12859</v>
      </c>
      <c r="C3246" s="4" t="s">
        <v>2229</v>
      </c>
      <c r="D3246" s="4" t="s">
        <v>12860</v>
      </c>
      <c r="E3246" s="5" t="n">
        <v>13855</v>
      </c>
      <c r="F3246" s="4" t="n">
        <v>1</v>
      </c>
      <c r="G3246" s="4" t="s">
        <v>12861</v>
      </c>
      <c r="H3246" s="4" t="n">
        <v>36.48594</v>
      </c>
      <c r="I3246" s="4" t="n">
        <v>-87.83113</v>
      </c>
      <c r="J3246" s="4" t="s">
        <v>12862</v>
      </c>
      <c r="K3246" s="6" t="str">
        <f aca="false">HYPERLINK("https://www.google.com/search?q=Stewart+County+Public+Library+Dover+TN+library+website","Search")</f>
        <v>Search</v>
      </c>
      <c r="L3246" s="7"/>
      <c r="M3246" s="7"/>
    </row>
    <row r="3247" customFormat="false" ht="15" hidden="false" customHeight="true" outlineLevel="0" collapsed="false">
      <c r="A3247" s="4" t="s">
        <v>12508</v>
      </c>
      <c r="B3247" s="4" t="s">
        <v>12863</v>
      </c>
      <c r="C3247" s="4" t="s">
        <v>647</v>
      </c>
      <c r="D3247" s="4" t="s">
        <v>12864</v>
      </c>
      <c r="E3247" s="5" t="n">
        <v>29863</v>
      </c>
      <c r="F3247" s="4" t="n">
        <v>1</v>
      </c>
      <c r="G3247" s="4" t="s">
        <v>12865</v>
      </c>
      <c r="H3247" s="4" t="n">
        <v>35.96634</v>
      </c>
      <c r="I3247" s="4" t="n">
        <v>-83.1827</v>
      </c>
      <c r="J3247" s="4" t="s">
        <v>12866</v>
      </c>
      <c r="K3247" s="6" t="str">
        <f aca="false">HYPERLINK("https://www.google.com/search?q=Stokely+Memorial+Library+Newport+TN+library+website","Search")</f>
        <v>Search</v>
      </c>
      <c r="L3247" s="7"/>
      <c r="M3247" s="7"/>
    </row>
    <row r="3248" customFormat="false" ht="15" hidden="false" customHeight="true" outlineLevel="0" collapsed="false">
      <c r="A3248" s="4" t="s">
        <v>12508</v>
      </c>
      <c r="B3248" s="4" t="s">
        <v>12867</v>
      </c>
      <c r="C3248" s="4" t="s">
        <v>3770</v>
      </c>
      <c r="D3248" s="4" t="s">
        <v>12868</v>
      </c>
      <c r="E3248" s="5" t="n">
        <v>59278</v>
      </c>
      <c r="F3248" s="4" t="n">
        <v>1</v>
      </c>
      <c r="G3248" s="4" t="s">
        <v>12869</v>
      </c>
      <c r="H3248" s="4" t="n">
        <v>36.51068</v>
      </c>
      <c r="I3248" s="4" t="n">
        <v>-86.88998</v>
      </c>
      <c r="J3248" s="4" t="s">
        <v>12870</v>
      </c>
      <c r="K3248" s="6" t="str">
        <f aca="false">HYPERLINK("https://www.google.com/search?q=Stokes+Brown+Public+Library+Springfield+TN+library+website","Search")</f>
        <v>Search</v>
      </c>
      <c r="L3248" s="7"/>
      <c r="M3248" s="7"/>
    </row>
    <row r="3249" customFormat="false" ht="15" hidden="false" customHeight="true" outlineLevel="0" collapsed="false">
      <c r="A3249" s="4" t="s">
        <v>12508</v>
      </c>
      <c r="B3249" s="4" t="s">
        <v>4621</v>
      </c>
      <c r="C3249" s="4" t="s">
        <v>12871</v>
      </c>
      <c r="D3249" s="4" t="s">
        <v>4622</v>
      </c>
      <c r="E3249" s="5" t="n">
        <v>76153</v>
      </c>
      <c r="F3249" s="4" t="n">
        <v>5</v>
      </c>
      <c r="G3249" s="4" t="s">
        <v>12872</v>
      </c>
      <c r="H3249" s="4" t="n">
        <v>36.53233</v>
      </c>
      <c r="I3249" s="4" t="n">
        <v>-82.31604</v>
      </c>
      <c r="J3249" s="4" t="s">
        <v>12873</v>
      </c>
      <c r="K3249" s="6" t="str">
        <f aca="false">HYPERLINK("https://www.google.com/search?q=Sullivan+County+Public+Library+Blountville+TN+library+website","Search")</f>
        <v>Search</v>
      </c>
      <c r="L3249" s="7"/>
      <c r="M3249" s="7"/>
    </row>
    <row r="3250" customFormat="false" ht="15" hidden="false" customHeight="true" outlineLevel="0" collapsed="false">
      <c r="A3250" s="4" t="s">
        <v>12508</v>
      </c>
      <c r="B3250" s="4" t="s">
        <v>12874</v>
      </c>
      <c r="C3250" s="4" t="s">
        <v>12875</v>
      </c>
      <c r="D3250" s="4" t="s">
        <v>311</v>
      </c>
      <c r="E3250" s="5" t="n">
        <v>21422</v>
      </c>
      <c r="F3250" s="4" t="n">
        <v>1</v>
      </c>
      <c r="G3250" s="4" t="s">
        <v>12876</v>
      </c>
      <c r="H3250" s="4" t="n">
        <v>35.60266</v>
      </c>
      <c r="I3250" s="4" t="n">
        <v>-84.4616</v>
      </c>
      <c r="J3250" s="4" t="s">
        <v>12877</v>
      </c>
      <c r="K3250" s="6" t="str">
        <f aca="false">HYPERLINK("https://www.google.com/search?q=Sweetwater+Public+Library+Sweetwater+TN+library+website","Search")</f>
        <v>Search</v>
      </c>
      <c r="L3250" s="7"/>
      <c r="M3250" s="7"/>
    </row>
    <row r="3251" customFormat="false" ht="15" hidden="false" customHeight="true" outlineLevel="0" collapsed="false">
      <c r="A3251" s="4" t="s">
        <v>12508</v>
      </c>
      <c r="B3251" s="4" t="s">
        <v>12878</v>
      </c>
      <c r="C3251" s="4" t="s">
        <v>9317</v>
      </c>
      <c r="D3251" s="4" t="s">
        <v>3315</v>
      </c>
      <c r="E3251" s="5" t="n">
        <v>45491</v>
      </c>
      <c r="F3251" s="4" t="n">
        <v>1</v>
      </c>
      <c r="G3251" s="4" t="s">
        <v>12879</v>
      </c>
      <c r="H3251" s="4" t="n">
        <v>35.99461</v>
      </c>
      <c r="I3251" s="4" t="n">
        <v>-86.78957</v>
      </c>
      <c r="J3251" s="4" t="s">
        <v>12880</v>
      </c>
      <c r="K3251" s="6" t="str">
        <f aca="false">HYPERLINK("https://www.google.com/search?q=The+John+P.+Holt+Brentwood+Library+Brentwood+TN+library+website","Search")</f>
        <v>Search</v>
      </c>
      <c r="L3251" s="7"/>
      <c r="M3251" s="7"/>
    </row>
    <row r="3252" customFormat="false" ht="15" hidden="false" customHeight="true" outlineLevel="0" collapsed="false">
      <c r="A3252" s="4" t="s">
        <v>12508</v>
      </c>
      <c r="B3252" s="4" t="s">
        <v>12881</v>
      </c>
      <c r="C3252" s="4" t="s">
        <v>7782</v>
      </c>
      <c r="D3252" s="4" t="s">
        <v>12882</v>
      </c>
      <c r="E3252" s="5" t="n">
        <v>200557</v>
      </c>
      <c r="F3252" s="4" t="n">
        <v>5</v>
      </c>
      <c r="G3252" s="4" t="s">
        <v>12883</v>
      </c>
      <c r="H3252" s="4" t="n">
        <v>36.38854</v>
      </c>
      <c r="I3252" s="4" t="n">
        <v>-86.44545</v>
      </c>
      <c r="J3252" s="4" t="s">
        <v>12884</v>
      </c>
      <c r="K3252" s="6" t="str">
        <f aca="false">HYPERLINK("https://www.google.com/search?q=The+Sumner+County+Library+System+Gallatin+TN+library+website","Search")</f>
        <v>Search</v>
      </c>
      <c r="L3252" s="7"/>
      <c r="M3252" s="7"/>
    </row>
    <row r="3253" customFormat="false" ht="15" hidden="false" customHeight="true" outlineLevel="0" collapsed="false">
      <c r="A3253" s="4" t="s">
        <v>12508</v>
      </c>
      <c r="B3253" s="4" t="s">
        <v>4629</v>
      </c>
      <c r="C3253" s="4" t="s">
        <v>68</v>
      </c>
      <c r="D3253" s="4" t="s">
        <v>4630</v>
      </c>
      <c r="E3253" s="5" t="n">
        <v>34162</v>
      </c>
      <c r="F3253" s="4" t="n">
        <v>1</v>
      </c>
      <c r="G3253" s="4" t="s">
        <v>12885</v>
      </c>
      <c r="H3253" s="4" t="n">
        <v>35.53203</v>
      </c>
      <c r="I3253" s="4" t="n">
        <v>-89.68484</v>
      </c>
      <c r="J3253" s="4" t="s">
        <v>12886</v>
      </c>
      <c r="K3253" s="6" t="str">
        <f aca="false">HYPERLINK("https://www.google.com/search?q=Tipton+County+Public+Library+Covington+TN+library+website","Search")</f>
        <v>Search</v>
      </c>
      <c r="L3253" s="7"/>
      <c r="M3253" s="7"/>
    </row>
    <row r="3254" customFormat="false" ht="15" hidden="false" customHeight="true" outlineLevel="0" collapsed="false">
      <c r="A3254" s="4" t="s">
        <v>12508</v>
      </c>
      <c r="B3254" s="4" t="s">
        <v>12887</v>
      </c>
      <c r="C3254" s="4" t="s">
        <v>12888</v>
      </c>
      <c r="D3254" s="4" t="s">
        <v>12889</v>
      </c>
      <c r="E3254" s="5" t="n">
        <v>17698</v>
      </c>
      <c r="F3254" s="4" t="n">
        <v>1</v>
      </c>
      <c r="G3254" s="4" t="s">
        <v>12890</v>
      </c>
      <c r="H3254" s="4" t="n">
        <v>36.14511</v>
      </c>
      <c r="I3254" s="4" t="n">
        <v>-82.41859</v>
      </c>
      <c r="J3254" s="4" t="s">
        <v>12891</v>
      </c>
      <c r="K3254" s="6" t="str">
        <f aca="false">HYPERLINK("https://www.google.com/search?q=Unicoi+County+Public+Library+Erwin+TN+library+website","Search")</f>
        <v>Search</v>
      </c>
      <c r="L3254" s="7"/>
      <c r="M3254" s="7"/>
    </row>
    <row r="3255" customFormat="false" ht="15" hidden="false" customHeight="true" outlineLevel="0" collapsed="false">
      <c r="A3255" s="4" t="s">
        <v>12508</v>
      </c>
      <c r="B3255" s="4" t="s">
        <v>12892</v>
      </c>
      <c r="C3255" s="4" t="s">
        <v>5131</v>
      </c>
      <c r="D3255" s="4" t="s">
        <v>2715</v>
      </c>
      <c r="E3255" s="5" t="n">
        <v>32239</v>
      </c>
      <c r="F3255" s="4" t="n">
        <v>1</v>
      </c>
      <c r="G3255" s="4" t="s">
        <v>12893</v>
      </c>
      <c r="H3255" s="4" t="n">
        <v>36.30287</v>
      </c>
      <c r="I3255" s="4" t="n">
        <v>-88.32873</v>
      </c>
      <c r="J3255" s="4" t="s">
        <v>12894</v>
      </c>
      <c r="K3255" s="6" t="str">
        <f aca="false">HYPERLINK("https://www.google.com/search?q=W.+G.+Rhea+Public+Library+Paris+TN+library+website","Search")</f>
        <v>Search</v>
      </c>
      <c r="L3255" s="7"/>
      <c r="M3255" s="7"/>
    </row>
    <row r="3256" customFormat="false" ht="15" hidden="false" customHeight="true" outlineLevel="0" collapsed="false">
      <c r="A3256" s="4" t="s">
        <v>12508</v>
      </c>
      <c r="B3256" s="4" t="s">
        <v>12895</v>
      </c>
      <c r="C3256" s="4" t="s">
        <v>12896</v>
      </c>
      <c r="D3256" s="4" t="s">
        <v>156</v>
      </c>
      <c r="E3256" s="5" t="n">
        <v>10840</v>
      </c>
      <c r="F3256" s="4" t="n">
        <v>1</v>
      </c>
      <c r="G3256" s="4" t="s">
        <v>12897</v>
      </c>
      <c r="H3256" s="4" t="n">
        <v>36.10389</v>
      </c>
      <c r="I3256" s="4" t="n">
        <v>-84.59733</v>
      </c>
      <c r="J3256" s="4" t="s">
        <v>12898</v>
      </c>
      <c r="K3256" s="6" t="str">
        <f aca="false">HYPERLINK("https://www.google.com/search?q=Wartburg+Public+Library+Wartburg+TN+library+website","Search")</f>
        <v>Search</v>
      </c>
      <c r="L3256" s="7"/>
      <c r="M3256" s="7"/>
    </row>
    <row r="3257" customFormat="false" ht="15" hidden="false" customHeight="true" outlineLevel="0" collapsed="false">
      <c r="A3257" s="4" t="s">
        <v>12508</v>
      </c>
      <c r="B3257" s="4" t="s">
        <v>439</v>
      </c>
      <c r="C3257" s="4" t="s">
        <v>12899</v>
      </c>
      <c r="D3257" s="4" t="s">
        <v>441</v>
      </c>
      <c r="E3257" s="5" t="n">
        <v>62958</v>
      </c>
      <c r="F3257" s="4" t="n">
        <v>2</v>
      </c>
      <c r="G3257" s="4" t="s">
        <v>12900</v>
      </c>
      <c r="H3257" s="4" t="n">
        <v>36.29593</v>
      </c>
      <c r="I3257" s="4" t="n">
        <v>-82.47252</v>
      </c>
      <c r="J3257" s="4" t="s">
        <v>12901</v>
      </c>
      <c r="K3257" s="6" t="str">
        <f aca="false">HYPERLINK("https://www.google.com/search?q=Washington+County+Public+Library+Jonesborough+TN+library+website","Search")</f>
        <v>Search</v>
      </c>
      <c r="L3257" s="7"/>
      <c r="M3257" s="7"/>
    </row>
    <row r="3258" customFormat="false" ht="15" hidden="false" customHeight="true" outlineLevel="0" collapsed="false">
      <c r="A3258" s="4" t="s">
        <v>12508</v>
      </c>
      <c r="B3258" s="4" t="s">
        <v>5197</v>
      </c>
      <c r="C3258" s="4" t="s">
        <v>12902</v>
      </c>
      <c r="D3258" s="4" t="s">
        <v>2849</v>
      </c>
      <c r="E3258" s="5" t="n">
        <v>16409</v>
      </c>
      <c r="F3258" s="4" t="n">
        <v>3</v>
      </c>
      <c r="G3258" s="4" t="s">
        <v>12903</v>
      </c>
      <c r="H3258" s="4" t="n">
        <v>35.32337</v>
      </c>
      <c r="I3258" s="4" t="n">
        <v>-87.74478</v>
      </c>
      <c r="J3258" s="4" t="s">
        <v>12904</v>
      </c>
      <c r="K3258" s="6" t="str">
        <f aca="false">HYPERLINK("https://www.google.com/search?q=Wayne+County+Public+Library+Waynesboro+%28S%29+TN+library+website","Search")</f>
        <v>Search</v>
      </c>
      <c r="L3258" s="7"/>
      <c r="M3258" s="7"/>
    </row>
    <row r="3259" customFormat="false" ht="15" hidden="false" customHeight="true" outlineLevel="0" collapsed="false">
      <c r="A3259" s="4" t="s">
        <v>12508</v>
      </c>
      <c r="B3259" s="4" t="s">
        <v>12905</v>
      </c>
      <c r="C3259" s="4" t="s">
        <v>477</v>
      </c>
      <c r="D3259" s="4" t="s">
        <v>2523</v>
      </c>
      <c r="E3259" s="5" t="n">
        <v>11094</v>
      </c>
      <c r="F3259" s="4" t="n">
        <v>1</v>
      </c>
      <c r="G3259" s="4" t="s">
        <v>12906</v>
      </c>
      <c r="H3259" s="4" t="n">
        <v>35.1672</v>
      </c>
      <c r="I3259" s="4" t="n">
        <v>-84.65768</v>
      </c>
      <c r="J3259" s="4" t="s">
        <v>12907</v>
      </c>
      <c r="K3259" s="6" t="str">
        <f aca="false">HYPERLINK("https://www.google.com/search?q=West+Polk+Public+Library+Benton+TN+library+website","Search")</f>
        <v>Search</v>
      </c>
      <c r="L3259" s="7"/>
      <c r="M3259" s="7"/>
    </row>
    <row r="3260" customFormat="false" ht="15" hidden="false" customHeight="true" outlineLevel="0" collapsed="false">
      <c r="A3260" s="4" t="s">
        <v>12508</v>
      </c>
      <c r="B3260" s="4" t="s">
        <v>12908</v>
      </c>
      <c r="C3260" s="4" t="s">
        <v>8985</v>
      </c>
      <c r="D3260" s="4" t="s">
        <v>660</v>
      </c>
      <c r="E3260" s="5" t="n">
        <v>27650</v>
      </c>
      <c r="F3260" s="4" t="n">
        <v>1</v>
      </c>
      <c r="G3260" s="4" t="s">
        <v>12909</v>
      </c>
      <c r="H3260" s="4" t="n">
        <v>35.92639</v>
      </c>
      <c r="I3260" s="4" t="n">
        <v>-85.46529</v>
      </c>
      <c r="J3260" s="4" t="s">
        <v>12910</v>
      </c>
      <c r="K3260" s="6" t="str">
        <f aca="false">HYPERLINK("https://www.google.com/search?q=White+County+Public+Library+Sparta+TN+library+website","Search")</f>
        <v>Search</v>
      </c>
      <c r="L3260" s="7"/>
      <c r="M3260" s="7"/>
    </row>
    <row r="3261" customFormat="false" ht="15" hidden="false" customHeight="true" outlineLevel="0" collapsed="false">
      <c r="A3261" s="4" t="s">
        <v>12508</v>
      </c>
      <c r="B3261" s="4" t="s">
        <v>12911</v>
      </c>
      <c r="C3261" s="4" t="s">
        <v>12912</v>
      </c>
      <c r="D3261" s="4" t="s">
        <v>12868</v>
      </c>
      <c r="E3261" s="5" t="n">
        <v>14820</v>
      </c>
      <c r="F3261" s="4" t="n">
        <v>1</v>
      </c>
      <c r="G3261" s="4" t="s">
        <v>12913</v>
      </c>
      <c r="H3261" s="4" t="n">
        <v>36.46827</v>
      </c>
      <c r="I3261" s="4" t="n">
        <v>-86.6519</v>
      </c>
      <c r="J3261" s="4" t="s">
        <v>12914</v>
      </c>
      <c r="K3261" s="6" t="str">
        <f aca="false">HYPERLINK("https://www.google.com/search?q=White+House+Public+Library+White+House+TN+library+website","Search")</f>
        <v>Search</v>
      </c>
      <c r="L3261" s="7"/>
      <c r="M3261" s="7"/>
    </row>
    <row r="3262" customFormat="false" ht="15" hidden="false" customHeight="true" outlineLevel="0" collapsed="false">
      <c r="A3262" s="4" t="s">
        <v>12508</v>
      </c>
      <c r="B3262" s="4" t="s">
        <v>12915</v>
      </c>
      <c r="C3262" s="4" t="s">
        <v>9241</v>
      </c>
      <c r="D3262" s="4" t="s">
        <v>98</v>
      </c>
      <c r="E3262" s="5" t="n">
        <v>11125</v>
      </c>
      <c r="F3262" s="4" t="n">
        <v>1</v>
      </c>
      <c r="G3262" s="4" t="s">
        <v>12916</v>
      </c>
      <c r="H3262" s="4" t="n">
        <v>36.10834</v>
      </c>
      <c r="I3262" s="4" t="n">
        <v>-83.28606</v>
      </c>
      <c r="J3262" s="4" t="s">
        <v>12917</v>
      </c>
      <c r="K3262" s="6" t="str">
        <f aca="false">HYPERLINK("https://www.google.com/search?q=White+Pine+Public+Library+White+Pine+TN+library+website","Search")</f>
        <v>Search</v>
      </c>
      <c r="L3262" s="7"/>
      <c r="M3262" s="7"/>
    </row>
    <row r="3263" customFormat="false" ht="15" hidden="false" customHeight="true" outlineLevel="0" collapsed="false">
      <c r="A3263" s="4" t="s">
        <v>12508</v>
      </c>
      <c r="B3263" s="4" t="s">
        <v>12918</v>
      </c>
      <c r="C3263" s="4" t="s">
        <v>384</v>
      </c>
      <c r="D3263" s="4" t="s">
        <v>3315</v>
      </c>
      <c r="E3263" s="5" t="n">
        <v>156681</v>
      </c>
      <c r="F3263" s="4" t="n">
        <v>6</v>
      </c>
      <c r="G3263" s="4" t="s">
        <v>12919</v>
      </c>
      <c r="H3263" s="4" t="n">
        <v>35.91464</v>
      </c>
      <c r="I3263" s="4" t="n">
        <v>-86.87374</v>
      </c>
      <c r="J3263" s="4" t="s">
        <v>12920</v>
      </c>
      <c r="K3263" s="6" t="str">
        <f aca="false">HYPERLINK("https://www.google.com/search?q=Williamson+County+Public+Library+Franklin+TN+library+website","Search")</f>
        <v>Search</v>
      </c>
      <c r="L3263" s="7"/>
      <c r="M3263" s="7"/>
    </row>
    <row r="3264" customFormat="false" ht="15" hidden="false" customHeight="true" outlineLevel="0" collapsed="false">
      <c r="A3264" s="4" t="s">
        <v>12921</v>
      </c>
      <c r="B3264" s="4" t="s">
        <v>12922</v>
      </c>
      <c r="C3264" s="4" t="s">
        <v>12923</v>
      </c>
      <c r="D3264" s="4" t="s">
        <v>5179</v>
      </c>
      <c r="E3264" s="5" t="n">
        <v>125070</v>
      </c>
      <c r="F3264" s="4" t="n">
        <v>3</v>
      </c>
      <c r="G3264" s="4" t="s">
        <v>12924</v>
      </c>
      <c r="H3264" s="4" t="n">
        <v>32.45095</v>
      </c>
      <c r="I3264" s="4" t="n">
        <v>-99.73536</v>
      </c>
      <c r="J3264" s="4" t="s">
        <v>12925</v>
      </c>
      <c r="K3264" s="6" t="str">
        <f aca="false">HYPERLINK("https://www.google.com/search?q=Abilene+Public+Library+Abilene+TX+library+website","Search")</f>
        <v>Search</v>
      </c>
      <c r="L3264" s="7"/>
      <c r="M3264" s="8" t="str">
        <f aca="false">HYPERLINK("https://abilenetx.overdrive.com","https://abilenetx.overdrive.com")</f>
        <v>https://abilenetx.overdrive.com</v>
      </c>
    </row>
    <row r="3265" customFormat="false" ht="15" hidden="false" customHeight="true" outlineLevel="0" collapsed="false">
      <c r="A3265" s="4" t="s">
        <v>12921</v>
      </c>
      <c r="B3265" s="4" t="s">
        <v>12926</v>
      </c>
      <c r="C3265" s="4" t="s">
        <v>3845</v>
      </c>
      <c r="D3265" s="4" t="s">
        <v>4725</v>
      </c>
      <c r="E3265" s="5" t="n">
        <v>51507</v>
      </c>
      <c r="F3265" s="4" t="n">
        <v>1</v>
      </c>
      <c r="G3265" s="4" t="s">
        <v>12927</v>
      </c>
      <c r="H3265" s="4" t="n">
        <v>32.47167</v>
      </c>
      <c r="I3265" s="4" t="n">
        <v>-96.99349</v>
      </c>
      <c r="J3265" s="4" t="s">
        <v>12928</v>
      </c>
      <c r="K3265" s="6" t="str">
        <f aca="false">HYPERLINK("https://www.google.com/search?q=Ah+Meadows+Library+Midlothian+TX+library+website","Search")</f>
        <v>Search</v>
      </c>
      <c r="L3265" s="7"/>
      <c r="M3265" s="7"/>
    </row>
    <row r="3266" customFormat="false" ht="15" hidden="false" customHeight="true" outlineLevel="0" collapsed="false">
      <c r="A3266" s="4" t="s">
        <v>12921</v>
      </c>
      <c r="B3266" s="4" t="s">
        <v>12929</v>
      </c>
      <c r="C3266" s="4" t="s">
        <v>12930</v>
      </c>
      <c r="D3266" s="4" t="s">
        <v>12931</v>
      </c>
      <c r="E3266" s="5" t="n">
        <v>24133</v>
      </c>
      <c r="F3266" s="4" t="n">
        <v>2</v>
      </c>
      <c r="G3266" s="4" t="s">
        <v>12932</v>
      </c>
      <c r="H3266" s="4" t="n">
        <v>27.75316</v>
      </c>
      <c r="I3266" s="4" t="n">
        <v>-98.0728</v>
      </c>
      <c r="J3266" s="4" t="s">
        <v>12933</v>
      </c>
      <c r="K3266" s="6" t="str">
        <f aca="false">HYPERLINK("https://www.google.com/search?q=Alicia+Salinas+Public+Library+Alice+TX+library+website","Search")</f>
        <v>Search</v>
      </c>
      <c r="L3266" s="7"/>
      <c r="M3266" s="7"/>
    </row>
    <row r="3267" customFormat="false" ht="15" hidden="false" customHeight="true" outlineLevel="0" collapsed="false">
      <c r="A3267" s="4" t="s">
        <v>12921</v>
      </c>
      <c r="B3267" s="4" t="s">
        <v>12934</v>
      </c>
      <c r="C3267" s="4" t="s">
        <v>12935</v>
      </c>
      <c r="D3267" s="4" t="s">
        <v>12936</v>
      </c>
      <c r="E3267" s="5" t="n">
        <v>20077</v>
      </c>
      <c r="F3267" s="4" t="n">
        <v>1</v>
      </c>
      <c r="G3267" s="4" t="s">
        <v>12937</v>
      </c>
      <c r="H3267" s="4" t="n">
        <v>30.77761</v>
      </c>
      <c r="I3267" s="4" t="n">
        <v>-94.41604</v>
      </c>
      <c r="J3267" s="4" t="s">
        <v>12938</v>
      </c>
      <c r="K3267" s="6" t="str">
        <f aca="false">HYPERLINK("https://www.google.com/search?q=Allan+Shivers+Library+%26+Museum+Woodville+TX+library+website","Search")</f>
        <v>Search</v>
      </c>
      <c r="L3267" s="7"/>
      <c r="M3267" s="7"/>
    </row>
    <row r="3268" customFormat="false" ht="15" hidden="false" customHeight="true" outlineLevel="0" collapsed="false">
      <c r="A3268" s="4" t="s">
        <v>12921</v>
      </c>
      <c r="B3268" s="4" t="s">
        <v>12939</v>
      </c>
      <c r="C3268" s="4" t="s">
        <v>4246</v>
      </c>
      <c r="D3268" s="4" t="s">
        <v>12940</v>
      </c>
      <c r="E3268" s="5" t="n">
        <v>106874</v>
      </c>
      <c r="F3268" s="4" t="n">
        <v>1</v>
      </c>
      <c r="G3268" s="4" t="s">
        <v>12941</v>
      </c>
      <c r="H3268" s="4" t="n">
        <v>33.10551</v>
      </c>
      <c r="I3268" s="4" t="n">
        <v>-96.67139</v>
      </c>
      <c r="J3268" s="4" t="s">
        <v>12942</v>
      </c>
      <c r="K3268" s="6" t="str">
        <f aca="false">HYPERLINK("https://www.google.com/search?q=Allen+Public+Library+Allen+TX+library+website","Search")</f>
        <v>Search</v>
      </c>
      <c r="L3268" s="7"/>
      <c r="M3268" s="7"/>
    </row>
    <row r="3269" customFormat="false" ht="15" hidden="false" customHeight="true" outlineLevel="0" collapsed="false">
      <c r="A3269" s="4" t="s">
        <v>12921</v>
      </c>
      <c r="B3269" s="4" t="s">
        <v>12943</v>
      </c>
      <c r="C3269" s="4" t="s">
        <v>12944</v>
      </c>
      <c r="D3269" s="4" t="s">
        <v>11462</v>
      </c>
      <c r="E3269" s="5" t="n">
        <v>201234</v>
      </c>
      <c r="F3269" s="4" t="n">
        <v>5</v>
      </c>
      <c r="G3269" s="4" t="s">
        <v>12945</v>
      </c>
      <c r="H3269" s="4" t="n">
        <v>35.20987</v>
      </c>
      <c r="I3269" s="4" t="n">
        <v>-101.83213</v>
      </c>
      <c r="J3269" s="4" t="s">
        <v>12946</v>
      </c>
      <c r="K3269" s="6" t="str">
        <f aca="false">HYPERLINK("https://www.google.com/search?q=Amarillo+Public+Library+Amarillo+TX+library+website","Search")</f>
        <v>Search</v>
      </c>
      <c r="L3269" s="7"/>
      <c r="M3269" s="7"/>
    </row>
    <row r="3270" customFormat="false" ht="15" hidden="false" customHeight="true" outlineLevel="0" collapsed="false">
      <c r="A3270" s="4" t="s">
        <v>12921</v>
      </c>
      <c r="B3270" s="4" t="s">
        <v>12947</v>
      </c>
      <c r="C3270" s="4" t="s">
        <v>12948</v>
      </c>
      <c r="D3270" s="4" t="s">
        <v>12948</v>
      </c>
      <c r="E3270" s="5" t="n">
        <v>18440</v>
      </c>
      <c r="F3270" s="4" t="n">
        <v>1</v>
      </c>
      <c r="G3270" s="4" t="s">
        <v>12949</v>
      </c>
      <c r="H3270" s="4" t="n">
        <v>32.31908</v>
      </c>
      <c r="I3270" s="4" t="n">
        <v>-102.548</v>
      </c>
      <c r="J3270" s="4" t="s">
        <v>12950</v>
      </c>
      <c r="K3270" s="6" t="str">
        <f aca="false">HYPERLINK("https://www.google.com/search?q=Andrews+County+Library+Andrews+TX+library+website","Search")</f>
        <v>Search</v>
      </c>
      <c r="L3270" s="7"/>
      <c r="M3270" s="7"/>
    </row>
    <row r="3271" customFormat="false" ht="15" hidden="false" customHeight="true" outlineLevel="0" collapsed="false">
      <c r="A3271" s="4" t="s">
        <v>12921</v>
      </c>
      <c r="B3271" s="4" t="s">
        <v>12951</v>
      </c>
      <c r="C3271" s="4" t="s">
        <v>12952</v>
      </c>
      <c r="D3271" s="4" t="s">
        <v>12953</v>
      </c>
      <c r="E3271" s="5" t="n">
        <v>23829</v>
      </c>
      <c r="F3271" s="4" t="n">
        <v>1</v>
      </c>
      <c r="G3271" s="4" t="s">
        <v>12954</v>
      </c>
      <c r="H3271" s="4" t="n">
        <v>28.02631</v>
      </c>
      <c r="I3271" s="4" t="n">
        <v>-97.05401</v>
      </c>
      <c r="J3271" s="4" t="s">
        <v>12955</v>
      </c>
      <c r="K3271" s="6" t="str">
        <f aca="false">HYPERLINK("https://www.google.com/search?q=Aransas+County+Public+Library+Rockport+TX+library+website","Search")</f>
        <v>Search</v>
      </c>
      <c r="L3271" s="7"/>
      <c r="M3271" s="7"/>
    </row>
    <row r="3272" customFormat="false" ht="15" hidden="false" customHeight="true" outlineLevel="0" collapsed="false">
      <c r="A3272" s="4" t="s">
        <v>12921</v>
      </c>
      <c r="B3272" s="4" t="s">
        <v>12956</v>
      </c>
      <c r="C3272" s="4" t="s">
        <v>5970</v>
      </c>
      <c r="D3272" s="4" t="s">
        <v>12957</v>
      </c>
      <c r="E3272" s="5" t="n">
        <v>392786</v>
      </c>
      <c r="F3272" s="4" t="n">
        <v>7</v>
      </c>
      <c r="G3272" s="4" t="s">
        <v>12958</v>
      </c>
      <c r="H3272" s="4" t="n">
        <v>32.73563</v>
      </c>
      <c r="I3272" s="4" t="n">
        <v>-97.10774</v>
      </c>
      <c r="J3272" s="4" t="s">
        <v>12959</v>
      </c>
      <c r="K3272" s="6" t="str">
        <f aca="false">HYPERLINK("https://www.google.com/search?q=Arlington+Public+Library+System+Arlington+TX+library+website","Search")</f>
        <v>Search</v>
      </c>
      <c r="L3272" s="7"/>
      <c r="M3272" s="8" t="str">
        <f aca="false">HYPERLINK("https://arlington.overdrive.com","https://arlington.overdrive.com")</f>
        <v>https://arlington.overdrive.com</v>
      </c>
    </row>
    <row r="3273" customFormat="false" ht="15" hidden="false" customHeight="true" outlineLevel="0" collapsed="false">
      <c r="A3273" s="4" t="s">
        <v>12921</v>
      </c>
      <c r="B3273" s="4" t="s">
        <v>12960</v>
      </c>
      <c r="C3273" s="4" t="s">
        <v>12961</v>
      </c>
      <c r="D3273" s="4" t="s">
        <v>6181</v>
      </c>
      <c r="E3273" s="5" t="n">
        <v>21919</v>
      </c>
      <c r="F3273" s="4" t="n">
        <v>1</v>
      </c>
      <c r="G3273" s="4" t="s">
        <v>12962</v>
      </c>
      <c r="H3273" s="4" t="n">
        <v>33.29016</v>
      </c>
      <c r="I3273" s="4" t="n">
        <v>-96.99065</v>
      </c>
      <c r="J3273" s="4" t="s">
        <v>12963</v>
      </c>
      <c r="K3273" s="6" t="str">
        <f aca="false">HYPERLINK("https://www.google.com/search?q=Aubrey+Area+Library+Aubrey+TX+library+website","Search")</f>
        <v>Search</v>
      </c>
      <c r="L3273" s="7"/>
      <c r="M3273" s="7"/>
    </row>
    <row r="3274" customFormat="false" ht="15" hidden="false" customHeight="true" outlineLevel="0" collapsed="false">
      <c r="A3274" s="4" t="s">
        <v>12921</v>
      </c>
      <c r="B3274" s="4" t="s">
        <v>12964</v>
      </c>
      <c r="C3274" s="4" t="s">
        <v>12965</v>
      </c>
      <c r="D3274" s="4" t="s">
        <v>7137</v>
      </c>
      <c r="E3274" s="5" t="n">
        <v>15149</v>
      </c>
      <c r="F3274" s="4" t="n">
        <v>3</v>
      </c>
      <c r="G3274" s="4" t="s">
        <v>12966</v>
      </c>
      <c r="H3274" s="4" t="n">
        <v>29.63296</v>
      </c>
      <c r="I3274" s="4" t="n">
        <v>-96.06719</v>
      </c>
      <c r="J3274" s="4" t="s">
        <v>12967</v>
      </c>
      <c r="K3274" s="6" t="str">
        <f aca="false">HYPERLINK("https://www.google.com/search?q=Austin+County+Library+System+Wallis+TX+library+website","Search")</f>
        <v>Search</v>
      </c>
      <c r="L3274" s="7"/>
      <c r="M3274" s="7"/>
    </row>
    <row r="3275" customFormat="false" ht="15" hidden="false" customHeight="true" outlineLevel="0" collapsed="false">
      <c r="A3275" s="4" t="s">
        <v>12921</v>
      </c>
      <c r="B3275" s="4" t="s">
        <v>7136</v>
      </c>
      <c r="C3275" s="4" t="s">
        <v>7137</v>
      </c>
      <c r="D3275" s="4" t="s">
        <v>12968</v>
      </c>
      <c r="E3275" s="5" t="n">
        <v>964177</v>
      </c>
      <c r="F3275" s="4" t="n">
        <v>22</v>
      </c>
      <c r="G3275" s="4" t="s">
        <v>12969</v>
      </c>
      <c r="H3275" s="4" t="n">
        <v>30.2655</v>
      </c>
      <c r="I3275" s="4" t="n">
        <v>-97.75186</v>
      </c>
      <c r="J3275" s="4" t="s">
        <v>12970</v>
      </c>
      <c r="K3275" s="6" t="str">
        <f aca="false">HYPERLINK("https://www.google.com/search?q=Austin+Public+Library+Austin+TX+library+website","Search")</f>
        <v>Search</v>
      </c>
      <c r="L3275" s="7"/>
      <c r="M3275" s="7"/>
    </row>
    <row r="3276" customFormat="false" ht="15" hidden="false" customHeight="true" outlineLevel="0" collapsed="false">
      <c r="A3276" s="4" t="s">
        <v>12921</v>
      </c>
      <c r="B3276" s="4" t="s">
        <v>12971</v>
      </c>
      <c r="C3276" s="4" t="s">
        <v>12972</v>
      </c>
      <c r="D3276" s="4" t="s">
        <v>12973</v>
      </c>
      <c r="E3276" s="5" t="n">
        <v>19950</v>
      </c>
      <c r="F3276" s="4" t="n">
        <v>1</v>
      </c>
      <c r="G3276" s="4" t="s">
        <v>12974</v>
      </c>
      <c r="H3276" s="4" t="n">
        <v>32.89604</v>
      </c>
      <c r="I3276" s="4" t="n">
        <v>-97.54686</v>
      </c>
      <c r="J3276" s="4" t="s">
        <v>12975</v>
      </c>
      <c r="K3276" s="6" t="str">
        <f aca="false">HYPERLINK("https://www.google.com/search?q=Azle+Memorial+Library+Azle+TX+library+website","Search")</f>
        <v>Search</v>
      </c>
      <c r="L3276" s="7"/>
      <c r="M3276" s="7"/>
    </row>
    <row r="3277" customFormat="false" ht="15" hidden="false" customHeight="true" outlineLevel="0" collapsed="false">
      <c r="A3277" s="4" t="s">
        <v>12921</v>
      </c>
      <c r="B3277" s="4" t="s">
        <v>12976</v>
      </c>
      <c r="C3277" s="4" t="s">
        <v>12977</v>
      </c>
      <c r="D3277" s="4" t="s">
        <v>394</v>
      </c>
      <c r="E3277" s="5" t="n">
        <v>27160</v>
      </c>
      <c r="F3277" s="4" t="n">
        <v>1</v>
      </c>
      <c r="G3277" s="4" t="s">
        <v>12978</v>
      </c>
      <c r="H3277" s="4" t="n">
        <v>32.71918</v>
      </c>
      <c r="I3277" s="4" t="n">
        <v>-96.61185</v>
      </c>
      <c r="J3277" s="4" t="s">
        <v>12979</v>
      </c>
      <c r="K3277" s="6" t="str">
        <f aca="false">HYPERLINK("https://www.google.com/search?q=Balch+Springs+Library+-+Learning+Center+Balch+Springs+TX+library+website","Search")</f>
        <v>Search</v>
      </c>
      <c r="L3277" s="7"/>
      <c r="M3277" s="7"/>
    </row>
    <row r="3278" customFormat="false" ht="15" hidden="false" customHeight="true" outlineLevel="0" collapsed="false">
      <c r="A3278" s="4" t="s">
        <v>12921</v>
      </c>
      <c r="B3278" s="4" t="s">
        <v>12980</v>
      </c>
      <c r="C3278" s="4" t="s">
        <v>5336</v>
      </c>
      <c r="D3278" s="4" t="s">
        <v>5336</v>
      </c>
      <c r="E3278" s="5" t="n">
        <v>10434</v>
      </c>
      <c r="F3278" s="4" t="n">
        <v>1</v>
      </c>
      <c r="G3278" s="4" t="s">
        <v>12981</v>
      </c>
      <c r="H3278" s="4" t="n">
        <v>30.11189</v>
      </c>
      <c r="I3278" s="4" t="n">
        <v>-97.3213</v>
      </c>
      <c r="J3278" s="4" t="s">
        <v>12982</v>
      </c>
      <c r="K3278" s="6" t="str">
        <f aca="false">HYPERLINK("https://www.google.com/search?q=Bastrop+Public+Library+Bastrop+TX+library+website","Search")</f>
        <v>Search</v>
      </c>
      <c r="L3278" s="7"/>
      <c r="M3278" s="7"/>
    </row>
    <row r="3279" customFormat="false" ht="15" hidden="false" customHeight="true" outlineLevel="0" collapsed="false">
      <c r="A3279" s="4" t="s">
        <v>12921</v>
      </c>
      <c r="B3279" s="4" t="s">
        <v>12983</v>
      </c>
      <c r="C3279" s="4" t="s">
        <v>6434</v>
      </c>
      <c r="D3279" s="4" t="s">
        <v>12984</v>
      </c>
      <c r="E3279" s="5" t="n">
        <v>26315</v>
      </c>
      <c r="F3279" s="4" t="n">
        <v>2</v>
      </c>
      <c r="G3279" s="4" t="s">
        <v>12985</v>
      </c>
      <c r="H3279" s="4" t="n">
        <v>28.98275</v>
      </c>
      <c r="I3279" s="4" t="n">
        <v>-95.97678</v>
      </c>
      <c r="J3279" s="4" t="s">
        <v>12986</v>
      </c>
      <c r="K3279" s="6" t="str">
        <f aca="false">HYPERLINK("https://www.google.com/search?q=Bay+City+Public+Library+Bay+City+TX+library+website","Search")</f>
        <v>Search</v>
      </c>
      <c r="L3279" s="7"/>
      <c r="M3279" s="7"/>
    </row>
    <row r="3280" customFormat="false" ht="15" hidden="false" customHeight="true" outlineLevel="0" collapsed="false">
      <c r="A3280" s="4" t="s">
        <v>12921</v>
      </c>
      <c r="B3280" s="4" t="s">
        <v>12987</v>
      </c>
      <c r="C3280" s="4" t="s">
        <v>902</v>
      </c>
      <c r="D3280" s="4" t="s">
        <v>98</v>
      </c>
      <c r="E3280" s="5" t="n">
        <v>112556</v>
      </c>
      <c r="F3280" s="4" t="n">
        <v>6</v>
      </c>
      <c r="G3280" s="4" t="s">
        <v>12988</v>
      </c>
      <c r="H3280" s="4" t="n">
        <v>30.08069</v>
      </c>
      <c r="I3280" s="4" t="n">
        <v>-94.09562</v>
      </c>
      <c r="J3280" s="4" t="s">
        <v>12989</v>
      </c>
      <c r="K3280" s="6" t="str">
        <f aca="false">HYPERLINK("https://www.google.com/search?q=Beaumont+Public+Library+System+Beaumont+TX+library+website","Search")</f>
        <v>Search</v>
      </c>
      <c r="L3280" s="7"/>
      <c r="M3280" s="7"/>
    </row>
    <row r="3281" customFormat="false" ht="15" hidden="false" customHeight="true" outlineLevel="0" collapsed="false">
      <c r="A3281" s="4" t="s">
        <v>12921</v>
      </c>
      <c r="B3281" s="4" t="s">
        <v>4268</v>
      </c>
      <c r="C3281" s="4" t="s">
        <v>4269</v>
      </c>
      <c r="D3281" s="4" t="s">
        <v>12957</v>
      </c>
      <c r="E3281" s="5" t="n">
        <v>49187</v>
      </c>
      <c r="F3281" s="4" t="n">
        <v>1</v>
      </c>
      <c r="G3281" s="4" t="s">
        <v>12990</v>
      </c>
      <c r="H3281" s="4" t="n">
        <v>32.84606</v>
      </c>
      <c r="I3281" s="4" t="n">
        <v>-97.14338</v>
      </c>
      <c r="J3281" s="4" t="s">
        <v>12991</v>
      </c>
      <c r="K3281" s="6" t="str">
        <f aca="false">HYPERLINK("https://www.google.com/search?q=Bedford+Public+Library+Bedford+TX+library+website","Search")</f>
        <v>Search</v>
      </c>
      <c r="L3281" s="7"/>
      <c r="M3281" s="7"/>
    </row>
    <row r="3282" customFormat="false" ht="15" hidden="false" customHeight="true" outlineLevel="0" collapsed="false">
      <c r="A3282" s="4" t="s">
        <v>12921</v>
      </c>
      <c r="B3282" s="4" t="s">
        <v>12992</v>
      </c>
      <c r="C3282" s="4" t="s">
        <v>4411</v>
      </c>
      <c r="D3282" s="4" t="s">
        <v>12993</v>
      </c>
      <c r="E3282" s="5" t="n">
        <v>30031</v>
      </c>
      <c r="F3282" s="4" t="n">
        <v>1</v>
      </c>
      <c r="G3282" s="4" t="s">
        <v>12994</v>
      </c>
      <c r="H3282" s="4" t="n">
        <v>27.8994</v>
      </c>
      <c r="I3282" s="4" t="n">
        <v>-97.31602</v>
      </c>
      <c r="J3282" s="4" t="s">
        <v>12995</v>
      </c>
      <c r="K3282" s="6" t="str">
        <f aca="false">HYPERLINK("https://www.google.com/search?q=Bell%2FWhittington+Public+Library+Portland+TX+library+website","Search")</f>
        <v>Search</v>
      </c>
      <c r="L3282" s="7"/>
      <c r="M3282" s="7"/>
    </row>
    <row r="3283" customFormat="false" ht="15" hidden="false" customHeight="true" outlineLevel="0" collapsed="false">
      <c r="A3283" s="4" t="s">
        <v>12921</v>
      </c>
      <c r="B3283" s="4" t="s">
        <v>12996</v>
      </c>
      <c r="C3283" s="4" t="s">
        <v>12997</v>
      </c>
      <c r="D3283" s="4" t="s">
        <v>12998</v>
      </c>
      <c r="E3283" s="5" t="n">
        <v>16983</v>
      </c>
      <c r="F3283" s="4" t="n">
        <v>1</v>
      </c>
      <c r="G3283" s="4" t="s">
        <v>12999</v>
      </c>
      <c r="H3283" s="4" t="n">
        <v>29.70198</v>
      </c>
      <c r="I3283" s="4" t="n">
        <v>-95.46952</v>
      </c>
      <c r="J3283" s="4" t="s">
        <v>13000</v>
      </c>
      <c r="K3283" s="6" t="str">
        <f aca="false">HYPERLINK("https://www.google.com/search?q=Bellaire+City+Library+Bellaire+TX+library+website","Search")</f>
        <v>Search</v>
      </c>
      <c r="L3283" s="7"/>
      <c r="M3283" s="7"/>
    </row>
    <row r="3284" customFormat="false" ht="15" hidden="false" customHeight="true" outlineLevel="0" collapsed="false">
      <c r="A3284" s="4" t="s">
        <v>12921</v>
      </c>
      <c r="B3284" s="4" t="s">
        <v>13001</v>
      </c>
      <c r="C3284" s="4" t="s">
        <v>13002</v>
      </c>
      <c r="D3284" s="4" t="s">
        <v>12957</v>
      </c>
      <c r="E3284" s="5" t="n">
        <v>24605</v>
      </c>
      <c r="F3284" s="4" t="n">
        <v>1</v>
      </c>
      <c r="G3284" s="4" t="s">
        <v>13003</v>
      </c>
      <c r="H3284" s="4" t="n">
        <v>32.67899</v>
      </c>
      <c r="I3284" s="4" t="n">
        <v>-97.45109</v>
      </c>
      <c r="J3284" s="4" t="s">
        <v>13004</v>
      </c>
      <c r="K3284" s="6" t="str">
        <f aca="false">HYPERLINK("https://www.google.com/search?q=Benbrook+Public+Library+Benbrook+TX+library+website","Search")</f>
        <v>Search</v>
      </c>
      <c r="L3284" s="7"/>
      <c r="M3284" s="7"/>
    </row>
    <row r="3285" customFormat="false" ht="15" hidden="false" customHeight="true" outlineLevel="0" collapsed="false">
      <c r="A3285" s="4" t="s">
        <v>12921</v>
      </c>
      <c r="B3285" s="4" t="s">
        <v>13005</v>
      </c>
      <c r="C3285" s="4" t="s">
        <v>13006</v>
      </c>
      <c r="D3285" s="4" t="s">
        <v>13007</v>
      </c>
      <c r="E3285" s="5" t="n">
        <v>140520</v>
      </c>
      <c r="F3285" s="4" t="n">
        <v>4</v>
      </c>
      <c r="G3285" s="4" t="s">
        <v>13008</v>
      </c>
      <c r="H3285" s="4" t="n">
        <v>29.34414</v>
      </c>
      <c r="I3285" s="4" t="n">
        <v>-98.50391</v>
      </c>
      <c r="J3285" s="4" t="s">
        <v>13009</v>
      </c>
      <c r="K3285" s="6" t="str">
        <f aca="false">HYPERLINK("https://www.google.com/search?q=Bibliotech+San+Antonio+TX+library+website","Search")</f>
        <v>Search</v>
      </c>
      <c r="L3285" s="7"/>
      <c r="M3285" s="7"/>
    </row>
    <row r="3286" customFormat="false" ht="15" hidden="false" customHeight="true" outlineLevel="0" collapsed="false">
      <c r="A3286" s="4" t="s">
        <v>12921</v>
      </c>
      <c r="B3286" s="4" t="s">
        <v>13010</v>
      </c>
      <c r="C3286" s="4" t="s">
        <v>13011</v>
      </c>
      <c r="D3286" s="4" t="s">
        <v>13012</v>
      </c>
      <c r="E3286" s="5" t="n">
        <v>10559</v>
      </c>
      <c r="F3286" s="4" t="n">
        <v>1</v>
      </c>
      <c r="G3286" s="4" t="s">
        <v>13013</v>
      </c>
      <c r="H3286" s="4" t="n">
        <v>33.57806</v>
      </c>
      <c r="I3286" s="4" t="n">
        <v>-96.17594</v>
      </c>
      <c r="J3286" s="4" t="s">
        <v>13014</v>
      </c>
      <c r="K3286" s="6" t="str">
        <f aca="false">HYPERLINK("https://www.google.com/search?q=Bonham+Public+Library+Bonham+TX+library+website","Search")</f>
        <v>Search</v>
      </c>
      <c r="L3286" s="7"/>
      <c r="M3286" s="7"/>
    </row>
    <row r="3287" customFormat="false" ht="15" hidden="false" customHeight="true" outlineLevel="0" collapsed="false">
      <c r="A3287" s="4" t="s">
        <v>12921</v>
      </c>
      <c r="B3287" s="4" t="s">
        <v>13015</v>
      </c>
      <c r="C3287" s="4" t="s">
        <v>638</v>
      </c>
      <c r="D3287" s="4" t="s">
        <v>13016</v>
      </c>
      <c r="E3287" s="5" t="n">
        <v>17551</v>
      </c>
      <c r="F3287" s="4" t="n">
        <v>1</v>
      </c>
      <c r="G3287" s="4" t="s">
        <v>13017</v>
      </c>
      <c r="H3287" s="4" t="n">
        <v>33.56159</v>
      </c>
      <c r="I3287" s="4" t="n">
        <v>-97.85022</v>
      </c>
      <c r="J3287" s="4" t="s">
        <v>13018</v>
      </c>
      <c r="K3287" s="6" t="str">
        <f aca="false">HYPERLINK("https://www.google.com/search?q=Bowie+Public+Library+Bowie+TX+library+website","Search")</f>
        <v>Search</v>
      </c>
      <c r="L3287" s="7"/>
      <c r="M3287" s="7"/>
    </row>
    <row r="3288" customFormat="false" ht="15" hidden="false" customHeight="true" outlineLevel="0" collapsed="false">
      <c r="A3288" s="4" t="s">
        <v>12921</v>
      </c>
      <c r="B3288" s="4" t="s">
        <v>13019</v>
      </c>
      <c r="C3288" s="4" t="s">
        <v>13020</v>
      </c>
      <c r="D3288" s="4" t="s">
        <v>13021</v>
      </c>
      <c r="E3288" s="5" t="n">
        <v>28847</v>
      </c>
      <c r="F3288" s="4" t="n">
        <v>1</v>
      </c>
      <c r="G3288" s="4" t="s">
        <v>13022</v>
      </c>
      <c r="H3288" s="4" t="n">
        <v>32.80379</v>
      </c>
      <c r="I3288" s="4" t="n">
        <v>-98.09077</v>
      </c>
      <c r="J3288" s="4" t="s">
        <v>13023</v>
      </c>
      <c r="K3288" s="6" t="str">
        <f aca="false">HYPERLINK("https://www.google.com/search?q=Boyce+Ditto+Public+Library+Mineral+Wells+TX+library+website","Search")</f>
        <v>Search</v>
      </c>
      <c r="L3288" s="7"/>
      <c r="M3288" s="7"/>
    </row>
    <row r="3289" customFormat="false" ht="15" hidden="false" customHeight="true" outlineLevel="0" collapsed="false">
      <c r="A3289" s="4" t="s">
        <v>12921</v>
      </c>
      <c r="B3289" s="4" t="s">
        <v>13024</v>
      </c>
      <c r="C3289" s="4" t="s">
        <v>13025</v>
      </c>
      <c r="D3289" s="4" t="s">
        <v>13026</v>
      </c>
      <c r="E3289" s="5" t="n">
        <v>379689</v>
      </c>
      <c r="F3289" s="4" t="n">
        <v>13</v>
      </c>
      <c r="G3289" s="4" t="s">
        <v>13027</v>
      </c>
      <c r="H3289" s="4" t="n">
        <v>29.17303</v>
      </c>
      <c r="I3289" s="4" t="n">
        <v>-95.43226</v>
      </c>
      <c r="J3289" s="4" t="s">
        <v>13028</v>
      </c>
      <c r="K3289" s="6" t="str">
        <f aca="false">HYPERLINK("https://www.google.com/search?q=Brazoria+County+Library+System+Angleton+TX+library+website","Search")</f>
        <v>Search</v>
      </c>
      <c r="L3289" s="7"/>
      <c r="M3289" s="7"/>
    </row>
    <row r="3290" customFormat="false" ht="15" hidden="false" customHeight="true" outlineLevel="0" collapsed="false">
      <c r="A3290" s="4" t="s">
        <v>12921</v>
      </c>
      <c r="B3290" s="4" t="s">
        <v>1840</v>
      </c>
      <c r="C3290" s="4" t="s">
        <v>1841</v>
      </c>
      <c r="D3290" s="4" t="s">
        <v>13029</v>
      </c>
      <c r="E3290" s="5" t="n">
        <v>25173</v>
      </c>
      <c r="F3290" s="4" t="n">
        <v>1</v>
      </c>
      <c r="G3290" s="4" t="s">
        <v>13030</v>
      </c>
      <c r="H3290" s="4" t="n">
        <v>33.22266</v>
      </c>
      <c r="I3290" s="4" t="n">
        <v>-97.75743</v>
      </c>
      <c r="J3290" s="4" t="s">
        <v>13031</v>
      </c>
      <c r="K3290" s="6" t="str">
        <f aca="false">HYPERLINK("https://www.google.com/search?q=Bridgeport+Public+Library+Bridgeport+TX+library+website","Search")</f>
        <v>Search</v>
      </c>
      <c r="L3290" s="7"/>
      <c r="M3290" s="7"/>
    </row>
    <row r="3291" customFormat="false" ht="15" hidden="false" customHeight="true" outlineLevel="0" collapsed="false">
      <c r="A3291" s="4" t="s">
        <v>12921</v>
      </c>
      <c r="B3291" s="4" t="s">
        <v>13032</v>
      </c>
      <c r="C3291" s="4" t="s">
        <v>4901</v>
      </c>
      <c r="D3291" s="4" t="s">
        <v>13033</v>
      </c>
      <c r="E3291" s="5" t="n">
        <v>256135</v>
      </c>
      <c r="F3291" s="4" t="n">
        <v>2</v>
      </c>
      <c r="G3291" s="4" t="s">
        <v>13034</v>
      </c>
      <c r="H3291" s="4" t="n">
        <v>25.94031</v>
      </c>
      <c r="I3291" s="4" t="n">
        <v>-97.50963</v>
      </c>
      <c r="J3291" s="4" t="s">
        <v>13035</v>
      </c>
      <c r="K3291" s="6" t="str">
        <f aca="false">HYPERLINK("https://www.google.com/search?q=Brownsville+Public+Library+Brownsville+TX+library+website","Search")</f>
        <v>Search</v>
      </c>
      <c r="L3291" s="7"/>
      <c r="M3291" s="7"/>
    </row>
    <row r="3292" customFormat="false" ht="15" hidden="false" customHeight="true" outlineLevel="0" collapsed="false">
      <c r="A3292" s="4" t="s">
        <v>12921</v>
      </c>
      <c r="B3292" s="4" t="s">
        <v>13036</v>
      </c>
      <c r="C3292" s="4" t="s">
        <v>13037</v>
      </c>
      <c r="D3292" s="4" t="s">
        <v>4282</v>
      </c>
      <c r="E3292" s="5" t="n">
        <v>38192</v>
      </c>
      <c r="F3292" s="4" t="n">
        <v>2</v>
      </c>
      <c r="G3292" s="4" t="s">
        <v>13038</v>
      </c>
      <c r="H3292" s="4" t="n">
        <v>31.71719</v>
      </c>
      <c r="I3292" s="4" t="n">
        <v>-98.98152</v>
      </c>
      <c r="J3292" s="4" t="s">
        <v>13039</v>
      </c>
      <c r="K3292" s="6" t="str">
        <f aca="false">HYPERLINK("https://www.google.com/search?q=Brownwood+Community+Library+Brownwood+TX+library+website","Search")</f>
        <v>Search</v>
      </c>
      <c r="L3292" s="7"/>
      <c r="M3292" s="7"/>
    </row>
    <row r="3293" customFormat="false" ht="15" hidden="false" customHeight="true" outlineLevel="0" collapsed="false">
      <c r="A3293" s="4" t="s">
        <v>12921</v>
      </c>
      <c r="B3293" s="4" t="s">
        <v>13040</v>
      </c>
      <c r="C3293" s="4" t="s">
        <v>10831</v>
      </c>
      <c r="D3293" s="4" t="s">
        <v>13041</v>
      </c>
      <c r="E3293" s="5" t="n">
        <v>206885</v>
      </c>
      <c r="F3293" s="4" t="n">
        <v>4</v>
      </c>
      <c r="G3293" s="4" t="s">
        <v>13042</v>
      </c>
      <c r="H3293" s="4" t="n">
        <v>30.67358</v>
      </c>
      <c r="I3293" s="4" t="n">
        <v>-96.37221</v>
      </c>
      <c r="J3293" s="4" t="s">
        <v>13043</v>
      </c>
      <c r="K3293" s="6" t="str">
        <f aca="false">HYPERLINK("https://www.google.com/search?q=Bryan%2BCollege+Station+Public+Library+System+Bryan+TX+library+website","Search")</f>
        <v>Search</v>
      </c>
      <c r="L3293" s="7"/>
      <c r="M3293" s="8" t="str">
        <f aca="false">HYPERLINK("https://bcsdmc.overdrive.com","https://bcsdmc.overdrive.com")</f>
        <v>https://bcsdmc.overdrive.com</v>
      </c>
    </row>
    <row r="3294" customFormat="false" ht="15" hidden="false" customHeight="true" outlineLevel="0" collapsed="false">
      <c r="A3294" s="4" t="s">
        <v>12921</v>
      </c>
      <c r="B3294" s="4" t="s">
        <v>13044</v>
      </c>
      <c r="C3294" s="4" t="s">
        <v>13045</v>
      </c>
      <c r="D3294" s="4" t="s">
        <v>4724</v>
      </c>
      <c r="E3294" s="5" t="n">
        <v>20750</v>
      </c>
      <c r="F3294" s="4" t="n">
        <v>1</v>
      </c>
      <c r="G3294" s="4" t="s">
        <v>13046</v>
      </c>
      <c r="H3294" s="4" t="n">
        <v>30.08611</v>
      </c>
      <c r="I3294" s="4" t="n">
        <v>-97.83661</v>
      </c>
      <c r="J3294" s="4" t="s">
        <v>13047</v>
      </c>
      <c r="K3294" s="6" t="str">
        <f aca="false">HYPERLINK("https://www.google.com/search?q=Buda+Public+Library+Buda+TX+library+website","Search")</f>
        <v>Search</v>
      </c>
      <c r="L3294" s="7"/>
      <c r="M3294" s="7"/>
    </row>
    <row r="3295" customFormat="false" ht="15" hidden="false" customHeight="true" outlineLevel="0" collapsed="false">
      <c r="A3295" s="4" t="s">
        <v>12921</v>
      </c>
      <c r="B3295" s="4" t="s">
        <v>13048</v>
      </c>
      <c r="C3295" s="4" t="s">
        <v>13049</v>
      </c>
      <c r="D3295" s="4" t="s">
        <v>4798</v>
      </c>
      <c r="E3295" s="5" t="n">
        <v>10975</v>
      </c>
      <c r="F3295" s="4" t="n">
        <v>1</v>
      </c>
      <c r="G3295" s="4" t="s">
        <v>13050</v>
      </c>
      <c r="H3295" s="4" t="n">
        <v>34.0983</v>
      </c>
      <c r="I3295" s="4" t="n">
        <v>-98.57313</v>
      </c>
      <c r="J3295" s="4" t="s">
        <v>13051</v>
      </c>
      <c r="K3295" s="6" t="str">
        <f aca="false">HYPERLINK("https://www.google.com/search?q=Burkburnett+Library+Burkburnett+TX+library+website","Search")</f>
        <v>Search</v>
      </c>
      <c r="L3295" s="7"/>
      <c r="M3295" s="7"/>
    </row>
    <row r="3296" customFormat="false" ht="15" hidden="false" customHeight="true" outlineLevel="0" collapsed="false">
      <c r="A3296" s="4" t="s">
        <v>12921</v>
      </c>
      <c r="B3296" s="4" t="s">
        <v>13052</v>
      </c>
      <c r="C3296" s="4" t="s">
        <v>13053</v>
      </c>
      <c r="D3296" s="4" t="s">
        <v>2942</v>
      </c>
      <c r="E3296" s="5" t="n">
        <v>51618</v>
      </c>
      <c r="F3296" s="4" t="n">
        <v>1</v>
      </c>
      <c r="G3296" s="4" t="s">
        <v>13054</v>
      </c>
      <c r="H3296" s="4" t="n">
        <v>32.5397</v>
      </c>
      <c r="I3296" s="4" t="n">
        <v>-97.32873</v>
      </c>
      <c r="J3296" s="4" t="s">
        <v>13055</v>
      </c>
      <c r="K3296" s="6" t="str">
        <f aca="false">HYPERLINK("https://www.google.com/search?q=Burleson+Public+Library+Burleson+TX+library+website","Search")</f>
        <v>Search</v>
      </c>
      <c r="L3296" s="7"/>
      <c r="M3296" s="7"/>
    </row>
    <row r="3297" customFormat="false" ht="15" hidden="false" customHeight="true" outlineLevel="0" collapsed="false">
      <c r="A3297" s="4" t="s">
        <v>12921</v>
      </c>
      <c r="B3297" s="4" t="s">
        <v>13056</v>
      </c>
      <c r="C3297" s="4" t="s">
        <v>13057</v>
      </c>
      <c r="D3297" s="4" t="s">
        <v>13057</v>
      </c>
      <c r="E3297" s="5" t="n">
        <v>50954</v>
      </c>
      <c r="F3297" s="4" t="n">
        <v>5</v>
      </c>
      <c r="G3297" s="4" t="s">
        <v>13058</v>
      </c>
      <c r="H3297" s="4" t="n">
        <v>30.75741</v>
      </c>
      <c r="I3297" s="4" t="n">
        <v>-98.22746</v>
      </c>
      <c r="J3297" s="4" t="s">
        <v>13059</v>
      </c>
      <c r="K3297" s="6" t="str">
        <f aca="false">HYPERLINK("https://www.google.com/search?q=Burnet+County+Library+System+Burnet+TX+library+website","Search")</f>
        <v>Search</v>
      </c>
      <c r="L3297" s="7"/>
      <c r="M3297" s="7"/>
    </row>
    <row r="3298" customFormat="false" ht="15" hidden="false" customHeight="true" outlineLevel="0" collapsed="false">
      <c r="A3298" s="4" t="s">
        <v>12921</v>
      </c>
      <c r="B3298" s="4" t="s">
        <v>13060</v>
      </c>
      <c r="C3298" s="4" t="s">
        <v>13061</v>
      </c>
      <c r="D3298" s="4" t="s">
        <v>13062</v>
      </c>
      <c r="E3298" s="5" t="n">
        <v>24477</v>
      </c>
      <c r="F3298" s="4" t="n">
        <v>2</v>
      </c>
      <c r="G3298" s="4" t="s">
        <v>13063</v>
      </c>
      <c r="H3298" s="4" t="n">
        <v>30.04839</v>
      </c>
      <c r="I3298" s="4" t="n">
        <v>-99.14332</v>
      </c>
      <c r="J3298" s="4" t="s">
        <v>13064</v>
      </c>
      <c r="K3298" s="6" t="str">
        <f aca="false">HYPERLINK("https://www.google.com/search?q=Butt-Holdsworth+Memorial+Library+Kerrville+TX+library+website","Search")</f>
        <v>Search</v>
      </c>
      <c r="L3298" s="7"/>
      <c r="M3298" s="7"/>
    </row>
    <row r="3299" customFormat="false" ht="15" hidden="false" customHeight="true" outlineLevel="0" collapsed="false">
      <c r="A3299" s="4" t="s">
        <v>12921</v>
      </c>
      <c r="B3299" s="4" t="s">
        <v>13065</v>
      </c>
      <c r="C3299" s="4" t="s">
        <v>13066</v>
      </c>
      <c r="D3299" s="4" t="s">
        <v>73</v>
      </c>
      <c r="E3299" s="5" t="n">
        <v>19727</v>
      </c>
      <c r="F3299" s="4" t="n">
        <v>4</v>
      </c>
      <c r="G3299" s="4" t="s">
        <v>13067</v>
      </c>
      <c r="H3299" s="4" t="n">
        <v>28.61566</v>
      </c>
      <c r="I3299" s="4" t="n">
        <v>-96.6287</v>
      </c>
      <c r="J3299" s="4" t="s">
        <v>13068</v>
      </c>
      <c r="K3299" s="6" t="str">
        <f aca="false">HYPERLINK("https://www.google.com/search?q=Calhoun+County+Public+Library+Port+Lavaca+TX+library+website","Search")</f>
        <v>Search</v>
      </c>
      <c r="L3299" s="7"/>
      <c r="M3299" s="7"/>
    </row>
    <row r="3300" customFormat="false" ht="15" hidden="false" customHeight="true" outlineLevel="0" collapsed="false">
      <c r="A3300" s="4" t="s">
        <v>12921</v>
      </c>
      <c r="B3300" s="4" t="s">
        <v>13069</v>
      </c>
      <c r="C3300" s="4" t="s">
        <v>3189</v>
      </c>
      <c r="D3300" s="4" t="s">
        <v>13070</v>
      </c>
      <c r="E3300" s="5" t="n">
        <v>42822</v>
      </c>
      <c r="F3300" s="4" t="n">
        <v>1</v>
      </c>
      <c r="G3300" s="4" t="s">
        <v>13071</v>
      </c>
      <c r="H3300" s="4" t="n">
        <v>34.98094</v>
      </c>
      <c r="I3300" s="4" t="n">
        <v>-101.9283</v>
      </c>
      <c r="J3300" s="4" t="s">
        <v>13072</v>
      </c>
      <c r="K3300" s="6" t="str">
        <f aca="false">HYPERLINK("https://www.google.com/search?q=Canyon+Area+Library+Canyon+TX+library+website","Search")</f>
        <v>Search</v>
      </c>
      <c r="L3300" s="7"/>
      <c r="M3300" s="7"/>
    </row>
    <row r="3301" customFormat="false" ht="15" hidden="false" customHeight="true" outlineLevel="0" collapsed="false">
      <c r="A3301" s="4" t="s">
        <v>12921</v>
      </c>
      <c r="B3301" s="4" t="s">
        <v>13073</v>
      </c>
      <c r="C3301" s="4" t="s">
        <v>2080</v>
      </c>
      <c r="D3301" s="4" t="s">
        <v>13074</v>
      </c>
      <c r="E3301" s="5" t="n">
        <v>12731</v>
      </c>
      <c r="F3301" s="4" t="n">
        <v>1</v>
      </c>
      <c r="G3301" s="4" t="s">
        <v>13075</v>
      </c>
      <c r="H3301" s="4" t="n">
        <v>34.15266</v>
      </c>
      <c r="I3301" s="4" t="n">
        <v>-99.29571</v>
      </c>
      <c r="J3301" s="4" t="s">
        <v>13076</v>
      </c>
      <c r="K3301" s="6" t="str">
        <f aca="false">HYPERLINK("https://www.google.com/search?q=Carnegie+City-County+Library+Vernon+TX+library+website","Search")</f>
        <v>Search</v>
      </c>
      <c r="L3301" s="7"/>
      <c r="M3301" s="7"/>
    </row>
    <row r="3302" customFormat="false" ht="15" hidden="false" customHeight="true" outlineLevel="0" collapsed="false">
      <c r="A3302" s="4" t="s">
        <v>12921</v>
      </c>
      <c r="B3302" s="4" t="s">
        <v>13077</v>
      </c>
      <c r="C3302" s="4" t="s">
        <v>374</v>
      </c>
      <c r="D3302" s="4" t="s">
        <v>394</v>
      </c>
      <c r="E3302" s="5" t="n">
        <v>165500</v>
      </c>
      <c r="F3302" s="4" t="n">
        <v>2</v>
      </c>
      <c r="G3302" s="4" t="s">
        <v>13078</v>
      </c>
      <c r="H3302" s="4" t="n">
        <v>32.97095</v>
      </c>
      <c r="I3302" s="4" t="n">
        <v>-96.89439</v>
      </c>
      <c r="J3302" s="4" t="s">
        <v>13079</v>
      </c>
      <c r="K3302" s="6" t="str">
        <f aca="false">HYPERLINK("https://www.google.com/search?q=Carrollton+Public+Library+Carrollton+TX+library+website","Search")</f>
        <v>Search</v>
      </c>
      <c r="L3302" s="7"/>
      <c r="M3302" s="7"/>
    </row>
    <row r="3303" customFormat="false" ht="15" hidden="false" customHeight="true" outlineLevel="0" collapsed="false">
      <c r="A3303" s="4" t="s">
        <v>12921</v>
      </c>
      <c r="B3303" s="4" t="s">
        <v>13080</v>
      </c>
      <c r="C3303" s="4" t="s">
        <v>13081</v>
      </c>
      <c r="D3303" s="4" t="s">
        <v>3315</v>
      </c>
      <c r="E3303" s="5" t="n">
        <v>78693</v>
      </c>
      <c r="F3303" s="4" t="n">
        <v>1</v>
      </c>
      <c r="G3303" s="4" t="s">
        <v>13082</v>
      </c>
      <c r="H3303" s="4" t="n">
        <v>30.519</v>
      </c>
      <c r="I3303" s="4" t="n">
        <v>-97.8239</v>
      </c>
      <c r="J3303" s="4" t="s">
        <v>13083</v>
      </c>
      <c r="K3303" s="6" t="str">
        <f aca="false">HYPERLINK("https://www.google.com/search?q=Cedar+Park+Public+Library+Cedar+Park+TX+library+website","Search")</f>
        <v>Search</v>
      </c>
      <c r="L3303" s="7"/>
      <c r="M3303" s="7"/>
    </row>
    <row r="3304" customFormat="false" ht="15" hidden="false" customHeight="true" outlineLevel="0" collapsed="false">
      <c r="A3304" s="4" t="s">
        <v>12921</v>
      </c>
      <c r="B3304" s="4" t="s">
        <v>13084</v>
      </c>
      <c r="C3304" s="4" t="s">
        <v>10607</v>
      </c>
      <c r="D3304" s="4" t="s">
        <v>12940</v>
      </c>
      <c r="E3304" s="5" t="n">
        <v>25456</v>
      </c>
      <c r="F3304" s="4" t="n">
        <v>1</v>
      </c>
      <c r="G3304" s="4" t="s">
        <v>13085</v>
      </c>
      <c r="H3304" s="4" t="n">
        <v>33.3245</v>
      </c>
      <c r="I3304" s="4" t="n">
        <v>-96.78683</v>
      </c>
      <c r="J3304" s="4" t="s">
        <v>13086</v>
      </c>
      <c r="K3304" s="6" t="str">
        <f aca="false">HYPERLINK("https://www.google.com/search?q=Celina+Public+Library+Celina+TX+library+website","Search")</f>
        <v>Search</v>
      </c>
      <c r="L3304" s="7"/>
      <c r="M3304" s="7"/>
    </row>
    <row r="3305" customFormat="false" ht="15" hidden="false" customHeight="true" outlineLevel="0" collapsed="false">
      <c r="A3305" s="4" t="s">
        <v>12921</v>
      </c>
      <c r="B3305" s="4" t="s">
        <v>13087</v>
      </c>
      <c r="C3305" s="4" t="s">
        <v>13088</v>
      </c>
      <c r="D3305" s="4" t="s">
        <v>13089</v>
      </c>
      <c r="E3305" s="5" t="n">
        <v>15978</v>
      </c>
      <c r="F3305" s="4" t="n">
        <v>1</v>
      </c>
      <c r="G3305" s="4" t="s">
        <v>13090</v>
      </c>
      <c r="H3305" s="4" t="n">
        <v>32.97675</v>
      </c>
      <c r="I3305" s="4" t="n">
        <v>-96.33181</v>
      </c>
      <c r="J3305" s="4" t="s">
        <v>13091</v>
      </c>
      <c r="K3305" s="6" t="str">
        <f aca="false">HYPERLINK("https://www.google.com/search?q=Cf+Goodwin+Public+Library+Royse+City+TX+library+website","Search")</f>
        <v>Search</v>
      </c>
      <c r="L3305" s="7"/>
      <c r="M3305" s="7"/>
    </row>
    <row r="3306" customFormat="false" ht="15" hidden="false" customHeight="true" outlineLevel="0" collapsed="false">
      <c r="A3306" s="4" t="s">
        <v>12921</v>
      </c>
      <c r="B3306" s="4" t="s">
        <v>13092</v>
      </c>
      <c r="C3306" s="4" t="s">
        <v>13093</v>
      </c>
      <c r="D3306" s="4" t="s">
        <v>432</v>
      </c>
      <c r="E3306" s="5" t="n">
        <v>44031</v>
      </c>
      <c r="F3306" s="4" t="n">
        <v>4</v>
      </c>
      <c r="G3306" s="4" t="s">
        <v>13094</v>
      </c>
      <c r="H3306" s="4" t="n">
        <v>29.76929</v>
      </c>
      <c r="I3306" s="4" t="n">
        <v>-94.67253</v>
      </c>
      <c r="J3306" s="4" t="s">
        <v>13095</v>
      </c>
      <c r="K3306" s="6" t="str">
        <f aca="false">HYPERLINK("https://www.google.com/search?q=Chambers+County+Library+System+Anahuac+TX+library+website","Search")</f>
        <v>Search</v>
      </c>
      <c r="L3306" s="7"/>
      <c r="M3306" s="7"/>
    </row>
    <row r="3307" customFormat="false" ht="15" hidden="false" customHeight="true" outlineLevel="0" collapsed="false">
      <c r="A3307" s="4" t="s">
        <v>12921</v>
      </c>
      <c r="B3307" s="4" t="s">
        <v>697</v>
      </c>
      <c r="C3307" s="4" t="s">
        <v>698</v>
      </c>
      <c r="D3307" s="4" t="s">
        <v>4969</v>
      </c>
      <c r="E3307" s="5" t="n">
        <v>10008</v>
      </c>
      <c r="F3307" s="4" t="n">
        <v>1</v>
      </c>
      <c r="G3307" s="4" t="s">
        <v>13096</v>
      </c>
      <c r="H3307" s="4" t="n">
        <v>32.31086</v>
      </c>
      <c r="I3307" s="4" t="n">
        <v>-95.46726</v>
      </c>
      <c r="J3307" s="4" t="s">
        <v>13097</v>
      </c>
      <c r="K3307" s="6" t="str">
        <f aca="false">HYPERLINK("https://www.google.com/search?q=Chandler+Public+Library+Chandler+TX+library+website","Search")</f>
        <v>Search</v>
      </c>
      <c r="L3307" s="7"/>
      <c r="M3307" s="7"/>
    </row>
    <row r="3308" customFormat="false" ht="15" hidden="false" customHeight="true" outlineLevel="0" collapsed="false">
      <c r="A3308" s="4" t="s">
        <v>12921</v>
      </c>
      <c r="B3308" s="4" t="s">
        <v>13098</v>
      </c>
      <c r="C3308" s="4" t="s">
        <v>125</v>
      </c>
      <c r="D3308" s="4" t="s">
        <v>2942</v>
      </c>
      <c r="E3308" s="5" t="n">
        <v>31999</v>
      </c>
      <c r="F3308" s="4" t="n">
        <v>1</v>
      </c>
      <c r="G3308" s="4" t="s">
        <v>13099</v>
      </c>
      <c r="H3308" s="4" t="n">
        <v>32.3472</v>
      </c>
      <c r="I3308" s="4" t="n">
        <v>-97.38855</v>
      </c>
      <c r="J3308" s="4" t="s">
        <v>13100</v>
      </c>
      <c r="K3308" s="6" t="str">
        <f aca="false">HYPERLINK("https://www.google.com/search?q=Cleburne+Public+Library+Cleburne+TX+library+website","Search")</f>
        <v>Search</v>
      </c>
      <c r="L3308" s="7"/>
      <c r="M3308" s="7"/>
    </row>
    <row r="3309" customFormat="false" ht="15" hidden="false" customHeight="true" outlineLevel="0" collapsed="false">
      <c r="A3309" s="4" t="s">
        <v>12921</v>
      </c>
      <c r="B3309" s="4" t="s">
        <v>13101</v>
      </c>
      <c r="C3309" s="4" t="s">
        <v>1726</v>
      </c>
      <c r="D3309" s="4" t="s">
        <v>1726</v>
      </c>
      <c r="E3309" s="5" t="n">
        <v>43539</v>
      </c>
      <c r="F3309" s="4" t="n">
        <v>1</v>
      </c>
      <c r="G3309" s="4" t="s">
        <v>13102</v>
      </c>
      <c r="H3309" s="4" t="n">
        <v>31.5935</v>
      </c>
      <c r="I3309" s="4" t="n">
        <v>-106.23813</v>
      </c>
      <c r="J3309" s="4" t="s">
        <v>13103</v>
      </c>
      <c r="K3309" s="6" t="str">
        <f aca="false">HYPERLINK("https://www.google.com/search?q=Clint+Isd+Public+Library+El+Paso+TX+library+website","Search")</f>
        <v>Search</v>
      </c>
      <c r="L3309" s="7"/>
      <c r="M3309" s="7"/>
    </row>
    <row r="3310" customFormat="false" ht="15" hidden="false" customHeight="true" outlineLevel="0" collapsed="false">
      <c r="A3310" s="4" t="s">
        <v>12921</v>
      </c>
      <c r="B3310" s="4" t="s">
        <v>10368</v>
      </c>
      <c r="C3310" s="4" t="s">
        <v>10369</v>
      </c>
      <c r="D3310" s="4" t="s">
        <v>13104</v>
      </c>
      <c r="E3310" s="5" t="n">
        <v>11419</v>
      </c>
      <c r="F3310" s="4" t="n">
        <v>1</v>
      </c>
      <c r="G3310" s="4" t="s">
        <v>13105</v>
      </c>
      <c r="H3310" s="4" t="n">
        <v>32.40704</v>
      </c>
      <c r="I3310" s="4" t="n">
        <v>-99.49375</v>
      </c>
      <c r="J3310" s="4" t="s">
        <v>13106</v>
      </c>
      <c r="K3310" s="6" t="str">
        <f aca="false">HYPERLINK("https://www.google.com/search?q=Clyde+Public+Library+Clyde+TX+library+website","Search")</f>
        <v>Search</v>
      </c>
      <c r="L3310" s="7"/>
      <c r="M3310" s="7"/>
    </row>
    <row r="3311" customFormat="false" ht="15" hidden="false" customHeight="true" outlineLevel="0" collapsed="false">
      <c r="A3311" s="4" t="s">
        <v>12921</v>
      </c>
      <c r="B3311" s="4" t="s">
        <v>13107</v>
      </c>
      <c r="C3311" s="4" t="s">
        <v>13108</v>
      </c>
      <c r="D3311" s="4" t="s">
        <v>12957</v>
      </c>
      <c r="E3311" s="5" t="n">
        <v>25986</v>
      </c>
      <c r="F3311" s="4" t="n">
        <v>1</v>
      </c>
      <c r="G3311" s="4" t="s">
        <v>13109</v>
      </c>
      <c r="H3311" s="4" t="n">
        <v>32.88502</v>
      </c>
      <c r="I3311" s="4" t="n">
        <v>-97.15672</v>
      </c>
      <c r="J3311" s="4" t="s">
        <v>13110</v>
      </c>
      <c r="K3311" s="6" t="str">
        <f aca="false">HYPERLINK("https://www.google.com/search?q=Colleyville+Public+Library+Colleyville+TX+library+website","Search")</f>
        <v>Search</v>
      </c>
      <c r="L3311" s="7"/>
      <c r="M3311" s="7"/>
    </row>
    <row r="3312" customFormat="false" ht="15" hidden="false" customHeight="true" outlineLevel="0" collapsed="false">
      <c r="A3312" s="4" t="s">
        <v>12921</v>
      </c>
      <c r="B3312" s="4" t="s">
        <v>13111</v>
      </c>
      <c r="C3312" s="4" t="s">
        <v>13112</v>
      </c>
      <c r="D3312" s="4" t="s">
        <v>3936</v>
      </c>
      <c r="E3312" s="5" t="n">
        <v>16318</v>
      </c>
      <c r="F3312" s="4" t="n">
        <v>1</v>
      </c>
      <c r="G3312" s="4" t="s">
        <v>13113</v>
      </c>
      <c r="H3312" s="4" t="n">
        <v>29.96703</v>
      </c>
      <c r="I3312" s="4" t="n">
        <v>-98.90778</v>
      </c>
      <c r="J3312" s="4" t="s">
        <v>13114</v>
      </c>
      <c r="K3312" s="6" t="str">
        <f aca="false">HYPERLINK("https://www.google.com/search?q=Comfort+Public+Library+Comfort+TX+library+website","Search")</f>
        <v>Search</v>
      </c>
      <c r="L3312" s="7"/>
      <c r="M3312" s="7"/>
    </row>
    <row r="3313" customFormat="false" ht="15" hidden="false" customHeight="true" outlineLevel="0" collapsed="false">
      <c r="A3313" s="4" t="s">
        <v>12921</v>
      </c>
      <c r="B3313" s="4" t="s">
        <v>13115</v>
      </c>
      <c r="C3313" s="4" t="s">
        <v>982</v>
      </c>
      <c r="D3313" s="4" t="s">
        <v>13116</v>
      </c>
      <c r="E3313" s="5" t="n">
        <v>20972</v>
      </c>
      <c r="F3313" s="4" t="n">
        <v>1</v>
      </c>
      <c r="G3313" s="4" t="s">
        <v>13117</v>
      </c>
      <c r="H3313" s="4" t="n">
        <v>33.25027</v>
      </c>
      <c r="I3313" s="4" t="n">
        <v>-95.89817</v>
      </c>
      <c r="J3313" s="4" t="s">
        <v>13118</v>
      </c>
      <c r="K3313" s="6" t="str">
        <f aca="false">HYPERLINK("https://www.google.com/search?q=Commerce+Public+Library+Commerce+TX+library+website","Search")</f>
        <v>Search</v>
      </c>
      <c r="L3313" s="7"/>
      <c r="M3313" s="7"/>
    </row>
    <row r="3314" customFormat="false" ht="15" hidden="false" customHeight="true" outlineLevel="0" collapsed="false">
      <c r="A3314" s="4" t="s">
        <v>12921</v>
      </c>
      <c r="B3314" s="4" t="s">
        <v>13119</v>
      </c>
      <c r="C3314" s="4" t="s">
        <v>13120</v>
      </c>
      <c r="D3314" s="4" t="s">
        <v>13007</v>
      </c>
      <c r="E3314" s="5" t="n">
        <v>28643</v>
      </c>
      <c r="F3314" s="4" t="n">
        <v>1</v>
      </c>
      <c r="G3314" s="4" t="s">
        <v>13121</v>
      </c>
      <c r="H3314" s="4" t="n">
        <v>29.51364</v>
      </c>
      <c r="I3314" s="4" t="n">
        <v>-98.31108</v>
      </c>
      <c r="J3314" s="4" t="s">
        <v>13122</v>
      </c>
      <c r="K3314" s="6" t="str">
        <f aca="false">HYPERLINK("https://www.google.com/search?q=Converse+Public+Library+Converse+TX+library+website","Search")</f>
        <v>Search</v>
      </c>
      <c r="L3314" s="7"/>
      <c r="M3314" s="7"/>
    </row>
    <row r="3315" customFormat="false" ht="15" hidden="false" customHeight="true" outlineLevel="0" collapsed="false">
      <c r="A3315" s="4" t="s">
        <v>12921</v>
      </c>
      <c r="B3315" s="4" t="s">
        <v>13123</v>
      </c>
      <c r="C3315" s="4" t="s">
        <v>2704</v>
      </c>
      <c r="D3315" s="4" t="s">
        <v>13124</v>
      </c>
      <c r="E3315" s="5" t="n">
        <v>39143</v>
      </c>
      <c r="F3315" s="4" t="n">
        <v>1</v>
      </c>
      <c r="G3315" s="4" t="s">
        <v>13125</v>
      </c>
      <c r="H3315" s="4" t="n">
        <v>33.62323</v>
      </c>
      <c r="I3315" s="4" t="n">
        <v>-97.14789</v>
      </c>
      <c r="J3315" s="4" t="s">
        <v>13126</v>
      </c>
      <c r="K3315" s="6" t="str">
        <f aca="false">HYPERLINK("https://www.google.com/search?q=Cooke+County+Library+Gainesville+TX+library+website","Search")</f>
        <v>Search</v>
      </c>
      <c r="L3315" s="7"/>
      <c r="M3315" s="7"/>
    </row>
    <row r="3316" customFormat="false" ht="15" hidden="false" customHeight="true" outlineLevel="0" collapsed="false">
      <c r="A3316" s="4" t="s">
        <v>12921</v>
      </c>
      <c r="B3316" s="4" t="s">
        <v>13127</v>
      </c>
      <c r="C3316" s="4" t="s">
        <v>13128</v>
      </c>
      <c r="D3316" s="4" t="s">
        <v>13129</v>
      </c>
      <c r="E3316" s="5" t="n">
        <v>37041</v>
      </c>
      <c r="F3316" s="4" t="n">
        <v>1</v>
      </c>
      <c r="G3316" s="4" t="s">
        <v>13130</v>
      </c>
      <c r="H3316" s="4" t="n">
        <v>31.12072</v>
      </c>
      <c r="I3316" s="4" t="n">
        <v>-97.90337</v>
      </c>
      <c r="J3316" s="4" t="s">
        <v>13131</v>
      </c>
      <c r="K3316" s="6" t="str">
        <f aca="false">HYPERLINK("https://www.google.com/search?q=Copperas+Cove+Public+Library+Copperas+Cove+TX+library+website","Search")</f>
        <v>Search</v>
      </c>
      <c r="L3316" s="7"/>
      <c r="M3316" s="7"/>
    </row>
    <row r="3317" customFormat="false" ht="15" hidden="false" customHeight="true" outlineLevel="0" collapsed="false">
      <c r="A3317" s="4" t="s">
        <v>12921</v>
      </c>
      <c r="B3317" s="4" t="s">
        <v>13132</v>
      </c>
      <c r="C3317" s="4" t="s">
        <v>13133</v>
      </c>
      <c r="D3317" s="4" t="s">
        <v>13134</v>
      </c>
      <c r="E3317" s="5" t="n">
        <v>317773</v>
      </c>
      <c r="F3317" s="4" t="n">
        <v>6</v>
      </c>
      <c r="G3317" s="4" t="s">
        <v>13135</v>
      </c>
      <c r="H3317" s="4" t="n">
        <v>27.79315</v>
      </c>
      <c r="I3317" s="4" t="n">
        <v>-97.39911</v>
      </c>
      <c r="J3317" s="4" t="s">
        <v>13136</v>
      </c>
      <c r="K3317" s="6" t="str">
        <f aca="false">HYPERLINK("https://www.google.com/search?q=Corpus+Christi+Public+Libraries+Corpus+Christi+TX+library+website","Search")</f>
        <v>Search</v>
      </c>
      <c r="L3317" s="7"/>
      <c r="M3317" s="7"/>
    </row>
    <row r="3318" customFormat="false" ht="15" hidden="false" customHeight="true" outlineLevel="0" collapsed="false">
      <c r="A3318" s="4" t="s">
        <v>12921</v>
      </c>
      <c r="B3318" s="4" t="s">
        <v>13137</v>
      </c>
      <c r="C3318" s="4" t="s">
        <v>13138</v>
      </c>
      <c r="D3318" s="4" t="s">
        <v>13139</v>
      </c>
      <c r="E3318" s="5" t="n">
        <v>25203</v>
      </c>
      <c r="F3318" s="4" t="n">
        <v>1</v>
      </c>
      <c r="G3318" s="4" t="s">
        <v>13140</v>
      </c>
      <c r="H3318" s="4" t="n">
        <v>32.09286</v>
      </c>
      <c r="I3318" s="4" t="n">
        <v>-96.46616</v>
      </c>
      <c r="J3318" s="4" t="s">
        <v>13141</v>
      </c>
      <c r="K3318" s="6" t="str">
        <f aca="false">HYPERLINK("https://www.google.com/search?q=Corsicana+Public+Library+Corsicana+TX+library+website","Search")</f>
        <v>Search</v>
      </c>
      <c r="L3318" s="7"/>
      <c r="M3318" s="7"/>
    </row>
    <row r="3319" customFormat="false" ht="15" hidden="false" customHeight="true" outlineLevel="0" collapsed="false">
      <c r="A3319" s="4" t="s">
        <v>12921</v>
      </c>
      <c r="B3319" s="4" t="s">
        <v>13142</v>
      </c>
      <c r="C3319" s="4" t="s">
        <v>12875</v>
      </c>
      <c r="D3319" s="4" t="s">
        <v>13143</v>
      </c>
      <c r="E3319" s="5" t="n">
        <v>14597</v>
      </c>
      <c r="F3319" s="4" t="n">
        <v>1</v>
      </c>
      <c r="G3319" s="4" t="s">
        <v>13144</v>
      </c>
      <c r="H3319" s="4" t="n">
        <v>32.47157</v>
      </c>
      <c r="I3319" s="4" t="n">
        <v>-100.40653</v>
      </c>
      <c r="J3319" s="4" t="s">
        <v>13145</v>
      </c>
      <c r="K3319" s="6" t="str">
        <f aca="false">HYPERLINK("https://www.google.com/search?q=County-City+Library+Sweetwater+TX+library+website","Search")</f>
        <v>Search</v>
      </c>
      <c r="L3319" s="7"/>
      <c r="M3319" s="7"/>
    </row>
    <row r="3320" customFormat="false" ht="15" hidden="false" customHeight="true" outlineLevel="0" collapsed="false">
      <c r="A3320" s="4" t="s">
        <v>12921</v>
      </c>
      <c r="B3320" s="4" t="s">
        <v>13146</v>
      </c>
      <c r="C3320" s="4" t="s">
        <v>13147</v>
      </c>
      <c r="D3320" s="4" t="s">
        <v>394</v>
      </c>
      <c r="E3320" s="5" t="n">
        <v>42223</v>
      </c>
      <c r="F3320" s="4" t="n">
        <v>1</v>
      </c>
      <c r="G3320" s="4" t="s">
        <v>13148</v>
      </c>
      <c r="H3320" s="4" t="n">
        <v>32.97354</v>
      </c>
      <c r="I3320" s="4" t="n">
        <v>-96.98904</v>
      </c>
      <c r="J3320" s="4" t="s">
        <v>13149</v>
      </c>
      <c r="K3320" s="6" t="str">
        <f aca="false">HYPERLINK("https://www.google.com/search?q=Cozby+Library+And+Community+Commons+Coppell+TX+library+website","Search")</f>
        <v>Search</v>
      </c>
      <c r="L3320" s="7"/>
      <c r="M3320" s="7"/>
    </row>
    <row r="3321" customFormat="false" ht="15" hidden="false" customHeight="true" outlineLevel="0" collapsed="false">
      <c r="A3321" s="4" t="s">
        <v>12921</v>
      </c>
      <c r="B3321" s="4" t="s">
        <v>13150</v>
      </c>
      <c r="C3321" s="4" t="s">
        <v>13151</v>
      </c>
      <c r="D3321" s="4" t="s">
        <v>13152</v>
      </c>
      <c r="E3321" s="5" t="n">
        <v>21832</v>
      </c>
      <c r="F3321" s="4" t="n">
        <v>1</v>
      </c>
      <c r="G3321" s="4" t="s">
        <v>13153</v>
      </c>
      <c r="H3321" s="4" t="n">
        <v>32.6172</v>
      </c>
      <c r="I3321" s="4" t="n">
        <v>-96.46342</v>
      </c>
      <c r="J3321" s="4" t="s">
        <v>13154</v>
      </c>
      <c r="K3321" s="6" t="str">
        <f aca="false">HYPERLINK("https://www.google.com/search?q=Crandall-Combine+Community+Library+Crandall+TX+library+website","Search")</f>
        <v>Search</v>
      </c>
      <c r="L3321" s="7"/>
      <c r="M3321" s="7"/>
    </row>
    <row r="3322" customFormat="false" ht="15" hidden="false" customHeight="true" outlineLevel="0" collapsed="false">
      <c r="A3322" s="4" t="s">
        <v>12921</v>
      </c>
      <c r="B3322" s="4" t="s">
        <v>13155</v>
      </c>
      <c r="C3322" s="4" t="s">
        <v>5217</v>
      </c>
      <c r="D3322" s="4" t="s">
        <v>12957</v>
      </c>
      <c r="E3322" s="5" t="n">
        <v>19333</v>
      </c>
      <c r="F3322" s="4" t="n">
        <v>1</v>
      </c>
      <c r="G3322" s="4" t="s">
        <v>13156</v>
      </c>
      <c r="H3322" s="4" t="n">
        <v>32.57356</v>
      </c>
      <c r="I3322" s="4" t="n">
        <v>-97.36633</v>
      </c>
      <c r="J3322" s="4" t="s">
        <v>13157</v>
      </c>
      <c r="K3322" s="6" t="str">
        <f aca="false">HYPERLINK("https://www.google.com/search?q=Crowley+Public+Library+Crowley+TX+library+website","Search")</f>
        <v>Search</v>
      </c>
      <c r="L3322" s="7"/>
      <c r="M3322" s="7"/>
    </row>
    <row r="3323" customFormat="false" ht="15" hidden="false" customHeight="true" outlineLevel="0" collapsed="false">
      <c r="A3323" s="4" t="s">
        <v>12921</v>
      </c>
      <c r="B3323" s="4" t="s">
        <v>13158</v>
      </c>
      <c r="C3323" s="4" t="s">
        <v>13159</v>
      </c>
      <c r="D3323" s="4" t="s">
        <v>13160</v>
      </c>
      <c r="E3323" s="5" t="n">
        <v>12569</v>
      </c>
      <c r="F3323" s="4" t="n">
        <v>1</v>
      </c>
      <c r="G3323" s="4" t="s">
        <v>13161</v>
      </c>
      <c r="H3323" s="4" t="n">
        <v>36.06153</v>
      </c>
      <c r="I3323" s="4" t="n">
        <v>-102.52324</v>
      </c>
      <c r="J3323" s="4" t="s">
        <v>13162</v>
      </c>
      <c r="K3323" s="6" t="str">
        <f aca="false">HYPERLINK("https://www.google.com/search?q=Dallam-Hartley+County+Library+Dalhart+TX+library+website","Search")</f>
        <v>Search</v>
      </c>
      <c r="L3323" s="7"/>
      <c r="M3323" s="7"/>
    </row>
    <row r="3324" customFormat="false" ht="15" hidden="false" customHeight="true" outlineLevel="0" collapsed="false">
      <c r="A3324" s="4" t="s">
        <v>12921</v>
      </c>
      <c r="B3324" s="4" t="s">
        <v>11039</v>
      </c>
      <c r="C3324" s="4" t="s">
        <v>394</v>
      </c>
      <c r="D3324" s="4" t="s">
        <v>394</v>
      </c>
      <c r="E3324" s="5" t="n">
        <v>1288457</v>
      </c>
      <c r="F3324" s="4" t="n">
        <v>30</v>
      </c>
      <c r="G3324" s="4" t="s">
        <v>13163</v>
      </c>
      <c r="H3324" s="4" t="n">
        <v>32.77792</v>
      </c>
      <c r="I3324" s="4" t="n">
        <v>-96.79685</v>
      </c>
      <c r="J3324" s="4" t="s">
        <v>13164</v>
      </c>
      <c r="K3324" s="6" t="str">
        <f aca="false">HYPERLINK("https://www.google.com/search?q=Dallas+Public+Library+Dallas+TX+library+website","Search")</f>
        <v>Search</v>
      </c>
      <c r="L3324" s="7"/>
      <c r="M3324" s="7"/>
    </row>
    <row r="3325" customFormat="false" ht="15" hidden="false" customHeight="true" outlineLevel="0" collapsed="false">
      <c r="A3325" s="4" t="s">
        <v>12921</v>
      </c>
      <c r="B3325" s="4" t="s">
        <v>13165</v>
      </c>
      <c r="C3325" s="4" t="s">
        <v>13166</v>
      </c>
      <c r="D3325" s="4" t="s">
        <v>2726</v>
      </c>
      <c r="E3325" s="5" t="n">
        <v>12413</v>
      </c>
      <c r="F3325" s="4" t="n">
        <v>1</v>
      </c>
      <c r="G3325" s="4" t="s">
        <v>13167</v>
      </c>
      <c r="H3325" s="4" t="n">
        <v>32.73484</v>
      </c>
      <c r="I3325" s="4" t="n">
        <v>-101.95456</v>
      </c>
      <c r="J3325" s="4" t="s">
        <v>13168</v>
      </c>
      <c r="K3325" s="6" t="str">
        <f aca="false">HYPERLINK("https://www.google.com/search?q=Dawson+County+Public+Library+Lamesa+TX+library+website","Search")</f>
        <v>Search</v>
      </c>
      <c r="L3325" s="7"/>
      <c r="M3325" s="7"/>
    </row>
    <row r="3326" customFormat="false" ht="15" hidden="false" customHeight="true" outlineLevel="0" collapsed="false">
      <c r="A3326" s="4" t="s">
        <v>12921</v>
      </c>
      <c r="B3326" s="4" t="s">
        <v>13169</v>
      </c>
      <c r="C3326" s="4" t="s">
        <v>13170</v>
      </c>
      <c r="D3326" s="4" t="s">
        <v>13171</v>
      </c>
      <c r="E3326" s="5" t="n">
        <v>18329</v>
      </c>
      <c r="F3326" s="4" t="n">
        <v>1</v>
      </c>
      <c r="G3326" s="4" t="s">
        <v>13172</v>
      </c>
      <c r="H3326" s="4" t="n">
        <v>34.81852</v>
      </c>
      <c r="I3326" s="4" t="n">
        <v>-102.39822</v>
      </c>
      <c r="J3326" s="4" t="s">
        <v>13173</v>
      </c>
      <c r="K3326" s="6" t="str">
        <f aca="false">HYPERLINK("https://www.google.com/search?q=Deaf+Smith+County+Library+Hereford+TX+library+website","Search")</f>
        <v>Search</v>
      </c>
      <c r="L3326" s="7"/>
      <c r="M3326" s="7"/>
    </row>
    <row r="3327" customFormat="false" ht="15" hidden="false" customHeight="true" outlineLevel="0" collapsed="false">
      <c r="A3327" s="4" t="s">
        <v>12921</v>
      </c>
      <c r="B3327" s="4" t="s">
        <v>154</v>
      </c>
      <c r="C3327" s="4" t="s">
        <v>155</v>
      </c>
      <c r="D3327" s="4" t="s">
        <v>13029</v>
      </c>
      <c r="E3327" s="5" t="n">
        <v>28980</v>
      </c>
      <c r="F3327" s="4" t="n">
        <v>1</v>
      </c>
      <c r="G3327" s="4" t="s">
        <v>13174</v>
      </c>
      <c r="H3327" s="4" t="n">
        <v>33.22103</v>
      </c>
      <c r="I3327" s="4" t="n">
        <v>-97.59518</v>
      </c>
      <c r="J3327" s="4" t="s">
        <v>13175</v>
      </c>
      <c r="K3327" s="6" t="str">
        <f aca="false">HYPERLINK("https://www.google.com/search?q=Decatur+Public+Library+Decatur+TX+library+website","Search")</f>
        <v>Search</v>
      </c>
      <c r="L3327" s="7"/>
      <c r="M3327" s="7"/>
    </row>
    <row r="3328" customFormat="false" ht="15" hidden="false" customHeight="true" outlineLevel="0" collapsed="false">
      <c r="A3328" s="4" t="s">
        <v>12921</v>
      </c>
      <c r="B3328" s="4" t="s">
        <v>9428</v>
      </c>
      <c r="C3328" s="4" t="s">
        <v>9429</v>
      </c>
      <c r="D3328" s="4" t="s">
        <v>12998</v>
      </c>
      <c r="E3328" s="5" t="n">
        <v>33676</v>
      </c>
      <c r="F3328" s="4" t="n">
        <v>1</v>
      </c>
      <c r="G3328" s="4" t="s">
        <v>13176</v>
      </c>
      <c r="H3328" s="4" t="n">
        <v>29.68384</v>
      </c>
      <c r="I3328" s="4" t="n">
        <v>-95.12328</v>
      </c>
      <c r="J3328" s="4" t="s">
        <v>13177</v>
      </c>
      <c r="K3328" s="6" t="str">
        <f aca="false">HYPERLINK("https://www.google.com/search?q=Deer+Park+Public+Library+Deer+Park+TX+library+website","Search")</f>
        <v>Search</v>
      </c>
      <c r="L3328" s="7"/>
      <c r="M3328" s="7"/>
    </row>
    <row r="3329" customFormat="false" ht="15" hidden="false" customHeight="true" outlineLevel="0" collapsed="false">
      <c r="A3329" s="4" t="s">
        <v>12921</v>
      </c>
      <c r="B3329" s="4" t="s">
        <v>13178</v>
      </c>
      <c r="C3329" s="4" t="s">
        <v>3075</v>
      </c>
      <c r="D3329" s="4" t="s">
        <v>4945</v>
      </c>
      <c r="E3329" s="5" t="n">
        <v>25179</v>
      </c>
      <c r="F3329" s="4" t="n">
        <v>1</v>
      </c>
      <c r="G3329" s="4" t="s">
        <v>13179</v>
      </c>
      <c r="H3329" s="4" t="n">
        <v>33.75738</v>
      </c>
      <c r="I3329" s="4" t="n">
        <v>-96.53877</v>
      </c>
      <c r="J3329" s="4" t="s">
        <v>13180</v>
      </c>
      <c r="K3329" s="6" t="str">
        <f aca="false">HYPERLINK("https://www.google.com/search?q=Denison+Public+Library+Denison+TX+library+website","Search")</f>
        <v>Search</v>
      </c>
      <c r="L3329" s="7"/>
      <c r="M3329" s="7"/>
    </row>
    <row r="3330" customFormat="false" ht="15" hidden="false" customHeight="true" outlineLevel="0" collapsed="false">
      <c r="A3330" s="4" t="s">
        <v>12921</v>
      </c>
      <c r="B3330" s="4" t="s">
        <v>13181</v>
      </c>
      <c r="C3330" s="4" t="s">
        <v>6181</v>
      </c>
      <c r="D3330" s="4" t="s">
        <v>6181</v>
      </c>
      <c r="E3330" s="5" t="n">
        <v>148146</v>
      </c>
      <c r="F3330" s="4" t="n">
        <v>3</v>
      </c>
      <c r="G3330" s="4" t="s">
        <v>13182</v>
      </c>
      <c r="H3330" s="4" t="n">
        <v>33.21865</v>
      </c>
      <c r="I3330" s="4" t="n">
        <v>-97.13028</v>
      </c>
      <c r="J3330" s="4" t="s">
        <v>13183</v>
      </c>
      <c r="K3330" s="6" t="str">
        <f aca="false">HYPERLINK("https://www.google.com/search?q=Denton+Public+Library+Denton+TX+library+website","Search")</f>
        <v>Search</v>
      </c>
      <c r="L3330" s="7"/>
      <c r="M3330" s="7"/>
    </row>
    <row r="3331" customFormat="false" ht="15" hidden="false" customHeight="true" outlineLevel="0" collapsed="false">
      <c r="A3331" s="4" t="s">
        <v>12921</v>
      </c>
      <c r="B3331" s="4" t="s">
        <v>13184</v>
      </c>
      <c r="C3331" s="4" t="s">
        <v>5274</v>
      </c>
      <c r="D3331" s="4" t="s">
        <v>394</v>
      </c>
      <c r="E3331" s="5" t="n">
        <v>55729</v>
      </c>
      <c r="F3331" s="4" t="n">
        <v>1</v>
      </c>
      <c r="G3331" s="4" t="s">
        <v>13185</v>
      </c>
      <c r="H3331" s="4" t="n">
        <v>32.60432</v>
      </c>
      <c r="I3331" s="4" t="n">
        <v>-96.85455</v>
      </c>
      <c r="J3331" s="4" t="s">
        <v>13186</v>
      </c>
      <c r="K3331" s="6" t="str">
        <f aca="false">HYPERLINK("https://www.google.com/search?q=Desoto+Public+Library+Desoto+TX+library+website","Search")</f>
        <v>Search</v>
      </c>
      <c r="L3331" s="7"/>
      <c r="M3331" s="8" t="str">
        <f aca="false">HYPERLINK("https://desototx.overdrive.com","https://desototx.overdrive.com")</f>
        <v>https://desototx.overdrive.com</v>
      </c>
    </row>
    <row r="3332" customFormat="false" ht="15" hidden="false" customHeight="true" outlineLevel="0" collapsed="false">
      <c r="A3332" s="4" t="s">
        <v>12921</v>
      </c>
      <c r="B3332" s="4" t="s">
        <v>13187</v>
      </c>
      <c r="C3332" s="4" t="s">
        <v>3123</v>
      </c>
      <c r="D3332" s="4" t="s">
        <v>13188</v>
      </c>
      <c r="E3332" s="5" t="n">
        <v>24726</v>
      </c>
      <c r="F3332" s="4" t="n">
        <v>1</v>
      </c>
      <c r="G3332" s="4" t="s">
        <v>13189</v>
      </c>
      <c r="H3332" s="4" t="n">
        <v>29.45959</v>
      </c>
      <c r="I3332" s="4" t="n">
        <v>-95.0506</v>
      </c>
      <c r="J3332" s="4" t="s">
        <v>13190</v>
      </c>
      <c r="K3332" s="6" t="str">
        <f aca="false">HYPERLINK("https://www.google.com/search?q=Dickinson+Public+Library+Dickinson+TX+library+website","Search")</f>
        <v>Search</v>
      </c>
      <c r="L3332" s="7"/>
      <c r="M3332" s="7"/>
    </row>
    <row r="3333" customFormat="false" ht="15" hidden="false" customHeight="true" outlineLevel="0" collapsed="false">
      <c r="A3333" s="4" t="s">
        <v>12921</v>
      </c>
      <c r="B3333" s="4" t="s">
        <v>13191</v>
      </c>
      <c r="C3333" s="4" t="s">
        <v>13192</v>
      </c>
      <c r="D3333" s="4" t="s">
        <v>13193</v>
      </c>
      <c r="E3333" s="5" t="n">
        <v>25845</v>
      </c>
      <c r="F3333" s="4" t="n">
        <v>1</v>
      </c>
      <c r="G3333" s="4" t="s">
        <v>13194</v>
      </c>
      <c r="H3333" s="4" t="n">
        <v>26.16789</v>
      </c>
      <c r="I3333" s="4" t="n">
        <v>-98.05481</v>
      </c>
      <c r="J3333" s="4" t="s">
        <v>13195</v>
      </c>
      <c r="K3333" s="6" t="str">
        <f aca="false">HYPERLINK("https://www.google.com/search?q=Donna+Public+Library+Donna+TX+library+website","Search")</f>
        <v>Search</v>
      </c>
      <c r="L3333" s="7"/>
      <c r="M3333" s="7"/>
    </row>
    <row r="3334" customFormat="false" ht="15" hidden="false" customHeight="true" outlineLevel="0" collapsed="false">
      <c r="A3334" s="4" t="s">
        <v>12921</v>
      </c>
      <c r="B3334" s="4" t="s">
        <v>13196</v>
      </c>
      <c r="C3334" s="4" t="s">
        <v>13197</v>
      </c>
      <c r="D3334" s="4" t="s">
        <v>3188</v>
      </c>
      <c r="E3334" s="5" t="n">
        <v>14844</v>
      </c>
      <c r="F3334" s="4" t="n">
        <v>1</v>
      </c>
      <c r="G3334" s="4" t="s">
        <v>13198</v>
      </c>
      <c r="H3334" s="4" t="n">
        <v>29.88319</v>
      </c>
      <c r="I3334" s="4" t="n">
        <v>-97.67214</v>
      </c>
      <c r="J3334" s="4" t="s">
        <v>13199</v>
      </c>
      <c r="K3334" s="6" t="str">
        <f aca="false">HYPERLINK("https://www.google.com/search?q=Dr+Eugene+Clark+Library+Lockhart+TX+library+website","Search")</f>
        <v>Search</v>
      </c>
      <c r="L3334" s="7"/>
      <c r="M3334" s="7"/>
    </row>
    <row r="3335" customFormat="false" ht="15" hidden="false" customHeight="true" outlineLevel="0" collapsed="false">
      <c r="A3335" s="4" t="s">
        <v>12921</v>
      </c>
      <c r="B3335" s="4" t="s">
        <v>13200</v>
      </c>
      <c r="C3335" s="4" t="s">
        <v>13201</v>
      </c>
      <c r="D3335" s="4" t="s">
        <v>13193</v>
      </c>
      <c r="E3335" s="5" t="n">
        <v>25063</v>
      </c>
      <c r="F3335" s="4" t="n">
        <v>1</v>
      </c>
      <c r="G3335" s="4" t="s">
        <v>13202</v>
      </c>
      <c r="H3335" s="4" t="n">
        <v>26.14721</v>
      </c>
      <c r="I3335" s="4" t="n">
        <v>-97.91211</v>
      </c>
      <c r="J3335" s="4" t="s">
        <v>13203</v>
      </c>
      <c r="K3335" s="6" t="str">
        <f aca="false">HYPERLINK("https://www.google.com/search?q=Dr+Hector+P+Garcia+Memorial+Library+Mercedes+TX+library+website","Search")</f>
        <v>Search</v>
      </c>
      <c r="L3335" s="7"/>
      <c r="M3335" s="7"/>
    </row>
    <row r="3336" customFormat="false" ht="15" hidden="false" customHeight="true" outlineLevel="0" collapsed="false">
      <c r="A3336" s="4" t="s">
        <v>12921</v>
      </c>
      <c r="B3336" s="4" t="s">
        <v>13204</v>
      </c>
      <c r="C3336" s="4" t="s">
        <v>13205</v>
      </c>
      <c r="D3336" s="4" t="s">
        <v>4724</v>
      </c>
      <c r="E3336" s="5" t="n">
        <v>52117</v>
      </c>
      <c r="F3336" s="4" t="n">
        <v>1</v>
      </c>
      <c r="G3336" s="4" t="s">
        <v>13206</v>
      </c>
      <c r="H3336" s="4" t="n">
        <v>30.19658</v>
      </c>
      <c r="I3336" s="4" t="n">
        <v>-98.09798</v>
      </c>
      <c r="J3336" s="4" t="s">
        <v>13207</v>
      </c>
      <c r="K3336" s="6" t="str">
        <f aca="false">HYPERLINK("https://www.google.com/search?q=Dripping+Springs+Community+Library+Dripping+Springs+TX+library+website","Search")</f>
        <v>Search</v>
      </c>
      <c r="L3336" s="7"/>
      <c r="M3336" s="8" t="str">
        <f aca="false">HYPERLINK("https://dscl.overdrive.com","https://dscl.overdrive.com")</f>
        <v>https://dscl.overdrive.com</v>
      </c>
    </row>
    <row r="3337" customFormat="false" ht="15" hidden="false" customHeight="true" outlineLevel="0" collapsed="false">
      <c r="A3337" s="4" t="s">
        <v>12921</v>
      </c>
      <c r="B3337" s="4" t="s">
        <v>13208</v>
      </c>
      <c r="C3337" s="4" t="s">
        <v>13209</v>
      </c>
      <c r="D3337" s="4" t="s">
        <v>394</v>
      </c>
      <c r="E3337" s="5" t="n">
        <v>39797</v>
      </c>
      <c r="F3337" s="4" t="n">
        <v>1</v>
      </c>
      <c r="G3337" s="4" t="s">
        <v>13210</v>
      </c>
      <c r="H3337" s="4" t="n">
        <v>32.64865</v>
      </c>
      <c r="I3337" s="4" t="n">
        <v>-96.90719</v>
      </c>
      <c r="J3337" s="4" t="s">
        <v>13211</v>
      </c>
      <c r="K3337" s="6" t="str">
        <f aca="false">HYPERLINK("https://www.google.com/search?q=Duncanville+Public+Library+Duncanville+TX+library+website","Search")</f>
        <v>Search</v>
      </c>
      <c r="L3337" s="7"/>
      <c r="M3337" s="7"/>
    </row>
    <row r="3338" customFormat="false" ht="15" hidden="false" customHeight="true" outlineLevel="0" collapsed="false">
      <c r="A3338" s="4" t="s">
        <v>12921</v>
      </c>
      <c r="B3338" s="4" t="s">
        <v>13212</v>
      </c>
      <c r="C3338" s="4" t="s">
        <v>13213</v>
      </c>
      <c r="D3338" s="4" t="s">
        <v>13193</v>
      </c>
      <c r="E3338" s="5" t="n">
        <v>157460</v>
      </c>
      <c r="F3338" s="4" t="n">
        <v>1</v>
      </c>
      <c r="G3338" s="4" t="s">
        <v>13214</v>
      </c>
      <c r="H3338" s="4" t="n">
        <v>26.28406</v>
      </c>
      <c r="I3338" s="4" t="n">
        <v>-98.16545</v>
      </c>
      <c r="J3338" s="4" t="s">
        <v>13215</v>
      </c>
      <c r="K3338" s="6" t="str">
        <f aca="false">HYPERLINK("https://www.google.com/search?q=Dustin+Michael+Sekula+Memorial+Library+Edinburg+TX+library+website","Search")</f>
        <v>Search</v>
      </c>
      <c r="L3338" s="7"/>
      <c r="M3338" s="7"/>
    </row>
    <row r="3339" customFormat="false" ht="15" hidden="false" customHeight="true" outlineLevel="0" collapsed="false">
      <c r="A3339" s="4" t="s">
        <v>12921</v>
      </c>
      <c r="B3339" s="4" t="s">
        <v>13216</v>
      </c>
      <c r="C3339" s="4" t="s">
        <v>13217</v>
      </c>
      <c r="D3339" s="4" t="s">
        <v>13218</v>
      </c>
      <c r="E3339" s="5" t="n">
        <v>43107</v>
      </c>
      <c r="F3339" s="4" t="n">
        <v>1</v>
      </c>
      <c r="G3339" s="4" t="s">
        <v>13219</v>
      </c>
      <c r="H3339" s="4" t="n">
        <v>28.70849</v>
      </c>
      <c r="I3339" s="4" t="n">
        <v>-100.50098</v>
      </c>
      <c r="J3339" s="4" t="s">
        <v>13220</v>
      </c>
      <c r="K3339" s="6" t="str">
        <f aca="false">HYPERLINK("https://www.google.com/search?q=Eagle+Pass+Public+Library+Eagle+Pass+TX+library+website","Search")</f>
        <v>Search</v>
      </c>
      <c r="L3339" s="7"/>
      <c r="M3339" s="7"/>
    </row>
    <row r="3340" customFormat="false" ht="15" hidden="false" customHeight="true" outlineLevel="0" collapsed="false">
      <c r="A3340" s="4" t="s">
        <v>12921</v>
      </c>
      <c r="B3340" s="4" t="s">
        <v>13221</v>
      </c>
      <c r="C3340" s="4" t="s">
        <v>13222</v>
      </c>
      <c r="D3340" s="4" t="s">
        <v>12973</v>
      </c>
      <c r="E3340" s="5" t="n">
        <v>18532</v>
      </c>
      <c r="F3340" s="4" t="n">
        <v>1</v>
      </c>
      <c r="G3340" s="4" t="s">
        <v>13223</v>
      </c>
      <c r="H3340" s="4" t="n">
        <v>32.69887</v>
      </c>
      <c r="I3340" s="4" t="n">
        <v>-97.60338</v>
      </c>
      <c r="J3340" s="4" t="s">
        <v>13224</v>
      </c>
      <c r="K3340" s="6" t="str">
        <f aca="false">HYPERLINK("https://www.google.com/search?q=East+Parker+County+Library+Aledo+TX+library+website","Search")</f>
        <v>Search</v>
      </c>
      <c r="L3340" s="7"/>
      <c r="M3340" s="7"/>
    </row>
    <row r="3341" customFormat="false" ht="15" hidden="false" customHeight="true" outlineLevel="0" collapsed="false">
      <c r="A3341" s="4" t="s">
        <v>12921</v>
      </c>
      <c r="B3341" s="4" t="s">
        <v>13225</v>
      </c>
      <c r="C3341" s="4" t="s">
        <v>13226</v>
      </c>
      <c r="D3341" s="4" t="s">
        <v>12968</v>
      </c>
      <c r="E3341" s="5" t="n">
        <v>36254</v>
      </c>
      <c r="F3341" s="4" t="n">
        <v>2</v>
      </c>
      <c r="G3341" s="4" t="s">
        <v>13227</v>
      </c>
      <c r="H3341" s="4" t="n">
        <v>30.12365</v>
      </c>
      <c r="I3341" s="4" t="n">
        <v>-97.63883</v>
      </c>
      <c r="J3341" s="4" t="s">
        <v>13228</v>
      </c>
      <c r="K3341" s="6" t="str">
        <f aca="false">HYPERLINK("https://www.google.com/search?q=East+Travis+Gateway+Library+District+Del+Valle+TX+library+website","Search")</f>
        <v>Search</v>
      </c>
      <c r="L3341" s="7"/>
      <c r="M3341" s="7"/>
    </row>
    <row r="3342" customFormat="false" ht="15" hidden="false" customHeight="true" outlineLevel="0" collapsed="false">
      <c r="A3342" s="4" t="s">
        <v>12921</v>
      </c>
      <c r="B3342" s="4" t="s">
        <v>13229</v>
      </c>
      <c r="C3342" s="4" t="s">
        <v>2221</v>
      </c>
      <c r="D3342" s="4" t="s">
        <v>13230</v>
      </c>
      <c r="E3342" s="5" t="n">
        <v>161091</v>
      </c>
      <c r="F3342" s="4" t="n">
        <v>1</v>
      </c>
      <c r="G3342" s="4" t="s">
        <v>13231</v>
      </c>
      <c r="H3342" s="4" t="n">
        <v>31.84712</v>
      </c>
      <c r="I3342" s="4" t="n">
        <v>-102.3719</v>
      </c>
      <c r="J3342" s="4" t="s">
        <v>13232</v>
      </c>
      <c r="K3342" s="6" t="str">
        <f aca="false">HYPERLINK("https://www.google.com/search?q=Ector+County+Library+Odessa+TX+library+website","Search")</f>
        <v>Search</v>
      </c>
      <c r="L3342" s="7"/>
      <c r="M3342" s="7"/>
    </row>
    <row r="3343" customFormat="false" ht="15" hidden="false" customHeight="true" outlineLevel="0" collapsed="false">
      <c r="A3343" s="4" t="s">
        <v>12921</v>
      </c>
      <c r="B3343" s="4" t="s">
        <v>13233</v>
      </c>
      <c r="C3343" s="4" t="s">
        <v>13234</v>
      </c>
      <c r="D3343" s="4" t="s">
        <v>12993</v>
      </c>
      <c r="E3343" s="5" t="n">
        <v>11392</v>
      </c>
      <c r="F3343" s="4" t="n">
        <v>1</v>
      </c>
      <c r="G3343" s="4" t="s">
        <v>13235</v>
      </c>
      <c r="H3343" s="4" t="n">
        <v>27.90901</v>
      </c>
      <c r="I3343" s="4" t="n">
        <v>-97.14891</v>
      </c>
      <c r="J3343" s="4" t="s">
        <v>13236</v>
      </c>
      <c r="K3343" s="6" t="str">
        <f aca="false">HYPERLINK("https://www.google.com/search?q=Ed+%26+Hazel+Richmond+Public+Library+Aransas+Pass+TX+library+website","Search")</f>
        <v>Search</v>
      </c>
      <c r="L3343" s="7"/>
      <c r="M3343" s="7"/>
    </row>
    <row r="3344" customFormat="false" ht="15" hidden="false" customHeight="true" outlineLevel="0" collapsed="false">
      <c r="A3344" s="4" t="s">
        <v>12921</v>
      </c>
      <c r="B3344" s="4" t="s">
        <v>13237</v>
      </c>
      <c r="C3344" s="4" t="s">
        <v>13238</v>
      </c>
      <c r="D3344" s="4" t="s">
        <v>2322</v>
      </c>
      <c r="E3344" s="5" t="n">
        <v>10263</v>
      </c>
      <c r="F3344" s="4" t="n">
        <v>1</v>
      </c>
      <c r="G3344" s="4" t="s">
        <v>13239</v>
      </c>
      <c r="H3344" s="4" t="n">
        <v>33.81566</v>
      </c>
      <c r="I3344" s="4" t="n">
        <v>-98.19709</v>
      </c>
      <c r="J3344" s="4" t="s">
        <v>13240</v>
      </c>
      <c r="K3344" s="6" t="str">
        <f aca="false">HYPERLINK("https://www.google.com/search?q=Edwards+Public+Library+Henrietta+TX+library+website","Search")</f>
        <v>Search</v>
      </c>
      <c r="L3344" s="7"/>
      <c r="M3344" s="7"/>
    </row>
    <row r="3345" customFormat="false" ht="15" hidden="false" customHeight="true" outlineLevel="0" collapsed="false">
      <c r="A3345" s="4" t="s">
        <v>12921</v>
      </c>
      <c r="B3345" s="4" t="s">
        <v>13241</v>
      </c>
      <c r="C3345" s="4" t="s">
        <v>13242</v>
      </c>
      <c r="D3345" s="4" t="s">
        <v>98</v>
      </c>
      <c r="E3345" s="5" t="n">
        <v>13416</v>
      </c>
      <c r="F3345" s="4" t="n">
        <v>1</v>
      </c>
      <c r="G3345" s="4" t="s">
        <v>13243</v>
      </c>
      <c r="H3345" s="4" t="n">
        <v>29.98196</v>
      </c>
      <c r="I3345" s="4" t="n">
        <v>-93.95516</v>
      </c>
      <c r="J3345" s="4" t="s">
        <v>13244</v>
      </c>
      <c r="K3345" s="6" t="str">
        <f aca="false">HYPERLINK("https://www.google.com/search?q=Effie+%26+Wilton+Hebert+Public+Library+Port+Neches+TX+library+website","Search")</f>
        <v>Search</v>
      </c>
      <c r="L3345" s="7"/>
      <c r="M3345" s="7"/>
    </row>
    <row r="3346" customFormat="false" ht="15" hidden="false" customHeight="true" outlineLevel="0" collapsed="false">
      <c r="A3346" s="4" t="s">
        <v>12921</v>
      </c>
      <c r="B3346" s="4" t="s">
        <v>13245</v>
      </c>
      <c r="C3346" s="4" t="s">
        <v>1726</v>
      </c>
      <c r="D3346" s="4" t="s">
        <v>1726</v>
      </c>
      <c r="E3346" s="5" t="n">
        <v>678415</v>
      </c>
      <c r="F3346" s="4" t="n">
        <v>15</v>
      </c>
      <c r="G3346" s="4" t="s">
        <v>13246</v>
      </c>
      <c r="H3346" s="4" t="n">
        <v>31.76088</v>
      </c>
      <c r="I3346" s="4" t="n">
        <v>-106.49034</v>
      </c>
      <c r="J3346" s="4" t="s">
        <v>13247</v>
      </c>
      <c r="K3346" s="6" t="str">
        <f aca="false">HYPERLINK("https://www.google.com/search?q=El+Paso+Public+Library+El+Paso+TX+library+website","Search")</f>
        <v>Search</v>
      </c>
      <c r="L3346" s="7"/>
      <c r="M3346" s="8" t="str">
        <f aca="false">HYPERLINK("https://elpaso.overdrive.com","https://elpaso.overdrive.com")</f>
        <v>https://elpaso.overdrive.com</v>
      </c>
    </row>
    <row r="3347" customFormat="false" ht="15" hidden="false" customHeight="true" outlineLevel="0" collapsed="false">
      <c r="A3347" s="4" t="s">
        <v>12921</v>
      </c>
      <c r="B3347" s="4" t="s">
        <v>13248</v>
      </c>
      <c r="C3347" s="4" t="s">
        <v>13249</v>
      </c>
      <c r="D3347" s="4" t="s">
        <v>13249</v>
      </c>
      <c r="E3347" s="5" t="n">
        <v>20275</v>
      </c>
      <c r="F3347" s="4" t="n">
        <v>1</v>
      </c>
      <c r="G3347" s="4" t="s">
        <v>13250</v>
      </c>
      <c r="H3347" s="4" t="n">
        <v>29.20813</v>
      </c>
      <c r="I3347" s="4" t="n">
        <v>-99.79069</v>
      </c>
      <c r="J3347" s="4" t="s">
        <v>13251</v>
      </c>
      <c r="K3347" s="6" t="str">
        <f aca="false">HYPERLINK("https://www.google.com/search?q=El+Progreso+Memorial+Library+Uvalde+TX+library+website","Search")</f>
        <v>Search</v>
      </c>
      <c r="L3347" s="7"/>
      <c r="M3347" s="7"/>
    </row>
    <row r="3348" customFormat="false" ht="15" hidden="false" customHeight="true" outlineLevel="0" collapsed="false">
      <c r="A3348" s="4" t="s">
        <v>12921</v>
      </c>
      <c r="B3348" s="4" t="s">
        <v>13252</v>
      </c>
      <c r="C3348" s="4" t="s">
        <v>3613</v>
      </c>
      <c r="D3348" s="4" t="s">
        <v>5336</v>
      </c>
      <c r="E3348" s="5" t="n">
        <v>10549</v>
      </c>
      <c r="F3348" s="4" t="n">
        <v>1</v>
      </c>
      <c r="G3348" s="4" t="s">
        <v>13253</v>
      </c>
      <c r="H3348" s="4" t="n">
        <v>30.35087</v>
      </c>
      <c r="I3348" s="4" t="n">
        <v>-97.37176</v>
      </c>
      <c r="J3348" s="4" t="s">
        <v>13254</v>
      </c>
      <c r="K3348" s="6" t="str">
        <f aca="false">HYPERLINK("https://www.google.com/search?q=Elgin+Public+Library+Elgin+TX+library+website","Search")</f>
        <v>Search</v>
      </c>
      <c r="L3348" s="7"/>
      <c r="M3348" s="7"/>
    </row>
    <row r="3349" customFormat="false" ht="15" hidden="false" customHeight="true" outlineLevel="0" collapsed="false">
      <c r="A3349" s="4" t="s">
        <v>12921</v>
      </c>
      <c r="B3349" s="4" t="s">
        <v>13255</v>
      </c>
      <c r="C3349" s="4" t="s">
        <v>13256</v>
      </c>
      <c r="D3349" s="4" t="s">
        <v>4725</v>
      </c>
      <c r="E3349" s="5" t="n">
        <v>21210</v>
      </c>
      <c r="F3349" s="4" t="n">
        <v>1</v>
      </c>
      <c r="G3349" s="4" t="s">
        <v>13257</v>
      </c>
      <c r="H3349" s="4" t="n">
        <v>32.32575</v>
      </c>
      <c r="I3349" s="4" t="n">
        <v>-96.63132</v>
      </c>
      <c r="J3349" s="4" t="s">
        <v>13258</v>
      </c>
      <c r="K3349" s="6" t="str">
        <f aca="false">HYPERLINK("https://www.google.com/search?q=Ennis+Public+Library+Ennis+TX+library+website","Search")</f>
        <v>Search</v>
      </c>
      <c r="L3349" s="7"/>
      <c r="M3349" s="7"/>
    </row>
    <row r="3350" customFormat="false" ht="15" hidden="false" customHeight="true" outlineLevel="0" collapsed="false">
      <c r="A3350" s="4" t="s">
        <v>12921</v>
      </c>
      <c r="B3350" s="4" t="s">
        <v>13259</v>
      </c>
      <c r="C3350" s="4" t="s">
        <v>13260</v>
      </c>
      <c r="D3350" s="4" t="s">
        <v>13033</v>
      </c>
      <c r="E3350" s="5" t="n">
        <v>11116</v>
      </c>
      <c r="F3350" s="4" t="n">
        <v>1</v>
      </c>
      <c r="G3350" s="4" t="s">
        <v>13261</v>
      </c>
      <c r="H3350" s="4" t="n">
        <v>26.07208</v>
      </c>
      <c r="I3350" s="4" t="n">
        <v>-97.48121</v>
      </c>
      <c r="J3350" s="4" t="s">
        <v>13262</v>
      </c>
      <c r="K3350" s="6" t="str">
        <f aca="false">HYPERLINK("https://www.google.com/search?q=Ethel+L+Whipple+Memorial+Library+Los+Fresnos+TX+library+website","Search")</f>
        <v>Search</v>
      </c>
      <c r="L3350" s="7"/>
      <c r="M3350" s="7"/>
    </row>
    <row r="3351" customFormat="false" ht="15" hidden="false" customHeight="true" outlineLevel="0" collapsed="false">
      <c r="A3351" s="4" t="s">
        <v>12921</v>
      </c>
      <c r="B3351" s="4" t="s">
        <v>13263</v>
      </c>
      <c r="C3351" s="4" t="s">
        <v>13264</v>
      </c>
      <c r="D3351" s="4" t="s">
        <v>12957</v>
      </c>
      <c r="E3351" s="5" t="n">
        <v>60500</v>
      </c>
      <c r="F3351" s="4" t="n">
        <v>1</v>
      </c>
      <c r="G3351" s="4" t="s">
        <v>13265</v>
      </c>
      <c r="H3351" s="4" t="n">
        <v>32.83974</v>
      </c>
      <c r="I3351" s="4" t="n">
        <v>-97.09154</v>
      </c>
      <c r="J3351" s="4" t="s">
        <v>13266</v>
      </c>
      <c r="K3351" s="6" t="str">
        <f aca="false">HYPERLINK("https://www.google.com/search?q=Euless+Public+Library+Euless+TX+library+website","Search")</f>
        <v>Search</v>
      </c>
      <c r="L3351" s="7"/>
      <c r="M3351" s="7"/>
    </row>
    <row r="3352" customFormat="false" ht="15" hidden="false" customHeight="true" outlineLevel="0" collapsed="false">
      <c r="A3352" s="4" t="s">
        <v>12921</v>
      </c>
      <c r="B3352" s="4" t="s">
        <v>13267</v>
      </c>
      <c r="C3352" s="4" t="s">
        <v>13268</v>
      </c>
      <c r="D3352" s="4" t="s">
        <v>394</v>
      </c>
      <c r="E3352" s="5" t="n">
        <v>36442</v>
      </c>
      <c r="F3352" s="4" t="n">
        <v>1</v>
      </c>
      <c r="G3352" s="4" t="s">
        <v>13269</v>
      </c>
      <c r="H3352" s="4" t="n">
        <v>32.93307</v>
      </c>
      <c r="I3352" s="4" t="n">
        <v>-96.87331</v>
      </c>
      <c r="J3352" s="4" t="s">
        <v>13270</v>
      </c>
      <c r="K3352" s="6" t="str">
        <f aca="false">HYPERLINK("https://www.google.com/search?q=Farmers+Branch+Manske+Public+Library+Farmers+Branch+TX+library+website","Search")</f>
        <v>Search</v>
      </c>
      <c r="L3352" s="7"/>
      <c r="M3352" s="7"/>
    </row>
    <row r="3353" customFormat="false" ht="15" hidden="false" customHeight="true" outlineLevel="0" collapsed="false">
      <c r="A3353" s="4" t="s">
        <v>12921</v>
      </c>
      <c r="B3353" s="4" t="s">
        <v>13271</v>
      </c>
      <c r="C3353" s="4" t="s">
        <v>13272</v>
      </c>
      <c r="D3353" s="4" t="s">
        <v>6181</v>
      </c>
      <c r="E3353" s="5" t="n">
        <v>107750</v>
      </c>
      <c r="F3353" s="4" t="n">
        <v>1</v>
      </c>
      <c r="G3353" s="4" t="s">
        <v>13273</v>
      </c>
      <c r="H3353" s="4" t="n">
        <v>33.03311</v>
      </c>
      <c r="I3353" s="4" t="n">
        <v>-97.07733</v>
      </c>
      <c r="J3353" s="4" t="s">
        <v>13274</v>
      </c>
      <c r="K3353" s="6" t="str">
        <f aca="false">HYPERLINK("https://www.google.com/search?q=Flower+Mound+Public+Library+Flower+Mound+TX+library+website","Search")</f>
        <v>Search</v>
      </c>
      <c r="L3353" s="7"/>
      <c r="M3353" s="7"/>
    </row>
    <row r="3354" customFormat="false" ht="15" hidden="false" customHeight="true" outlineLevel="0" collapsed="false">
      <c r="A3354" s="4" t="s">
        <v>12921</v>
      </c>
      <c r="B3354" s="4" t="s">
        <v>13275</v>
      </c>
      <c r="C3354" s="4" t="s">
        <v>13276</v>
      </c>
      <c r="D3354" s="4" t="s">
        <v>12957</v>
      </c>
      <c r="E3354" s="5" t="n">
        <v>13818</v>
      </c>
      <c r="F3354" s="4" t="n">
        <v>1</v>
      </c>
      <c r="G3354" s="4" t="s">
        <v>13277</v>
      </c>
      <c r="H3354" s="4" t="n">
        <v>32.65327</v>
      </c>
      <c r="I3354" s="4" t="n">
        <v>-97.26994</v>
      </c>
      <c r="J3354" s="4" t="s">
        <v>13278</v>
      </c>
      <c r="K3354" s="6" t="str">
        <f aca="false">HYPERLINK("https://www.google.com/search?q=Forest+Hill+Public+Library+Forest+Hill+TX+library+website","Search")</f>
        <v>Search</v>
      </c>
      <c r="L3354" s="7"/>
      <c r="M3354" s="7"/>
    </row>
    <row r="3355" customFormat="false" ht="15" hidden="false" customHeight="true" outlineLevel="0" collapsed="false">
      <c r="A3355" s="4" t="s">
        <v>12921</v>
      </c>
      <c r="B3355" s="4" t="s">
        <v>13279</v>
      </c>
      <c r="C3355" s="4" t="s">
        <v>1348</v>
      </c>
      <c r="D3355" s="4" t="s">
        <v>13280</v>
      </c>
      <c r="E3355" s="5" t="n">
        <v>816175</v>
      </c>
      <c r="F3355" s="4" t="n">
        <v>13</v>
      </c>
      <c r="G3355" s="4" t="s">
        <v>13281</v>
      </c>
      <c r="H3355" s="4" t="n">
        <v>29.56258</v>
      </c>
      <c r="I3355" s="4" t="n">
        <v>-95.75901</v>
      </c>
      <c r="J3355" s="4" t="s">
        <v>13282</v>
      </c>
      <c r="K3355" s="6" t="str">
        <f aca="false">HYPERLINK("https://www.google.com/search?q=Fort+Bend+County+Libraries+Richmond+TX+library+website","Search")</f>
        <v>Search</v>
      </c>
      <c r="L3355" s="7"/>
      <c r="M3355" s="8" t="str">
        <f aca="false">HYPERLINK("https://fortbend.overdrive.com","https://fortbend.overdrive.com")</f>
        <v>https://fortbend.overdrive.com</v>
      </c>
    </row>
    <row r="3356" customFormat="false" ht="15" hidden="false" customHeight="true" outlineLevel="0" collapsed="false">
      <c r="A3356" s="4" t="s">
        <v>12921</v>
      </c>
      <c r="B3356" s="4" t="s">
        <v>13283</v>
      </c>
      <c r="C3356" s="4" t="s">
        <v>13284</v>
      </c>
      <c r="D3356" s="4" t="s">
        <v>13285</v>
      </c>
      <c r="E3356" s="5" t="n">
        <v>10699</v>
      </c>
      <c r="F3356" s="4" t="n">
        <v>1</v>
      </c>
      <c r="G3356" s="4" t="s">
        <v>13286</v>
      </c>
      <c r="H3356" s="4" t="n">
        <v>30.88966</v>
      </c>
      <c r="I3356" s="4" t="n">
        <v>-102.87805</v>
      </c>
      <c r="J3356" s="4" t="s">
        <v>13287</v>
      </c>
      <c r="K3356" s="6" t="str">
        <f aca="false">HYPERLINK("https://www.google.com/search?q=Fort+Stockton+Public+Library+Fort+Stockton+TX+library+website","Search")</f>
        <v>Search</v>
      </c>
      <c r="L3356" s="7"/>
      <c r="M3356" s="7"/>
    </row>
    <row r="3357" customFormat="false" ht="15" hidden="false" customHeight="true" outlineLevel="0" collapsed="false">
      <c r="A3357" s="4" t="s">
        <v>12921</v>
      </c>
      <c r="B3357" s="4" t="s">
        <v>13288</v>
      </c>
      <c r="C3357" s="4" t="s">
        <v>13289</v>
      </c>
      <c r="D3357" s="4" t="s">
        <v>12957</v>
      </c>
      <c r="E3357" s="5" t="n">
        <v>935508</v>
      </c>
      <c r="F3357" s="4" t="n">
        <v>18</v>
      </c>
      <c r="G3357" s="4" t="s">
        <v>13290</v>
      </c>
      <c r="H3357" s="4" t="n">
        <v>32.75367</v>
      </c>
      <c r="I3357" s="4" t="n">
        <v>-97.33469</v>
      </c>
      <c r="J3357" s="4" t="s">
        <v>13291</v>
      </c>
      <c r="K3357" s="6" t="str">
        <f aca="false">HYPERLINK("https://www.google.com/search?q=Fort+Worth+Public+Library+Fort+Worth+TX+library+website","Search")</f>
        <v>Search</v>
      </c>
      <c r="L3357" s="7"/>
      <c r="M3357" s="8" t="str">
        <f aca="false">HYPERLINK("https://fwpl.overdrive.com","https://fwpl.overdrive.com")</f>
        <v>https://fwpl.overdrive.com</v>
      </c>
    </row>
    <row r="3358" customFormat="false" ht="15" hidden="false" customHeight="true" outlineLevel="0" collapsed="false">
      <c r="A3358" s="4" t="s">
        <v>12921</v>
      </c>
      <c r="B3358" s="4" t="s">
        <v>7996</v>
      </c>
      <c r="C3358" s="4" t="s">
        <v>13292</v>
      </c>
      <c r="D3358" s="4" t="s">
        <v>384</v>
      </c>
      <c r="E3358" s="5" t="n">
        <v>10464</v>
      </c>
      <c r="F3358" s="4" t="n">
        <v>1</v>
      </c>
      <c r="G3358" s="4" t="s">
        <v>13293</v>
      </c>
      <c r="H3358" s="4" t="n">
        <v>33.18867</v>
      </c>
      <c r="I3358" s="4" t="n">
        <v>-95.22148</v>
      </c>
      <c r="J3358" s="4" t="s">
        <v>13294</v>
      </c>
      <c r="K3358" s="6" t="str">
        <f aca="false">HYPERLINK("https://www.google.com/search?q=Franklin+County+Library+Mt+Vernon+TX+library+website","Search")</f>
        <v>Search</v>
      </c>
      <c r="L3358" s="7"/>
      <c r="M3358" s="7"/>
    </row>
    <row r="3359" customFormat="false" ht="15" hidden="false" customHeight="true" outlineLevel="0" collapsed="false">
      <c r="A3359" s="4" t="s">
        <v>12921</v>
      </c>
      <c r="B3359" s="4" t="s">
        <v>13295</v>
      </c>
      <c r="C3359" s="4" t="s">
        <v>13296</v>
      </c>
      <c r="D3359" s="4" t="s">
        <v>13188</v>
      </c>
      <c r="E3359" s="5" t="n">
        <v>45254</v>
      </c>
      <c r="F3359" s="4" t="n">
        <v>1</v>
      </c>
      <c r="G3359" s="4" t="s">
        <v>13297</v>
      </c>
      <c r="H3359" s="4" t="n">
        <v>29.52877</v>
      </c>
      <c r="I3359" s="4" t="n">
        <v>-95.20038</v>
      </c>
      <c r="J3359" s="4" t="s">
        <v>13298</v>
      </c>
      <c r="K3359" s="6" t="str">
        <f aca="false">HYPERLINK("https://www.google.com/search?q=Friendswood+Public+Library+Friendswood+TX+library+website","Search")</f>
        <v>Search</v>
      </c>
      <c r="L3359" s="7"/>
      <c r="M3359" s="7"/>
    </row>
    <row r="3360" customFormat="false" ht="15" hidden="false" customHeight="true" outlineLevel="0" collapsed="false">
      <c r="A3360" s="4" t="s">
        <v>12921</v>
      </c>
      <c r="B3360" s="4" t="s">
        <v>13299</v>
      </c>
      <c r="C3360" s="4" t="s">
        <v>1767</v>
      </c>
      <c r="D3360" s="4" t="s">
        <v>12940</v>
      </c>
      <c r="E3360" s="5" t="n">
        <v>206778</v>
      </c>
      <c r="F3360" s="4" t="n">
        <v>2</v>
      </c>
      <c r="G3360" s="4" t="s">
        <v>13300</v>
      </c>
      <c r="H3360" s="4" t="n">
        <v>33.15046</v>
      </c>
      <c r="I3360" s="4" t="n">
        <v>-96.83465</v>
      </c>
      <c r="J3360" s="4" t="s">
        <v>13301</v>
      </c>
      <c r="K3360" s="6" t="str">
        <f aca="false">HYPERLINK("https://www.google.com/search?q=Frisco+Public+Library+Frisco+TX+library+website","Search")</f>
        <v>Search</v>
      </c>
      <c r="L3360" s="7"/>
      <c r="M3360" s="8" t="str">
        <f aca="false">HYPERLINK("https://frisco.overdrive.com","https://frisco.overdrive.com")</f>
        <v>https://frisco.overdrive.com</v>
      </c>
    </row>
    <row r="3361" customFormat="false" ht="15" hidden="false" customHeight="true" outlineLevel="0" collapsed="false">
      <c r="A3361" s="4" t="s">
        <v>12921</v>
      </c>
      <c r="B3361" s="4" t="s">
        <v>13302</v>
      </c>
      <c r="C3361" s="4" t="s">
        <v>2284</v>
      </c>
      <c r="D3361" s="4" t="s">
        <v>13303</v>
      </c>
      <c r="E3361" s="5" t="n">
        <v>21895</v>
      </c>
      <c r="F3361" s="4" t="n">
        <v>2</v>
      </c>
      <c r="G3361" s="4" t="s">
        <v>13304</v>
      </c>
      <c r="H3361" s="4" t="n">
        <v>32.71951</v>
      </c>
      <c r="I3361" s="4" t="n">
        <v>-102.6534</v>
      </c>
      <c r="J3361" s="4" t="s">
        <v>13305</v>
      </c>
      <c r="K3361" s="6" t="str">
        <f aca="false">HYPERLINK("https://www.google.com/search?q=Gaines+County+Library+Seminole+TX+library+website","Search")</f>
        <v>Search</v>
      </c>
      <c r="L3361" s="7"/>
      <c r="M3361" s="7"/>
    </row>
    <row r="3362" customFormat="false" ht="15" hidden="false" customHeight="true" outlineLevel="0" collapsed="false">
      <c r="A3362" s="4" t="s">
        <v>12921</v>
      </c>
      <c r="B3362" s="4" t="s">
        <v>2233</v>
      </c>
      <c r="C3362" s="4" t="s">
        <v>2234</v>
      </c>
      <c r="D3362" s="4" t="s">
        <v>3315</v>
      </c>
      <c r="E3362" s="5" t="n">
        <v>75420</v>
      </c>
      <c r="F3362" s="4" t="n">
        <v>1</v>
      </c>
      <c r="G3362" s="4" t="s">
        <v>13306</v>
      </c>
      <c r="H3362" s="4" t="n">
        <v>30.63641</v>
      </c>
      <c r="I3362" s="4" t="n">
        <v>-97.67998</v>
      </c>
      <c r="J3362" s="4" t="s">
        <v>13307</v>
      </c>
      <c r="K3362" s="6" t="str">
        <f aca="false">HYPERLINK("https://www.google.com/search?q=Georgetown+Public+Library+Georgetown+TX+library+website","Search")</f>
        <v>Search</v>
      </c>
      <c r="L3362" s="7"/>
      <c r="M3362" s="7"/>
    </row>
    <row r="3363" customFormat="false" ht="15" hidden="false" customHeight="true" outlineLevel="0" collapsed="false">
      <c r="A3363" s="4" t="s">
        <v>12921</v>
      </c>
      <c r="B3363" s="4" t="s">
        <v>13308</v>
      </c>
      <c r="C3363" s="4" t="s">
        <v>13309</v>
      </c>
      <c r="D3363" s="4" t="s">
        <v>78</v>
      </c>
      <c r="E3363" s="5" t="n">
        <v>14450</v>
      </c>
      <c r="F3363" s="4" t="n">
        <v>1</v>
      </c>
      <c r="G3363" s="4" t="s">
        <v>13310</v>
      </c>
      <c r="H3363" s="4" t="n">
        <v>31.68485</v>
      </c>
      <c r="I3363" s="4" t="n">
        <v>-96.48285</v>
      </c>
      <c r="J3363" s="4" t="s">
        <v>13311</v>
      </c>
      <c r="K3363" s="6" t="str">
        <f aca="false">HYPERLINK("https://www.google.com/search?q=Gibbs+Memorial+Library+Mexia+TX+library+website","Search")</f>
        <v>Search</v>
      </c>
      <c r="L3363" s="7"/>
      <c r="M3363" s="7"/>
    </row>
    <row r="3364" customFormat="false" ht="15" hidden="false" customHeight="true" outlineLevel="0" collapsed="false">
      <c r="A3364" s="4" t="s">
        <v>12921</v>
      </c>
      <c r="B3364" s="4" t="s">
        <v>13312</v>
      </c>
      <c r="C3364" s="4" t="s">
        <v>13313</v>
      </c>
      <c r="D3364" s="4" t="s">
        <v>394</v>
      </c>
      <c r="E3364" s="5" t="n">
        <v>197347</v>
      </c>
      <c r="F3364" s="4" t="n">
        <v>3</v>
      </c>
      <c r="G3364" s="4" t="s">
        <v>13314</v>
      </c>
      <c r="H3364" s="4" t="n">
        <v>32.7379</v>
      </c>
      <c r="I3364" s="4" t="n">
        <v>-97.01737</v>
      </c>
      <c r="J3364" s="4" t="s">
        <v>13315</v>
      </c>
      <c r="K3364" s="6" t="str">
        <f aca="false">HYPERLINK("https://www.google.com/search?q=Grand+Prairie+Public+Library+System+Grand+Prairie+TX+library+website","Search")</f>
        <v>Search</v>
      </c>
      <c r="L3364" s="7"/>
      <c r="M3364" s="8" t="str">
        <f aca="false">HYPERLINK("https://gptx.overdrive.com","https://gptx.overdrive.com")</f>
        <v>https://gptx.overdrive.com</v>
      </c>
    </row>
    <row r="3365" customFormat="false" ht="15" hidden="false" customHeight="true" outlineLevel="0" collapsed="false">
      <c r="A3365" s="4" t="s">
        <v>12921</v>
      </c>
      <c r="B3365" s="4" t="s">
        <v>13316</v>
      </c>
      <c r="C3365" s="4" t="s">
        <v>13317</v>
      </c>
      <c r="D3365" s="4" t="s">
        <v>12957</v>
      </c>
      <c r="E3365" s="5" t="n">
        <v>50872</v>
      </c>
      <c r="F3365" s="4" t="n">
        <v>1</v>
      </c>
      <c r="G3365" s="4" t="s">
        <v>13318</v>
      </c>
      <c r="H3365" s="4" t="n">
        <v>32.92958</v>
      </c>
      <c r="I3365" s="4" t="n">
        <v>-97.07679</v>
      </c>
      <c r="J3365" s="4" t="s">
        <v>13319</v>
      </c>
      <c r="K3365" s="6" t="str">
        <f aca="false">HYPERLINK("https://www.google.com/search?q=Grapevine+Public+Library+Grapevine+TX+library+website","Search")</f>
        <v>Search</v>
      </c>
      <c r="L3365" s="7"/>
      <c r="M3365" s="7"/>
    </row>
    <row r="3366" customFormat="false" ht="15" hidden="false" customHeight="true" outlineLevel="0" collapsed="false">
      <c r="A3366" s="4" t="s">
        <v>12921</v>
      </c>
      <c r="B3366" s="4" t="s">
        <v>13320</v>
      </c>
      <c r="C3366" s="4" t="s">
        <v>13321</v>
      </c>
      <c r="D3366" s="4" t="s">
        <v>98</v>
      </c>
      <c r="E3366" s="5" t="n">
        <v>16915</v>
      </c>
      <c r="F3366" s="4" t="n">
        <v>1</v>
      </c>
      <c r="G3366" s="4" t="s">
        <v>13322</v>
      </c>
      <c r="H3366" s="4" t="n">
        <v>29.94317</v>
      </c>
      <c r="I3366" s="4" t="n">
        <v>-93.92458</v>
      </c>
      <c r="J3366" s="4" t="s">
        <v>13323</v>
      </c>
      <c r="K3366" s="6" t="str">
        <f aca="false">HYPERLINK("https://www.google.com/search?q=Groves+Public+Library+Groves+TX+library+website","Search")</f>
        <v>Search</v>
      </c>
      <c r="L3366" s="7"/>
      <c r="M3366" s="7"/>
    </row>
    <row r="3367" customFormat="false" ht="15" hidden="false" customHeight="true" outlineLevel="0" collapsed="false">
      <c r="A3367" s="4" t="s">
        <v>12921</v>
      </c>
      <c r="B3367" s="4" t="s">
        <v>13324</v>
      </c>
      <c r="C3367" s="4" t="s">
        <v>13325</v>
      </c>
      <c r="D3367" s="4" t="s">
        <v>12957</v>
      </c>
      <c r="E3367" s="5" t="n">
        <v>45746</v>
      </c>
      <c r="F3367" s="4" t="n">
        <v>1</v>
      </c>
      <c r="G3367" s="4" t="s">
        <v>13326</v>
      </c>
      <c r="H3367" s="4" t="n">
        <v>32.83316</v>
      </c>
      <c r="I3367" s="4" t="n">
        <v>-97.27253</v>
      </c>
      <c r="J3367" s="4" t="s">
        <v>13327</v>
      </c>
      <c r="K3367" s="6" t="str">
        <f aca="false">HYPERLINK("https://www.google.com/search?q=Haltom+City+Public+Library+Haltom+City+TX+library+website","Search")</f>
        <v>Search</v>
      </c>
      <c r="L3367" s="7"/>
      <c r="M3367" s="7"/>
    </row>
    <row r="3368" customFormat="false" ht="15" hidden="false" customHeight="true" outlineLevel="0" collapsed="false">
      <c r="A3368" s="4" t="s">
        <v>12921</v>
      </c>
      <c r="B3368" s="4" t="s">
        <v>13328</v>
      </c>
      <c r="C3368" s="4" t="s">
        <v>13329</v>
      </c>
      <c r="D3368" s="4" t="s">
        <v>13033</v>
      </c>
      <c r="E3368" s="5" t="n">
        <v>98080</v>
      </c>
      <c r="F3368" s="4" t="n">
        <v>1</v>
      </c>
      <c r="G3368" s="4" t="s">
        <v>13330</v>
      </c>
      <c r="H3368" s="4" t="n">
        <v>26.19677</v>
      </c>
      <c r="I3368" s="4" t="n">
        <v>-97.68991</v>
      </c>
      <c r="J3368" s="4" t="s">
        <v>13331</v>
      </c>
      <c r="K3368" s="6" t="str">
        <f aca="false">HYPERLINK("https://www.google.com/search?q=Harlingen+Public+Library+Harlingen+TX+library+website","Search")</f>
        <v>Search</v>
      </c>
      <c r="L3368" s="7"/>
      <c r="M3368" s="7"/>
    </row>
    <row r="3369" customFormat="false" ht="15" hidden="false" customHeight="true" outlineLevel="0" collapsed="false">
      <c r="A3369" s="4" t="s">
        <v>12921</v>
      </c>
      <c r="B3369" s="4" t="s">
        <v>13332</v>
      </c>
      <c r="C3369" s="4" t="s">
        <v>166</v>
      </c>
      <c r="D3369" s="4" t="s">
        <v>12998</v>
      </c>
      <c r="E3369" s="5" t="n">
        <v>2198951</v>
      </c>
      <c r="F3369" s="4" t="n">
        <v>28</v>
      </c>
      <c r="G3369" s="4" t="s">
        <v>13333</v>
      </c>
      <c r="H3369" s="4" t="n">
        <v>29.68789</v>
      </c>
      <c r="I3369" s="4" t="n">
        <v>-95.33523</v>
      </c>
      <c r="J3369" s="4" t="s">
        <v>13334</v>
      </c>
      <c r="K3369" s="6" t="str">
        <f aca="false">HYPERLINK("https://www.google.com/search?q=Harris+County+Public+Library+Houston+TX+library+website","Search")</f>
        <v>Search</v>
      </c>
      <c r="L3369" s="7"/>
      <c r="M3369" s="8" t="str">
        <f aca="false">HYPERLINK("https://hcpl.overdrive.com","https://hcpl.overdrive.com")</f>
        <v>https://hcpl.overdrive.com</v>
      </c>
    </row>
    <row r="3370" customFormat="false" ht="15" hidden="false" customHeight="true" outlineLevel="0" collapsed="false">
      <c r="A3370" s="4" t="s">
        <v>12921</v>
      </c>
      <c r="B3370" s="4" t="s">
        <v>13335</v>
      </c>
      <c r="C3370" s="4" t="s">
        <v>13336</v>
      </c>
      <c r="D3370" s="4" t="s">
        <v>13188</v>
      </c>
      <c r="E3370" s="5" t="n">
        <v>131379</v>
      </c>
      <c r="F3370" s="4" t="n">
        <v>1</v>
      </c>
      <c r="G3370" s="4" t="s">
        <v>13337</v>
      </c>
      <c r="H3370" s="4" t="n">
        <v>29.50361</v>
      </c>
      <c r="I3370" s="4" t="n">
        <v>-95.09302</v>
      </c>
      <c r="J3370" s="4" t="s">
        <v>13338</v>
      </c>
      <c r="K3370" s="6" t="str">
        <f aca="false">HYPERLINK("https://www.google.com/search?q=Helen+Hall+Library+League+City+TX+library+website","Search")</f>
        <v>Search</v>
      </c>
      <c r="L3370" s="7"/>
      <c r="M3370" s="7"/>
    </row>
    <row r="3371" customFormat="false" ht="15" hidden="false" customHeight="true" outlineLevel="0" collapsed="false">
      <c r="A3371" s="4" t="s">
        <v>12921</v>
      </c>
      <c r="B3371" s="4" t="s">
        <v>13339</v>
      </c>
      <c r="C3371" s="4" t="s">
        <v>77</v>
      </c>
      <c r="D3371" s="4" t="s">
        <v>4969</v>
      </c>
      <c r="E3371" s="5" t="n">
        <v>23201</v>
      </c>
      <c r="F3371" s="4" t="n">
        <v>1</v>
      </c>
      <c r="G3371" s="4" t="s">
        <v>13340</v>
      </c>
      <c r="H3371" s="4" t="n">
        <v>32.20356</v>
      </c>
      <c r="I3371" s="4" t="n">
        <v>-95.85504</v>
      </c>
      <c r="J3371" s="4" t="s">
        <v>13341</v>
      </c>
      <c r="K3371" s="6" t="str">
        <f aca="false">HYPERLINK("https://www.google.com/search?q=Henderson+County+Clint+W+Murchison+Memorial+Library+Athens+TX+library+website","Search")</f>
        <v>Search</v>
      </c>
      <c r="L3371" s="7"/>
      <c r="M3371" s="7"/>
    </row>
    <row r="3372" customFormat="false" ht="15" hidden="false" customHeight="true" outlineLevel="0" collapsed="false">
      <c r="A3372" s="4" t="s">
        <v>12921</v>
      </c>
      <c r="B3372" s="4" t="s">
        <v>13342</v>
      </c>
      <c r="C3372" s="4" t="s">
        <v>13343</v>
      </c>
      <c r="D3372" s="4" t="s">
        <v>13344</v>
      </c>
      <c r="E3372" s="5" t="n">
        <v>25414</v>
      </c>
      <c r="F3372" s="4" t="n">
        <v>1</v>
      </c>
      <c r="G3372" s="4" t="s">
        <v>13345</v>
      </c>
      <c r="H3372" s="4" t="n">
        <v>31.44343</v>
      </c>
      <c r="I3372" s="4" t="n">
        <v>-97.20756</v>
      </c>
      <c r="J3372" s="4" t="s">
        <v>13346</v>
      </c>
      <c r="K3372" s="6" t="str">
        <f aca="false">HYPERLINK("https://www.google.com/search?q=Hewitt+Public+Library+Hewitt+TX+library+website","Search")</f>
        <v>Search</v>
      </c>
      <c r="L3372" s="7"/>
      <c r="M3372" s="7"/>
    </row>
    <row r="3373" customFormat="false" ht="15" hidden="false" customHeight="true" outlineLevel="0" collapsed="false">
      <c r="A3373" s="4" t="s">
        <v>12921</v>
      </c>
      <c r="B3373" s="4" t="s">
        <v>13347</v>
      </c>
      <c r="C3373" s="4" t="s">
        <v>13193</v>
      </c>
      <c r="D3373" s="4" t="s">
        <v>13193</v>
      </c>
      <c r="E3373" s="5" t="n">
        <v>21878</v>
      </c>
      <c r="F3373" s="4" t="n">
        <v>1</v>
      </c>
      <c r="G3373" s="4" t="s">
        <v>13348</v>
      </c>
      <c r="H3373" s="4" t="n">
        <v>26.10398</v>
      </c>
      <c r="I3373" s="4" t="n">
        <v>-98.25503</v>
      </c>
      <c r="J3373" s="4" t="s">
        <v>13349</v>
      </c>
      <c r="K3373" s="6" t="str">
        <f aca="false">HYPERLINK("https://www.google.com/search?q=Hidalgo+Public+Library+Hidalgo+TX+library+website","Search")</f>
        <v>Search</v>
      </c>
      <c r="L3373" s="7"/>
      <c r="M3373" s="7"/>
    </row>
    <row r="3374" customFormat="false" ht="15" hidden="false" customHeight="true" outlineLevel="0" collapsed="false">
      <c r="A3374" s="4" t="s">
        <v>12921</v>
      </c>
      <c r="B3374" s="4" t="s">
        <v>13350</v>
      </c>
      <c r="C3374" s="4" t="s">
        <v>13351</v>
      </c>
      <c r="D3374" s="4" t="s">
        <v>13352</v>
      </c>
      <c r="E3374" s="5" t="n">
        <v>20098</v>
      </c>
      <c r="F3374" s="4" t="n">
        <v>1</v>
      </c>
      <c r="G3374" s="4" t="s">
        <v>13353</v>
      </c>
      <c r="H3374" s="4" t="n">
        <v>33.58631</v>
      </c>
      <c r="I3374" s="4" t="n">
        <v>-102.37704</v>
      </c>
      <c r="J3374" s="4" t="s">
        <v>13354</v>
      </c>
      <c r="K3374" s="6" t="str">
        <f aca="false">HYPERLINK("https://www.google.com/search?q=Hockley+County+Memorial+Library+Levelland+TX+library+website","Search")</f>
        <v>Search</v>
      </c>
      <c r="L3374" s="7"/>
      <c r="M3374" s="7"/>
    </row>
    <row r="3375" customFormat="false" ht="15" hidden="false" customHeight="true" outlineLevel="0" collapsed="false">
      <c r="A3375" s="4" t="s">
        <v>12921</v>
      </c>
      <c r="B3375" s="4" t="s">
        <v>13355</v>
      </c>
      <c r="C3375" s="4" t="s">
        <v>13356</v>
      </c>
      <c r="D3375" s="4" t="s">
        <v>13357</v>
      </c>
      <c r="E3375" s="5" t="n">
        <v>64222</v>
      </c>
      <c r="F3375" s="4" t="n">
        <v>1</v>
      </c>
      <c r="G3375" s="4" t="s">
        <v>13358</v>
      </c>
      <c r="H3375" s="4" t="n">
        <v>32.44436</v>
      </c>
      <c r="I3375" s="4" t="n">
        <v>-97.78979</v>
      </c>
      <c r="J3375" s="4" t="s">
        <v>13359</v>
      </c>
      <c r="K3375" s="6" t="str">
        <f aca="false">HYPERLINK("https://www.google.com/search?q=Hood+County+Public+Library+Granbury+TX+library+website","Search")</f>
        <v>Search</v>
      </c>
      <c r="L3375" s="7"/>
      <c r="M3375" s="8" t="str">
        <f aca="false">HYPERLINK("https://hoodcounty.overdrive.com","https://hoodcounty.overdrive.com")</f>
        <v>https://hoodcounty.overdrive.com</v>
      </c>
    </row>
    <row r="3376" customFormat="false" ht="15" hidden="false" customHeight="true" outlineLevel="0" collapsed="false">
      <c r="A3376" s="4" t="s">
        <v>12921</v>
      </c>
      <c r="B3376" s="4" t="s">
        <v>13360</v>
      </c>
      <c r="C3376" s="4" t="s">
        <v>166</v>
      </c>
      <c r="D3376" s="4" t="s">
        <v>12998</v>
      </c>
      <c r="E3376" s="5" t="n">
        <v>2288250</v>
      </c>
      <c r="F3376" s="4" t="n">
        <v>37</v>
      </c>
      <c r="G3376" s="4" t="s">
        <v>13361</v>
      </c>
      <c r="H3376" s="4" t="n">
        <v>29.75984</v>
      </c>
      <c r="I3376" s="4" t="n">
        <v>-95.36972</v>
      </c>
      <c r="J3376" s="4" t="s">
        <v>13362</v>
      </c>
      <c r="K3376" s="6" t="str">
        <f aca="false">HYPERLINK("https://www.google.com/search?q=Houston+Public+Library+Houston+TX+library+website","Search")</f>
        <v>Search</v>
      </c>
      <c r="L3376" s="7"/>
      <c r="M3376" s="8" t="str">
        <f aca="false">HYPERLINK("https://houstonlibrary.overdrive.com","https://houstonlibrary.overdrive.com")</f>
        <v>https://houstonlibrary.overdrive.com</v>
      </c>
    </row>
    <row r="3377" customFormat="false" ht="15" hidden="false" customHeight="true" outlineLevel="0" collapsed="false">
      <c r="A3377" s="4" t="s">
        <v>12921</v>
      </c>
      <c r="B3377" s="4" t="s">
        <v>13363</v>
      </c>
      <c r="C3377" s="4" t="s">
        <v>13364</v>
      </c>
      <c r="D3377" s="4" t="s">
        <v>4440</v>
      </c>
      <c r="E3377" s="5" t="n">
        <v>34128</v>
      </c>
      <c r="F3377" s="4" t="n">
        <v>1</v>
      </c>
      <c r="G3377" s="4" t="s">
        <v>13365</v>
      </c>
      <c r="H3377" s="4" t="n">
        <v>32.25023</v>
      </c>
      <c r="I3377" s="4" t="n">
        <v>-101.47563</v>
      </c>
      <c r="J3377" s="4" t="s">
        <v>13366</v>
      </c>
      <c r="K3377" s="6" t="str">
        <f aca="false">HYPERLINK("https://www.google.com/search?q=Howard+County+Library+Big+Spring+TX+library+website","Search")</f>
        <v>Search</v>
      </c>
      <c r="L3377" s="7"/>
      <c r="M3377" s="7"/>
    </row>
    <row r="3378" customFormat="false" ht="15" hidden="false" customHeight="true" outlineLevel="0" collapsed="false">
      <c r="A3378" s="4" t="s">
        <v>12921</v>
      </c>
      <c r="B3378" s="4" t="s">
        <v>13367</v>
      </c>
      <c r="C3378" s="4" t="s">
        <v>260</v>
      </c>
      <c r="D3378" s="4" t="s">
        <v>274</v>
      </c>
      <c r="E3378" s="5" t="n">
        <v>30208</v>
      </c>
      <c r="F3378" s="4" t="n">
        <v>1</v>
      </c>
      <c r="G3378" s="4" t="s">
        <v>13368</v>
      </c>
      <c r="H3378" s="4" t="n">
        <v>30.72165</v>
      </c>
      <c r="I3378" s="4" t="n">
        <v>-95.55242</v>
      </c>
      <c r="J3378" s="4" t="s">
        <v>13369</v>
      </c>
      <c r="K3378" s="6" t="str">
        <f aca="false">HYPERLINK("https://www.google.com/search?q=Huntsville+Public+Library+Huntsville+TX+library+website","Search")</f>
        <v>Search</v>
      </c>
      <c r="L3378" s="7"/>
      <c r="M3378" s="7"/>
    </row>
    <row r="3379" customFormat="false" ht="15" hidden="false" customHeight="true" outlineLevel="0" collapsed="false">
      <c r="A3379" s="4" t="s">
        <v>12921</v>
      </c>
      <c r="B3379" s="4" t="s">
        <v>13370</v>
      </c>
      <c r="C3379" s="4" t="s">
        <v>13371</v>
      </c>
      <c r="D3379" s="4" t="s">
        <v>12957</v>
      </c>
      <c r="E3379" s="5" t="n">
        <v>40055</v>
      </c>
      <c r="F3379" s="4" t="n">
        <v>1</v>
      </c>
      <c r="G3379" s="4" t="s">
        <v>13372</v>
      </c>
      <c r="H3379" s="4" t="n">
        <v>32.82626</v>
      </c>
      <c r="I3379" s="4" t="n">
        <v>-97.18646</v>
      </c>
      <c r="J3379" s="4" t="s">
        <v>13373</v>
      </c>
      <c r="K3379" s="6" t="str">
        <f aca="false">HYPERLINK("https://www.google.com/search?q=Hurst+Public+Library+Hurst+TX+library+website","Search")</f>
        <v>Search</v>
      </c>
      <c r="L3379" s="7"/>
      <c r="M3379" s="7"/>
    </row>
    <row r="3380" customFormat="false" ht="15" hidden="false" customHeight="true" outlineLevel="0" collapsed="false">
      <c r="A3380" s="4" t="s">
        <v>12921</v>
      </c>
      <c r="B3380" s="4" t="s">
        <v>13374</v>
      </c>
      <c r="C3380" s="4" t="s">
        <v>13375</v>
      </c>
      <c r="D3380" s="4" t="s">
        <v>4733</v>
      </c>
      <c r="E3380" s="5" t="n">
        <v>20495</v>
      </c>
      <c r="F3380" s="4" t="n">
        <v>3</v>
      </c>
      <c r="G3380" s="4" t="s">
        <v>13376</v>
      </c>
      <c r="H3380" s="4" t="n">
        <v>35.6726</v>
      </c>
      <c r="I3380" s="4" t="n">
        <v>-101.38881</v>
      </c>
      <c r="J3380" s="4" t="s">
        <v>13377</v>
      </c>
      <c r="K3380" s="6" t="str">
        <f aca="false">HYPERLINK("https://www.google.com/search?q=Hutchinson+County+Library+Borger+TX+library+website","Search")</f>
        <v>Search</v>
      </c>
      <c r="L3380" s="7"/>
      <c r="M3380" s="7"/>
    </row>
    <row r="3381" customFormat="false" ht="15" hidden="false" customHeight="true" outlineLevel="0" collapsed="false">
      <c r="A3381" s="4" t="s">
        <v>12921</v>
      </c>
      <c r="B3381" s="4" t="s">
        <v>13378</v>
      </c>
      <c r="C3381" s="4" t="s">
        <v>13379</v>
      </c>
      <c r="D3381" s="4" t="s">
        <v>3315</v>
      </c>
      <c r="E3381" s="5" t="n">
        <v>30855</v>
      </c>
      <c r="F3381" s="4" t="n">
        <v>1</v>
      </c>
      <c r="G3381" s="4" t="s">
        <v>13380</v>
      </c>
      <c r="H3381" s="4" t="n">
        <v>30.54514</v>
      </c>
      <c r="I3381" s="4" t="n">
        <v>-97.55195</v>
      </c>
      <c r="J3381" s="4" t="s">
        <v>13381</v>
      </c>
      <c r="K3381" s="6" t="str">
        <f aca="false">HYPERLINK("https://www.google.com/search?q=Hutto+Public+Library+Hutto+TX+library+website","Search")</f>
        <v>Search</v>
      </c>
      <c r="L3381" s="7"/>
      <c r="M3381" s="7"/>
    </row>
    <row r="3382" customFormat="false" ht="15" hidden="false" customHeight="true" outlineLevel="0" collapsed="false">
      <c r="A3382" s="4" t="s">
        <v>12921</v>
      </c>
      <c r="B3382" s="4" t="s">
        <v>13382</v>
      </c>
      <c r="C3382" s="4" t="s">
        <v>13383</v>
      </c>
      <c r="D3382" s="4" t="s">
        <v>12993</v>
      </c>
      <c r="E3382" s="5" t="n">
        <v>14474</v>
      </c>
      <c r="F3382" s="4" t="n">
        <v>1</v>
      </c>
      <c r="G3382" s="4" t="s">
        <v>13384</v>
      </c>
      <c r="H3382" s="4" t="n">
        <v>27.8784</v>
      </c>
      <c r="I3382" s="4" t="n">
        <v>-97.21596</v>
      </c>
      <c r="J3382" s="4" t="s">
        <v>13385</v>
      </c>
      <c r="K3382" s="6" t="str">
        <f aca="false">HYPERLINK("https://www.google.com/search?q=Ingleside+Public+Library+Ingleside+TX+library+website","Search")</f>
        <v>Search</v>
      </c>
      <c r="L3382" s="7"/>
      <c r="M3382" s="7"/>
    </row>
    <row r="3383" customFormat="false" ht="15" hidden="false" customHeight="true" outlineLevel="0" collapsed="false">
      <c r="A3383" s="4" t="s">
        <v>12921</v>
      </c>
      <c r="B3383" s="4" t="s">
        <v>13386</v>
      </c>
      <c r="C3383" s="4" t="s">
        <v>13387</v>
      </c>
      <c r="D3383" s="4" t="s">
        <v>394</v>
      </c>
      <c r="E3383" s="5" t="n">
        <v>254198</v>
      </c>
      <c r="F3383" s="4" t="n">
        <v>3</v>
      </c>
      <c r="G3383" s="4" t="s">
        <v>13388</v>
      </c>
      <c r="H3383" s="4" t="n">
        <v>32.81374</v>
      </c>
      <c r="I3383" s="4" t="n">
        <v>-96.95389</v>
      </c>
      <c r="J3383" s="4" t="s">
        <v>13389</v>
      </c>
      <c r="K3383" s="6" t="str">
        <f aca="false">HYPERLINK("https://www.google.com/search?q=Irving+Public+Library+Irving+TX+library+website","Search")</f>
        <v>Search</v>
      </c>
      <c r="L3383" s="7"/>
      <c r="M3383" s="8" t="str">
        <f aca="false">HYPERLINK("https://irvinglibrary.overdrive.com","https://irvinglibrary.overdrive.com")</f>
        <v>https://irvinglibrary.overdrive.com</v>
      </c>
    </row>
    <row r="3384" customFormat="false" ht="15" hidden="false" customHeight="true" outlineLevel="0" collapsed="false">
      <c r="A3384" s="4" t="s">
        <v>12921</v>
      </c>
      <c r="B3384" s="4" t="s">
        <v>13390</v>
      </c>
      <c r="C3384" s="4" t="s">
        <v>13391</v>
      </c>
      <c r="D3384" s="4" t="s">
        <v>389</v>
      </c>
      <c r="E3384" s="5" t="n">
        <v>15121</v>
      </c>
      <c r="F3384" s="4" t="n">
        <v>1</v>
      </c>
      <c r="G3384" s="4" t="s">
        <v>13392</v>
      </c>
      <c r="H3384" s="4" t="n">
        <v>28.98093</v>
      </c>
      <c r="I3384" s="4" t="n">
        <v>-96.64806</v>
      </c>
      <c r="J3384" s="4" t="s">
        <v>13393</v>
      </c>
      <c r="K3384" s="6" t="str">
        <f aca="false">HYPERLINK("https://www.google.com/search?q=Jackson+County+Memorial+Library+Edna+TX+library+website","Search")</f>
        <v>Search</v>
      </c>
      <c r="L3384" s="7"/>
      <c r="M3384" s="7"/>
    </row>
    <row r="3385" customFormat="false" ht="15" hidden="false" customHeight="true" outlineLevel="0" collapsed="false">
      <c r="A3385" s="4" t="s">
        <v>12921</v>
      </c>
      <c r="B3385" s="4" t="s">
        <v>268</v>
      </c>
      <c r="C3385" s="4" t="s">
        <v>269</v>
      </c>
      <c r="D3385" s="4" t="s">
        <v>2826</v>
      </c>
      <c r="E3385" s="5" t="n">
        <v>14074</v>
      </c>
      <c r="F3385" s="4" t="n">
        <v>1</v>
      </c>
      <c r="G3385" s="4" t="s">
        <v>13394</v>
      </c>
      <c r="H3385" s="4" t="n">
        <v>31.9654</v>
      </c>
      <c r="I3385" s="4" t="n">
        <v>-95.26855</v>
      </c>
      <c r="J3385" s="4" t="s">
        <v>13395</v>
      </c>
      <c r="K3385" s="6" t="str">
        <f aca="false">HYPERLINK("https://www.google.com/search?q=Jacksonville+Public+Library+Jacksonville+TX+library+website","Search")</f>
        <v>Search</v>
      </c>
      <c r="L3385" s="7"/>
      <c r="M3385" s="7"/>
    </row>
    <row r="3386" customFormat="false" ht="15" hidden="false" customHeight="true" outlineLevel="0" collapsed="false">
      <c r="A3386" s="4" t="s">
        <v>12921</v>
      </c>
      <c r="B3386" s="4" t="s">
        <v>13396</v>
      </c>
      <c r="C3386" s="4" t="s">
        <v>13397</v>
      </c>
      <c r="D3386" s="4" t="s">
        <v>2942</v>
      </c>
      <c r="E3386" s="5" t="n">
        <v>11980</v>
      </c>
      <c r="F3386" s="4" t="n">
        <v>1</v>
      </c>
      <c r="G3386" s="4" t="s">
        <v>13398</v>
      </c>
      <c r="H3386" s="4" t="n">
        <v>32.42623</v>
      </c>
      <c r="I3386" s="4" t="n">
        <v>-97.10312</v>
      </c>
      <c r="J3386" s="4" t="s">
        <v>13399</v>
      </c>
      <c r="K3386" s="6" t="str">
        <f aca="false">HYPERLINK("https://www.google.com/search?q=Joe+A+Hall+High+School+And+Community+Library+Venus+TX+library+website","Search")</f>
        <v>Search</v>
      </c>
      <c r="L3386" s="7"/>
      <c r="M3386" s="7"/>
    </row>
    <row r="3387" customFormat="false" ht="15" hidden="false" customHeight="true" outlineLevel="0" collapsed="false">
      <c r="A3387" s="4" t="s">
        <v>12921</v>
      </c>
      <c r="B3387" s="4" t="s">
        <v>13400</v>
      </c>
      <c r="C3387" s="4" t="s">
        <v>13401</v>
      </c>
      <c r="D3387" s="4" t="s">
        <v>13402</v>
      </c>
      <c r="E3387" s="5" t="n">
        <v>24036</v>
      </c>
      <c r="F3387" s="4" t="n">
        <v>1</v>
      </c>
      <c r="G3387" s="4" t="s">
        <v>13403</v>
      </c>
      <c r="H3387" s="4" t="n">
        <v>28.40167</v>
      </c>
      <c r="I3387" s="4" t="n">
        <v>-97.74902</v>
      </c>
      <c r="J3387" s="4" t="s">
        <v>13404</v>
      </c>
      <c r="K3387" s="6" t="str">
        <f aca="false">HYPERLINK("https://www.google.com/search?q=Joe+Barnhart+Bee+County+Library+Beeville+TX+library+website","Search")</f>
        <v>Search</v>
      </c>
      <c r="L3387" s="7"/>
      <c r="M3387" s="7"/>
    </row>
    <row r="3388" customFormat="false" ht="15" hidden="false" customHeight="true" outlineLevel="0" collapsed="false">
      <c r="A3388" s="4" t="s">
        <v>12921</v>
      </c>
      <c r="B3388" s="4" t="s">
        <v>13405</v>
      </c>
      <c r="C3388" s="4" t="s">
        <v>6471</v>
      </c>
      <c r="D3388" s="4" t="s">
        <v>12957</v>
      </c>
      <c r="E3388" s="5" t="n">
        <v>24011</v>
      </c>
      <c r="F3388" s="4" t="n">
        <v>1</v>
      </c>
      <c r="G3388" s="4" t="s">
        <v>13406</v>
      </c>
      <c r="H3388" s="4" t="n">
        <v>32.85849</v>
      </c>
      <c r="I3388" s="4" t="n">
        <v>-97.37056</v>
      </c>
      <c r="J3388" s="4" t="s">
        <v>13407</v>
      </c>
      <c r="K3388" s="6" t="str">
        <f aca="false">HYPERLINK("https://www.google.com/search?q=John+Ed+Keeter+Public+Library+Saginaw+TX+library+website","Search")</f>
        <v>Search</v>
      </c>
      <c r="L3388" s="7"/>
      <c r="M3388" s="7"/>
    </row>
    <row r="3389" customFormat="false" ht="15" hidden="false" customHeight="true" outlineLevel="0" collapsed="false">
      <c r="A3389" s="4" t="s">
        <v>12921</v>
      </c>
      <c r="B3389" s="4" t="s">
        <v>13408</v>
      </c>
      <c r="C3389" s="4" t="s">
        <v>13409</v>
      </c>
      <c r="D3389" s="4" t="s">
        <v>2942</v>
      </c>
      <c r="E3389" s="5" t="n">
        <v>30538</v>
      </c>
      <c r="F3389" s="4" t="n">
        <v>1</v>
      </c>
      <c r="G3389" s="4" t="s">
        <v>13410</v>
      </c>
      <c r="H3389" s="4" t="n">
        <v>32.44977</v>
      </c>
      <c r="I3389" s="4" t="n">
        <v>-97.38417</v>
      </c>
      <c r="J3389" s="4" t="s">
        <v>13411</v>
      </c>
      <c r="K3389" s="6" t="str">
        <f aca="false">HYPERLINK("https://www.google.com/search?q=Joshua+School+%26+Public+Library+Joshua+TX+library+website","Search")</f>
        <v>Search</v>
      </c>
      <c r="L3389" s="7"/>
      <c r="M3389" s="7"/>
    </row>
    <row r="3390" customFormat="false" ht="15" hidden="false" customHeight="true" outlineLevel="0" collapsed="false">
      <c r="A3390" s="4" t="s">
        <v>12921</v>
      </c>
      <c r="B3390" s="4" t="s">
        <v>13412</v>
      </c>
      <c r="C3390" s="4" t="s">
        <v>13413</v>
      </c>
      <c r="D3390" s="4" t="s">
        <v>13413</v>
      </c>
      <c r="E3390" s="5" t="n">
        <v>32118</v>
      </c>
      <c r="F3390" s="4" t="n">
        <v>1</v>
      </c>
      <c r="G3390" s="4" t="s">
        <v>13414</v>
      </c>
      <c r="H3390" s="4" t="n">
        <v>31.61283</v>
      </c>
      <c r="I3390" s="4" t="n">
        <v>-94.65306</v>
      </c>
      <c r="J3390" s="4" t="s">
        <v>13415</v>
      </c>
      <c r="K3390" s="6" t="str">
        <f aca="false">HYPERLINK("https://www.google.com/search?q=Judy+B+Mcdonald+Public+Library+Nacogdoches+TX+library+website","Search")</f>
        <v>Search</v>
      </c>
      <c r="L3390" s="7"/>
      <c r="M3390" s="7"/>
    </row>
    <row r="3391" customFormat="false" ht="15" hidden="false" customHeight="true" outlineLevel="0" collapsed="false">
      <c r="A3391" s="4" t="s">
        <v>12921</v>
      </c>
      <c r="B3391" s="4" t="s">
        <v>13416</v>
      </c>
      <c r="C3391" s="4" t="s">
        <v>13152</v>
      </c>
      <c r="D3391" s="4" t="s">
        <v>13152</v>
      </c>
      <c r="E3391" s="5" t="n">
        <v>22789</v>
      </c>
      <c r="F3391" s="4" t="n">
        <v>1</v>
      </c>
      <c r="G3391" s="4" t="s">
        <v>13417</v>
      </c>
      <c r="H3391" s="4" t="n">
        <v>32.56472</v>
      </c>
      <c r="I3391" s="4" t="n">
        <v>-96.31642</v>
      </c>
      <c r="J3391" s="4" t="s">
        <v>13418</v>
      </c>
      <c r="K3391" s="6" t="str">
        <f aca="false">HYPERLINK("https://www.google.com/search?q=Kaufman+County+Library+Kaufman+TX+library+website","Search")</f>
        <v>Search</v>
      </c>
      <c r="L3391" s="7"/>
      <c r="M3391" s="7"/>
    </row>
    <row r="3392" customFormat="false" ht="15" hidden="false" customHeight="true" outlineLevel="0" collapsed="false">
      <c r="A3392" s="4" t="s">
        <v>12921</v>
      </c>
      <c r="B3392" s="4" t="s">
        <v>13419</v>
      </c>
      <c r="C3392" s="4" t="s">
        <v>13420</v>
      </c>
      <c r="D3392" s="4" t="s">
        <v>12957</v>
      </c>
      <c r="E3392" s="5" t="n">
        <v>45397</v>
      </c>
      <c r="F3392" s="4" t="n">
        <v>1</v>
      </c>
      <c r="G3392" s="4" t="s">
        <v>13421</v>
      </c>
      <c r="H3392" s="4" t="n">
        <v>32.9416</v>
      </c>
      <c r="I3392" s="4" t="n">
        <v>-97.2389</v>
      </c>
      <c r="J3392" s="4" t="s">
        <v>13422</v>
      </c>
      <c r="K3392" s="6" t="str">
        <f aca="false">HYPERLINK("https://www.google.com/search?q=Keller+Public+Library+Keller+TX+library+website","Search")</f>
        <v>Search</v>
      </c>
      <c r="L3392" s="7"/>
      <c r="M3392" s="7"/>
    </row>
    <row r="3393" customFormat="false" ht="15" hidden="false" customHeight="true" outlineLevel="0" collapsed="false">
      <c r="A3393" s="4" t="s">
        <v>12921</v>
      </c>
      <c r="B3393" s="4" t="s">
        <v>13423</v>
      </c>
      <c r="C3393" s="4" t="s">
        <v>13424</v>
      </c>
      <c r="D3393" s="4" t="s">
        <v>13425</v>
      </c>
      <c r="E3393" s="5" t="n">
        <v>11754</v>
      </c>
      <c r="F3393" s="4" t="n">
        <v>1</v>
      </c>
      <c r="G3393" s="4" t="s">
        <v>13426</v>
      </c>
      <c r="H3393" s="4" t="n">
        <v>33.17707</v>
      </c>
      <c r="I3393" s="4" t="n">
        <v>-102.27784</v>
      </c>
      <c r="J3393" s="4" t="s">
        <v>13427</v>
      </c>
      <c r="K3393" s="6" t="str">
        <f aca="false">HYPERLINK("https://www.google.com/search?q=Kendrick+Memorial+Library+Brownfield+TX+library+website","Search")</f>
        <v>Search</v>
      </c>
      <c r="L3393" s="7"/>
      <c r="M3393" s="7"/>
    </row>
    <row r="3394" customFormat="false" ht="15" hidden="false" customHeight="true" outlineLevel="0" collapsed="false">
      <c r="A3394" s="4" t="s">
        <v>12921</v>
      </c>
      <c r="B3394" s="4" t="s">
        <v>13428</v>
      </c>
      <c r="C3394" s="4" t="s">
        <v>13429</v>
      </c>
      <c r="D3394" s="4" t="s">
        <v>13430</v>
      </c>
      <c r="E3394" s="5" t="n">
        <v>15862</v>
      </c>
      <c r="F3394" s="4" t="n">
        <v>1</v>
      </c>
      <c r="G3394" s="4" t="s">
        <v>13431</v>
      </c>
      <c r="H3394" s="4" t="n">
        <v>32.38254</v>
      </c>
      <c r="I3394" s="4" t="n">
        <v>-94.86909</v>
      </c>
      <c r="J3394" s="4" t="s">
        <v>13432</v>
      </c>
      <c r="K3394" s="6" t="str">
        <f aca="false">HYPERLINK("https://www.google.com/search?q=Kilgore+Public+Library+Kilgore+TX+library+website","Search")</f>
        <v>Search</v>
      </c>
      <c r="L3394" s="7"/>
      <c r="M3394" s="7"/>
    </row>
    <row r="3395" customFormat="false" ht="15" hidden="false" customHeight="true" outlineLevel="0" collapsed="false">
      <c r="A3395" s="4" t="s">
        <v>12921</v>
      </c>
      <c r="B3395" s="4" t="s">
        <v>13433</v>
      </c>
      <c r="C3395" s="4" t="s">
        <v>13434</v>
      </c>
      <c r="D3395" s="4" t="s">
        <v>4828</v>
      </c>
      <c r="E3395" s="5" t="n">
        <v>156261</v>
      </c>
      <c r="F3395" s="4" t="n">
        <v>2</v>
      </c>
      <c r="G3395" s="4" t="s">
        <v>13435</v>
      </c>
      <c r="H3395" s="4" t="n">
        <v>31.12372</v>
      </c>
      <c r="I3395" s="4" t="n">
        <v>-97.72703</v>
      </c>
      <c r="J3395" s="4" t="s">
        <v>13436</v>
      </c>
      <c r="K3395" s="6" t="str">
        <f aca="false">HYPERLINK("https://www.google.com/search?q=Killeen+City+Library+System+Killeen+TX+library+website","Search")</f>
        <v>Search</v>
      </c>
      <c r="L3395" s="7"/>
      <c r="M3395" s="7"/>
    </row>
    <row r="3396" customFormat="false" ht="15" hidden="false" customHeight="true" outlineLevel="0" collapsed="false">
      <c r="A3396" s="4" t="s">
        <v>12921</v>
      </c>
      <c r="B3396" s="4" t="s">
        <v>13437</v>
      </c>
      <c r="C3396" s="4" t="s">
        <v>13438</v>
      </c>
      <c r="D3396" s="4" t="s">
        <v>8007</v>
      </c>
      <c r="E3396" s="5" t="n">
        <v>21118</v>
      </c>
      <c r="F3396" s="4" t="n">
        <v>3</v>
      </c>
      <c r="G3396" s="4" t="s">
        <v>13439</v>
      </c>
      <c r="H3396" s="4" t="n">
        <v>35.86457</v>
      </c>
      <c r="I3396" s="4" t="n">
        <v>-101.97185</v>
      </c>
      <c r="J3396" s="4" t="s">
        <v>13440</v>
      </c>
      <c r="K3396" s="6" t="str">
        <f aca="false">HYPERLINK("https://www.google.com/search?q=Killgore+Memorial+Library+Dumas+TX+library+website","Search")</f>
        <v>Search</v>
      </c>
      <c r="L3396" s="7"/>
      <c r="M3396" s="7"/>
    </row>
    <row r="3397" customFormat="false" ht="15" hidden="false" customHeight="true" outlineLevel="0" collapsed="false">
      <c r="A3397" s="4" t="s">
        <v>12921</v>
      </c>
      <c r="B3397" s="4" t="s">
        <v>13441</v>
      </c>
      <c r="C3397" s="4" t="s">
        <v>13442</v>
      </c>
      <c r="D3397" s="4" t="s">
        <v>13443</v>
      </c>
      <c r="E3397" s="5" t="n">
        <v>34074</v>
      </c>
      <c r="F3397" s="4" t="n">
        <v>1</v>
      </c>
      <c r="G3397" s="4" t="s">
        <v>13444</v>
      </c>
      <c r="H3397" s="4" t="n">
        <v>31.33098</v>
      </c>
      <c r="I3397" s="4" t="n">
        <v>-94.73099</v>
      </c>
      <c r="J3397" s="4" t="s">
        <v>13445</v>
      </c>
      <c r="K3397" s="6" t="str">
        <f aca="false">HYPERLINK("https://www.google.com/search?q=Kurth+Memorial+Library+Lufkin+TX+library+website","Search")</f>
        <v>Search</v>
      </c>
      <c r="L3397" s="7"/>
      <c r="M3397" s="8" t="str">
        <f aca="false">HYPERLINK("https://kurthmemorial.overdrive.com","https://kurthmemorial.overdrive.com")</f>
        <v>https://kurthmemorial.overdrive.com</v>
      </c>
    </row>
    <row r="3398" customFormat="false" ht="15" hidden="false" customHeight="true" outlineLevel="0" collapsed="false">
      <c r="A3398" s="4" t="s">
        <v>12921</v>
      </c>
      <c r="B3398" s="4" t="s">
        <v>13446</v>
      </c>
      <c r="C3398" s="4" t="s">
        <v>12467</v>
      </c>
      <c r="D3398" s="4" t="s">
        <v>4724</v>
      </c>
      <c r="E3398" s="5" t="n">
        <v>68696</v>
      </c>
      <c r="F3398" s="4" t="n">
        <v>1</v>
      </c>
      <c r="G3398" s="4" t="s">
        <v>13447</v>
      </c>
      <c r="H3398" s="4" t="n">
        <v>29.98754</v>
      </c>
      <c r="I3398" s="4" t="n">
        <v>-97.88236</v>
      </c>
      <c r="J3398" s="4" t="s">
        <v>13448</v>
      </c>
      <c r="K3398" s="6" t="str">
        <f aca="false">HYPERLINK("https://www.google.com/search?q=Kyle+Public+Library+Kyle+TX+library+website","Search")</f>
        <v>Search</v>
      </c>
      <c r="L3398" s="7"/>
      <c r="M3398" s="7"/>
    </row>
    <row r="3399" customFormat="false" ht="15" hidden="false" customHeight="true" outlineLevel="0" collapsed="false">
      <c r="A3399" s="4" t="s">
        <v>12921</v>
      </c>
      <c r="B3399" s="4" t="s">
        <v>13449</v>
      </c>
      <c r="C3399" s="4" t="s">
        <v>13450</v>
      </c>
      <c r="D3399" s="4" t="s">
        <v>13188</v>
      </c>
      <c r="E3399" s="5" t="n">
        <v>21307</v>
      </c>
      <c r="F3399" s="4" t="n">
        <v>1</v>
      </c>
      <c r="G3399" s="4" t="s">
        <v>13451</v>
      </c>
      <c r="H3399" s="4" t="n">
        <v>29.37058</v>
      </c>
      <c r="I3399" s="4" t="n">
        <v>-94.9717</v>
      </c>
      <c r="J3399" s="4" t="s">
        <v>13452</v>
      </c>
      <c r="K3399" s="6" t="str">
        <f aca="false">HYPERLINK("https://www.google.com/search?q=La+Marque+Public+Library+La+Marque+TX+library+website","Search")</f>
        <v>Search</v>
      </c>
      <c r="L3399" s="7"/>
      <c r="M3399" s="7"/>
    </row>
    <row r="3400" customFormat="false" ht="15" hidden="false" customHeight="true" outlineLevel="0" collapsed="false">
      <c r="A3400" s="4" t="s">
        <v>12921</v>
      </c>
      <c r="B3400" s="4" t="s">
        <v>13453</v>
      </c>
      <c r="C3400" s="4" t="s">
        <v>7137</v>
      </c>
      <c r="D3400" s="4" t="s">
        <v>12968</v>
      </c>
      <c r="E3400" s="5" t="n">
        <v>49699</v>
      </c>
      <c r="F3400" s="4" t="n">
        <v>1</v>
      </c>
      <c r="G3400" s="4" t="s">
        <v>13454</v>
      </c>
      <c r="H3400" s="4" t="n">
        <v>30.34378</v>
      </c>
      <c r="I3400" s="4" t="n">
        <v>-97.97407</v>
      </c>
      <c r="J3400" s="4" t="s">
        <v>13455</v>
      </c>
      <c r="K3400" s="6" t="str">
        <f aca="false">HYPERLINK("https://www.google.com/search?q=Lake+Travis+Community+Library+Austin+TX+library+website","Search")</f>
        <v>Search</v>
      </c>
      <c r="L3400" s="7"/>
      <c r="M3400" s="7"/>
    </row>
    <row r="3401" customFormat="false" ht="15" hidden="false" customHeight="true" outlineLevel="0" collapsed="false">
      <c r="A3401" s="4" t="s">
        <v>12921</v>
      </c>
      <c r="B3401" s="4" t="s">
        <v>13456</v>
      </c>
      <c r="C3401" s="4" t="s">
        <v>4923</v>
      </c>
      <c r="D3401" s="4" t="s">
        <v>394</v>
      </c>
      <c r="E3401" s="5" t="n">
        <v>40728</v>
      </c>
      <c r="F3401" s="4" t="n">
        <v>1</v>
      </c>
      <c r="G3401" s="4" t="s">
        <v>13457</v>
      </c>
      <c r="H3401" s="4" t="n">
        <v>32.60913</v>
      </c>
      <c r="I3401" s="4" t="n">
        <v>-96.75779</v>
      </c>
      <c r="J3401" s="4" t="s">
        <v>13458</v>
      </c>
      <c r="K3401" s="6" t="str">
        <f aca="false">HYPERLINK("https://www.google.com/search?q=Lancaster+Veterans+Memorial+Library+Lancaster+TX+library+website","Search")</f>
        <v>Search</v>
      </c>
      <c r="L3401" s="7"/>
      <c r="M3401" s="7"/>
    </row>
    <row r="3402" customFormat="false" ht="15" hidden="false" customHeight="true" outlineLevel="0" collapsed="false">
      <c r="A3402" s="4" t="s">
        <v>12921</v>
      </c>
      <c r="B3402" s="4" t="s">
        <v>13459</v>
      </c>
      <c r="C3402" s="4" t="s">
        <v>13460</v>
      </c>
      <c r="D3402" s="4" t="s">
        <v>13461</v>
      </c>
      <c r="E3402" s="5" t="n">
        <v>256153</v>
      </c>
      <c r="F3402" s="4" t="n">
        <v>4</v>
      </c>
      <c r="G3402" s="4" t="s">
        <v>13462</v>
      </c>
      <c r="H3402" s="4" t="n">
        <v>27.54108</v>
      </c>
      <c r="I3402" s="4" t="n">
        <v>-99.48225</v>
      </c>
      <c r="J3402" s="4" t="s">
        <v>13463</v>
      </c>
      <c r="K3402" s="6" t="str">
        <f aca="false">HYPERLINK("https://www.google.com/search?q=Laredo+Public+Library+Laredo+TX+library+website","Search")</f>
        <v>Search</v>
      </c>
      <c r="L3402" s="7"/>
      <c r="M3402" s="8" t="str">
        <f aca="false">HYPERLINK("https://lplelibrary.overdrive.com","https://lplelibrary.overdrive.com")</f>
        <v>https://lplelibrary.overdrive.com</v>
      </c>
    </row>
    <row r="3403" customFormat="false" ht="15" hidden="false" customHeight="true" outlineLevel="0" collapsed="false">
      <c r="A3403" s="4" t="s">
        <v>12921</v>
      </c>
      <c r="B3403" s="4" t="s">
        <v>13464</v>
      </c>
      <c r="C3403" s="4" t="s">
        <v>13465</v>
      </c>
      <c r="D3403" s="4" t="s">
        <v>3315</v>
      </c>
      <c r="E3403" s="5" t="n">
        <v>67124</v>
      </c>
      <c r="F3403" s="4" t="n">
        <v>1</v>
      </c>
      <c r="G3403" s="4" t="s">
        <v>13466</v>
      </c>
      <c r="H3403" s="4" t="n">
        <v>30.56001</v>
      </c>
      <c r="I3403" s="4" t="n">
        <v>-97.86245</v>
      </c>
      <c r="J3403" s="4" t="s">
        <v>13467</v>
      </c>
      <c r="K3403" s="6" t="str">
        <f aca="false">HYPERLINK("https://www.google.com/search?q=Leander+Public+Library+Leander+TX+library+website","Search")</f>
        <v>Search</v>
      </c>
      <c r="L3403" s="7"/>
      <c r="M3403" s="7"/>
    </row>
    <row r="3404" customFormat="false" ht="15" hidden="false" customHeight="true" outlineLevel="0" collapsed="false">
      <c r="A3404" s="4" t="s">
        <v>12921</v>
      </c>
      <c r="B3404" s="4" t="s">
        <v>13468</v>
      </c>
      <c r="C3404" s="4" t="s">
        <v>13469</v>
      </c>
      <c r="D3404" s="4" t="s">
        <v>4828</v>
      </c>
      <c r="E3404" s="5" t="n">
        <v>23845</v>
      </c>
      <c r="F3404" s="4" t="n">
        <v>1</v>
      </c>
      <c r="G3404" s="4" t="s">
        <v>13470</v>
      </c>
      <c r="H3404" s="4" t="n">
        <v>31.05675</v>
      </c>
      <c r="I3404" s="4" t="n">
        <v>-97.46125</v>
      </c>
      <c r="J3404" s="4" t="s">
        <v>13471</v>
      </c>
      <c r="K3404" s="6" t="str">
        <f aca="false">HYPERLINK("https://www.google.com/search?q=Lena+Armstrong+Public+Library+Belton+TX+library+website","Search")</f>
        <v>Search</v>
      </c>
      <c r="L3404" s="7"/>
      <c r="M3404" s="7"/>
    </row>
    <row r="3405" customFormat="false" ht="15" hidden="false" customHeight="true" outlineLevel="0" collapsed="false">
      <c r="A3405" s="4" t="s">
        <v>12921</v>
      </c>
      <c r="B3405" s="4" t="s">
        <v>13472</v>
      </c>
      <c r="C3405" s="4" t="s">
        <v>13473</v>
      </c>
      <c r="D3405" s="4" t="s">
        <v>13007</v>
      </c>
      <c r="E3405" s="5" t="n">
        <v>11463</v>
      </c>
      <c r="F3405" s="4" t="n">
        <v>1</v>
      </c>
      <c r="G3405" s="4" t="s">
        <v>13474</v>
      </c>
      <c r="H3405" s="4" t="n">
        <v>29.50092</v>
      </c>
      <c r="I3405" s="4" t="n">
        <v>-98.61342</v>
      </c>
      <c r="J3405" s="4" t="s">
        <v>13475</v>
      </c>
      <c r="K3405" s="6" t="str">
        <f aca="false">HYPERLINK("https://www.google.com/search?q=Leon+Valley+Public+Library+Leon+Valley+TX+library+website","Search")</f>
        <v>Search</v>
      </c>
      <c r="L3405" s="7"/>
      <c r="M3405" s="7"/>
    </row>
    <row r="3406" customFormat="false" ht="15" hidden="false" customHeight="true" outlineLevel="0" collapsed="false">
      <c r="A3406" s="4" t="s">
        <v>12921</v>
      </c>
      <c r="B3406" s="4" t="s">
        <v>13476</v>
      </c>
      <c r="C3406" s="4" t="s">
        <v>13477</v>
      </c>
      <c r="D3406" s="4" t="s">
        <v>6181</v>
      </c>
      <c r="E3406" s="5" t="n">
        <v>157409</v>
      </c>
      <c r="F3406" s="4" t="n">
        <v>1</v>
      </c>
      <c r="G3406" s="4" t="s">
        <v>13478</v>
      </c>
      <c r="H3406" s="4" t="n">
        <v>33.04221</v>
      </c>
      <c r="I3406" s="4" t="n">
        <v>-97.02284</v>
      </c>
      <c r="J3406" s="4" t="s">
        <v>13479</v>
      </c>
      <c r="K3406" s="6" t="str">
        <f aca="false">HYPERLINK("https://www.google.com/search?q=Lewisville+Public+Library+Lewisville+TX+library+website","Search")</f>
        <v>Search</v>
      </c>
      <c r="L3406" s="7"/>
      <c r="M3406" s="7"/>
    </row>
    <row r="3407" customFormat="false" ht="15" hidden="false" customHeight="true" outlineLevel="0" collapsed="false">
      <c r="A3407" s="4" t="s">
        <v>12921</v>
      </c>
      <c r="B3407" s="4" t="s">
        <v>13480</v>
      </c>
      <c r="C3407" s="4" t="s">
        <v>13481</v>
      </c>
      <c r="D3407" s="4" t="s">
        <v>3315</v>
      </c>
      <c r="E3407" s="5" t="n">
        <v>27775</v>
      </c>
      <c r="F3407" s="4" t="n">
        <v>1</v>
      </c>
      <c r="G3407" s="4" t="s">
        <v>13482</v>
      </c>
      <c r="H3407" s="4" t="n">
        <v>30.66386</v>
      </c>
      <c r="I3407" s="4" t="n">
        <v>-97.91085</v>
      </c>
      <c r="J3407" s="4" t="s">
        <v>13483</v>
      </c>
      <c r="K3407" s="6" t="str">
        <f aca="false">HYPERLINK("https://www.google.com/search?q=Liberty+Hill+Public+Library+Liberty+Hill+TX+library+website","Search")</f>
        <v>Search</v>
      </c>
      <c r="L3407" s="7"/>
      <c r="M3407" s="7"/>
    </row>
    <row r="3408" customFormat="false" ht="15" hidden="false" customHeight="true" outlineLevel="0" collapsed="false">
      <c r="A3408" s="4" t="s">
        <v>12921</v>
      </c>
      <c r="B3408" s="4" t="s">
        <v>13484</v>
      </c>
      <c r="C3408" s="4" t="s">
        <v>13485</v>
      </c>
      <c r="D3408" s="4" t="s">
        <v>6181</v>
      </c>
      <c r="E3408" s="5" t="n">
        <v>71372</v>
      </c>
      <c r="F3408" s="4" t="n">
        <v>1</v>
      </c>
      <c r="G3408" s="4" t="s">
        <v>13486</v>
      </c>
      <c r="H3408" s="4" t="n">
        <v>33.15866</v>
      </c>
      <c r="I3408" s="4" t="n">
        <v>-96.9405</v>
      </c>
      <c r="J3408" s="4" t="s">
        <v>13487</v>
      </c>
      <c r="K3408" s="6" t="str">
        <f aca="false">HYPERLINK("https://www.google.com/search?q=Little+Elm+Public+Library+Little+Elm+TX+library+website","Search")</f>
        <v>Search</v>
      </c>
      <c r="L3408" s="7"/>
      <c r="M3408" s="7"/>
    </row>
    <row r="3409" customFormat="false" ht="15" hidden="false" customHeight="true" outlineLevel="0" collapsed="false">
      <c r="A3409" s="4" t="s">
        <v>12921</v>
      </c>
      <c r="B3409" s="4" t="s">
        <v>13488</v>
      </c>
      <c r="C3409" s="4" t="s">
        <v>13489</v>
      </c>
      <c r="D3409" s="4" t="s">
        <v>2562</v>
      </c>
      <c r="E3409" s="5" t="n">
        <v>10131</v>
      </c>
      <c r="F3409" s="4" t="n">
        <v>2</v>
      </c>
      <c r="G3409" s="4" t="s">
        <v>13490</v>
      </c>
      <c r="H3409" s="4" t="n">
        <v>28.33432</v>
      </c>
      <c r="I3409" s="4" t="n">
        <v>-98.11505</v>
      </c>
      <c r="J3409" s="4" t="s">
        <v>13491</v>
      </c>
      <c r="K3409" s="6" t="str">
        <f aca="false">HYPERLINK("https://www.google.com/search?q=Live+Oak+County+Library+George+West+TX+library+website","Search")</f>
        <v>Search</v>
      </c>
      <c r="L3409" s="7"/>
      <c r="M3409" s="7"/>
    </row>
    <row r="3410" customFormat="false" ht="15" hidden="false" customHeight="true" outlineLevel="0" collapsed="false">
      <c r="A3410" s="4" t="s">
        <v>12921</v>
      </c>
      <c r="B3410" s="4" t="s">
        <v>13492</v>
      </c>
      <c r="C3410" s="4" t="s">
        <v>4583</v>
      </c>
      <c r="D3410" s="4" t="s">
        <v>12940</v>
      </c>
      <c r="E3410" s="5" t="n">
        <v>23293</v>
      </c>
      <c r="F3410" s="4" t="n">
        <v>1</v>
      </c>
      <c r="G3410" s="4" t="s">
        <v>13493</v>
      </c>
      <c r="H3410" s="4" t="n">
        <v>33.18106</v>
      </c>
      <c r="I3410" s="4" t="n">
        <v>-96.49749</v>
      </c>
      <c r="J3410" s="4" t="s">
        <v>13494</v>
      </c>
      <c r="K3410" s="6" t="str">
        <f aca="false">HYPERLINK("https://www.google.com/search?q=Lois+Nelson+Public+Library+Princeton+TX+library+website","Search")</f>
        <v>Search</v>
      </c>
      <c r="L3410" s="7"/>
      <c r="M3410" s="7"/>
    </row>
    <row r="3411" customFormat="false" ht="15" hidden="false" customHeight="true" outlineLevel="0" collapsed="false">
      <c r="A3411" s="4" t="s">
        <v>12921</v>
      </c>
      <c r="B3411" s="4" t="s">
        <v>13495</v>
      </c>
      <c r="C3411" s="4" t="s">
        <v>13496</v>
      </c>
      <c r="D3411" s="4" t="s">
        <v>13430</v>
      </c>
      <c r="E3411" s="5" t="n">
        <v>101208</v>
      </c>
      <c r="F3411" s="4" t="n">
        <v>2</v>
      </c>
      <c r="G3411" s="4" t="s">
        <v>13497</v>
      </c>
      <c r="H3411" s="4" t="n">
        <v>32.49437</v>
      </c>
      <c r="I3411" s="4" t="n">
        <v>-94.7436</v>
      </c>
      <c r="J3411" s="4" t="s">
        <v>13498</v>
      </c>
      <c r="K3411" s="6" t="str">
        <f aca="false">HYPERLINK("https://www.google.com/search?q=Longview+Public+Library+Longview+TX+library+website","Search")</f>
        <v>Search</v>
      </c>
      <c r="L3411" s="7"/>
      <c r="M3411" s="7"/>
    </row>
    <row r="3412" customFormat="false" ht="15" hidden="false" customHeight="true" outlineLevel="0" collapsed="false">
      <c r="A3412" s="4" t="s">
        <v>12921</v>
      </c>
      <c r="B3412" s="4" t="s">
        <v>13499</v>
      </c>
      <c r="C3412" s="4" t="s">
        <v>13500</v>
      </c>
      <c r="D3412" s="4" t="s">
        <v>13501</v>
      </c>
      <c r="E3412" s="5" t="n">
        <v>20227</v>
      </c>
      <c r="F3412" s="4" t="n">
        <v>1</v>
      </c>
      <c r="G3412" s="4" t="s">
        <v>13502</v>
      </c>
      <c r="H3412" s="4" t="n">
        <v>35.53797</v>
      </c>
      <c r="I3412" s="4" t="n">
        <v>-100.95833</v>
      </c>
      <c r="J3412" s="4" t="s">
        <v>13503</v>
      </c>
      <c r="K3412" s="6" t="str">
        <f aca="false">HYPERLINK("https://www.google.com/search?q=Lovett+Memorial+Library+Pampa+Pampa+TX+library+website","Search")</f>
        <v>Search</v>
      </c>
      <c r="L3412" s="7"/>
      <c r="M3412" s="7"/>
    </row>
    <row r="3413" customFormat="false" ht="15" hidden="false" customHeight="true" outlineLevel="0" collapsed="false">
      <c r="A3413" s="4" t="s">
        <v>12921</v>
      </c>
      <c r="B3413" s="4" t="s">
        <v>13504</v>
      </c>
      <c r="C3413" s="4" t="s">
        <v>13505</v>
      </c>
      <c r="D3413" s="4" t="s">
        <v>13505</v>
      </c>
      <c r="E3413" s="5" t="n">
        <v>293985</v>
      </c>
      <c r="F3413" s="4" t="n">
        <v>4</v>
      </c>
      <c r="G3413" s="4" t="s">
        <v>13506</v>
      </c>
      <c r="H3413" s="4" t="n">
        <v>33.58745</v>
      </c>
      <c r="I3413" s="4" t="n">
        <v>-101.84909</v>
      </c>
      <c r="J3413" s="4" t="s">
        <v>13507</v>
      </c>
      <c r="K3413" s="6" t="str">
        <f aca="false">HYPERLINK("https://www.google.com/search?q=Lubbock+Public+Library+Lubbock+TX+library+website","Search")</f>
        <v>Search</v>
      </c>
      <c r="L3413" s="7"/>
      <c r="M3413" s="8" t="str">
        <f aca="false">HYPERLINK("https://lubbock.overdrive.com","https://lubbock.overdrive.com")</f>
        <v>https://lubbock.overdrive.com</v>
      </c>
    </row>
    <row r="3414" customFormat="false" ht="15" hidden="false" customHeight="true" outlineLevel="0" collapsed="false">
      <c r="A3414" s="4" t="s">
        <v>12921</v>
      </c>
      <c r="B3414" s="4" t="s">
        <v>13508</v>
      </c>
      <c r="C3414" s="4" t="s">
        <v>8125</v>
      </c>
      <c r="D3414" s="4" t="s">
        <v>4958</v>
      </c>
      <c r="E3414" s="5" t="n">
        <v>21910</v>
      </c>
      <c r="F3414" s="4" t="n">
        <v>1</v>
      </c>
      <c r="G3414" s="4" t="s">
        <v>13509</v>
      </c>
      <c r="H3414" s="4" t="n">
        <v>30.26592</v>
      </c>
      <c r="I3414" s="4" t="n">
        <v>-94.19798</v>
      </c>
      <c r="J3414" s="4" t="s">
        <v>13510</v>
      </c>
      <c r="K3414" s="6" t="str">
        <f aca="false">HYPERLINK("https://www.google.com/search?q=Lumberton+Public+Library+Lumberton+TX+library+website","Search")</f>
        <v>Search</v>
      </c>
      <c r="L3414" s="7"/>
      <c r="M3414" s="7"/>
    </row>
    <row r="3415" customFormat="false" ht="15" hidden="false" customHeight="true" outlineLevel="0" collapsed="false">
      <c r="A3415" s="4" t="s">
        <v>12921</v>
      </c>
      <c r="B3415" s="4" t="s">
        <v>13511</v>
      </c>
      <c r="C3415" s="4" t="s">
        <v>4977</v>
      </c>
      <c r="D3415" s="4" t="s">
        <v>261</v>
      </c>
      <c r="E3415" s="5" t="n">
        <v>11525</v>
      </c>
      <c r="F3415" s="4" t="n">
        <v>1</v>
      </c>
      <c r="G3415" s="4" t="s">
        <v>13512</v>
      </c>
      <c r="H3415" s="4" t="n">
        <v>30.94637</v>
      </c>
      <c r="I3415" s="4" t="n">
        <v>-95.90934</v>
      </c>
      <c r="J3415" s="4" t="s">
        <v>13513</v>
      </c>
      <c r="K3415" s="6" t="str">
        <f aca="false">HYPERLINK("https://www.google.com/search?q=Madison+County+Library+Madisonville+TX+library+website","Search")</f>
        <v>Search</v>
      </c>
      <c r="L3415" s="7"/>
      <c r="M3415" s="7"/>
    </row>
    <row r="3416" customFormat="false" ht="15" hidden="false" customHeight="true" outlineLevel="0" collapsed="false">
      <c r="A3416" s="4" t="s">
        <v>12921</v>
      </c>
      <c r="B3416" s="4" t="s">
        <v>13514</v>
      </c>
      <c r="C3416" s="4" t="s">
        <v>9178</v>
      </c>
      <c r="D3416" s="4" t="s">
        <v>13188</v>
      </c>
      <c r="E3416" s="5" t="n">
        <v>14567</v>
      </c>
      <c r="F3416" s="4" t="n">
        <v>1</v>
      </c>
      <c r="G3416" s="4" t="s">
        <v>13515</v>
      </c>
      <c r="H3416" s="4" t="n">
        <v>29.37654</v>
      </c>
      <c r="I3416" s="4" t="n">
        <v>-95.10874</v>
      </c>
      <c r="J3416" s="4" t="s">
        <v>13516</v>
      </c>
      <c r="K3416" s="6" t="str">
        <f aca="false">HYPERLINK("https://www.google.com/search?q=Mae+S+Bruce+Library+Santa+Fe+TX+library+website","Search")</f>
        <v>Search</v>
      </c>
      <c r="L3416" s="7"/>
      <c r="M3416" s="7"/>
    </row>
    <row r="3417" customFormat="false" ht="15" hidden="false" customHeight="true" outlineLevel="0" collapsed="false">
      <c r="A3417" s="4" t="s">
        <v>12921</v>
      </c>
      <c r="B3417" s="4" t="s">
        <v>13517</v>
      </c>
      <c r="C3417" s="4" t="s">
        <v>13518</v>
      </c>
      <c r="D3417" s="4" t="s">
        <v>13519</v>
      </c>
      <c r="E3417" s="5" t="n">
        <v>38237</v>
      </c>
      <c r="F3417" s="4" t="n">
        <v>1</v>
      </c>
      <c r="G3417" s="4" t="s">
        <v>13520</v>
      </c>
      <c r="H3417" s="4" t="n">
        <v>29.79418</v>
      </c>
      <c r="I3417" s="4" t="n">
        <v>-98.42279</v>
      </c>
      <c r="J3417" s="4" t="s">
        <v>13521</v>
      </c>
      <c r="K3417" s="6" t="str">
        <f aca="false">HYPERLINK("https://www.google.com/search?q=Mammen+Family+Public+Library+Bulverde+TX+library+website","Search")</f>
        <v>Search</v>
      </c>
      <c r="L3417" s="7"/>
      <c r="M3417" s="7"/>
    </row>
    <row r="3418" customFormat="false" ht="15" hidden="false" customHeight="true" outlineLevel="0" collapsed="false">
      <c r="A3418" s="4" t="s">
        <v>12921</v>
      </c>
      <c r="B3418" s="4" t="s">
        <v>1999</v>
      </c>
      <c r="C3418" s="4" t="s">
        <v>2000</v>
      </c>
      <c r="D3418" s="4" t="s">
        <v>12957</v>
      </c>
      <c r="E3418" s="5" t="n">
        <v>74368</v>
      </c>
      <c r="F3418" s="4" t="n">
        <v>1</v>
      </c>
      <c r="G3418" s="4" t="s">
        <v>13522</v>
      </c>
      <c r="H3418" s="4" t="n">
        <v>32.56486</v>
      </c>
      <c r="I3418" s="4" t="n">
        <v>-97.12311</v>
      </c>
      <c r="J3418" s="4" t="s">
        <v>13523</v>
      </c>
      <c r="K3418" s="6" t="str">
        <f aca="false">HYPERLINK("https://www.google.com/search?q=Mansfield+Public+Library+Mansfield+TX+library+website","Search")</f>
        <v>Search</v>
      </c>
      <c r="L3418" s="7"/>
      <c r="M3418" s="7"/>
    </row>
    <row r="3419" customFormat="false" ht="15" hidden="false" customHeight="true" outlineLevel="0" collapsed="false">
      <c r="A3419" s="4" t="s">
        <v>12921</v>
      </c>
      <c r="B3419" s="4" t="s">
        <v>13524</v>
      </c>
      <c r="C3419" s="4" t="s">
        <v>13525</v>
      </c>
      <c r="D3419" s="4" t="s">
        <v>98</v>
      </c>
      <c r="E3419" s="5" t="n">
        <v>18331</v>
      </c>
      <c r="F3419" s="4" t="n">
        <v>1</v>
      </c>
      <c r="G3419" s="4" t="s">
        <v>13526</v>
      </c>
      <c r="H3419" s="4" t="n">
        <v>29.96328</v>
      </c>
      <c r="I3419" s="4" t="n">
        <v>-93.99994</v>
      </c>
      <c r="J3419" s="4" t="s">
        <v>13527</v>
      </c>
      <c r="K3419" s="6" t="str">
        <f aca="false">HYPERLINK("https://www.google.com/search?q=Marion+%26+Ed+Hughes+Public+Library+Nederland+TX+library+website","Search")</f>
        <v>Search</v>
      </c>
      <c r="L3419" s="7"/>
      <c r="M3419" s="7"/>
    </row>
    <row r="3420" customFormat="false" ht="15" hidden="false" customHeight="true" outlineLevel="0" collapsed="false">
      <c r="A3420" s="4" t="s">
        <v>12921</v>
      </c>
      <c r="B3420" s="4" t="s">
        <v>7454</v>
      </c>
      <c r="C3420" s="4" t="s">
        <v>58</v>
      </c>
      <c r="D3420" s="4" t="s">
        <v>485</v>
      </c>
      <c r="E3420" s="5" t="n">
        <v>61463</v>
      </c>
      <c r="F3420" s="4" t="n">
        <v>1</v>
      </c>
      <c r="G3420" s="4" t="s">
        <v>13528</v>
      </c>
      <c r="H3420" s="4" t="n">
        <v>32.54297</v>
      </c>
      <c r="I3420" s="4" t="n">
        <v>-94.36321</v>
      </c>
      <c r="J3420" s="4" t="s">
        <v>13529</v>
      </c>
      <c r="K3420" s="6" t="str">
        <f aca="false">HYPERLINK("https://www.google.com/search?q=Marshall+Public+Library+Marshall+TX+library+website","Search")</f>
        <v>Search</v>
      </c>
      <c r="L3420" s="7"/>
      <c r="M3420" s="7"/>
    </row>
    <row r="3421" customFormat="false" ht="15" hidden="false" customHeight="true" outlineLevel="0" collapsed="false">
      <c r="A3421" s="4" t="s">
        <v>12921</v>
      </c>
      <c r="B3421" s="4" t="s">
        <v>13530</v>
      </c>
      <c r="C3421" s="4" t="s">
        <v>13531</v>
      </c>
      <c r="D3421" s="4" t="s">
        <v>13193</v>
      </c>
      <c r="E3421" s="5" t="n">
        <v>63031</v>
      </c>
      <c r="F3421" s="4" t="n">
        <v>1</v>
      </c>
      <c r="G3421" s="4" t="s">
        <v>13532</v>
      </c>
      <c r="H3421" s="4" t="n">
        <v>26.15569</v>
      </c>
      <c r="I3421" s="4" t="n">
        <v>-97.9896</v>
      </c>
      <c r="J3421" s="4" t="s">
        <v>13533</v>
      </c>
      <c r="K3421" s="6" t="str">
        <f aca="false">HYPERLINK("https://www.google.com/search?q=Mayor+Joe+V+Sanchez+Public+Library+Weslaco+TX+library+website","Search")</f>
        <v>Search</v>
      </c>
      <c r="L3421" s="7"/>
      <c r="M3421" s="7"/>
    </row>
    <row r="3422" customFormat="false" ht="15" hidden="false" customHeight="true" outlineLevel="0" collapsed="false">
      <c r="A3422" s="4" t="s">
        <v>12921</v>
      </c>
      <c r="B3422" s="4" t="s">
        <v>13534</v>
      </c>
      <c r="C3422" s="4" t="s">
        <v>13535</v>
      </c>
      <c r="D3422" s="4" t="s">
        <v>13193</v>
      </c>
      <c r="E3422" s="5" t="n">
        <v>221126</v>
      </c>
      <c r="F3422" s="4" t="n">
        <v>3</v>
      </c>
      <c r="G3422" s="4" t="s">
        <v>13536</v>
      </c>
      <c r="H3422" s="4" t="n">
        <v>26.24185</v>
      </c>
      <c r="I3422" s="4" t="n">
        <v>-98.24219</v>
      </c>
      <c r="J3422" s="4" t="s">
        <v>13537</v>
      </c>
      <c r="K3422" s="6" t="str">
        <f aca="false">HYPERLINK("https://www.google.com/search?q=Mcallen+Public+Library+Mcallen+TX+library+website","Search")</f>
        <v>Search</v>
      </c>
      <c r="L3422" s="7"/>
      <c r="M3422" s="8" t="str">
        <f aca="false">HYPERLINK("https://mcallen.overdrive.com","https://mcallen.overdrive.com")</f>
        <v>https://mcallen.overdrive.com</v>
      </c>
    </row>
    <row r="3423" customFormat="false" ht="15" hidden="false" customHeight="true" outlineLevel="0" collapsed="false">
      <c r="A3423" s="4" t="s">
        <v>12921</v>
      </c>
      <c r="B3423" s="4" t="s">
        <v>13538</v>
      </c>
      <c r="C3423" s="4" t="s">
        <v>13539</v>
      </c>
      <c r="D3423" s="4" t="s">
        <v>12940</v>
      </c>
      <c r="E3423" s="5" t="n">
        <v>202690</v>
      </c>
      <c r="F3423" s="4" t="n">
        <v>2</v>
      </c>
      <c r="G3423" s="4" t="s">
        <v>13540</v>
      </c>
      <c r="H3423" s="4" t="n">
        <v>33.19929</v>
      </c>
      <c r="I3423" s="4" t="n">
        <v>-96.61555</v>
      </c>
      <c r="J3423" s="4" t="s">
        <v>13541</v>
      </c>
      <c r="K3423" s="6" t="str">
        <f aca="false">HYPERLINK("https://www.google.com/search?q=Mckinney+Public+Library+System+Mckinney+TX+library+website","Search")</f>
        <v>Search</v>
      </c>
      <c r="L3423" s="7"/>
      <c r="M3423" s="7"/>
    </row>
    <row r="3424" customFormat="false" ht="15" hidden="false" customHeight="true" outlineLevel="0" collapsed="false">
      <c r="A3424" s="4" t="s">
        <v>12921</v>
      </c>
      <c r="B3424" s="4" t="s">
        <v>13542</v>
      </c>
      <c r="C3424" s="4" t="s">
        <v>13543</v>
      </c>
      <c r="D3424" s="4" t="s">
        <v>12940</v>
      </c>
      <c r="E3424" s="5" t="n">
        <v>16983</v>
      </c>
      <c r="F3424" s="4" t="n">
        <v>1</v>
      </c>
      <c r="G3424" s="4" t="s">
        <v>13544</v>
      </c>
      <c r="H3424" s="4" t="n">
        <v>33.29322</v>
      </c>
      <c r="I3424" s="4" t="n">
        <v>-96.57259</v>
      </c>
      <c r="J3424" s="4" t="s">
        <v>13545</v>
      </c>
      <c r="K3424" s="6" t="str">
        <f aca="false">HYPERLINK("https://www.google.com/search?q=Melissa+Public+Library+Melissa+TX+library+website","Search")</f>
        <v>Search</v>
      </c>
      <c r="L3424" s="7"/>
      <c r="M3424" s="7"/>
    </row>
    <row r="3425" customFormat="false" ht="15" hidden="false" customHeight="true" outlineLevel="0" collapsed="false">
      <c r="A3425" s="4" t="s">
        <v>12921</v>
      </c>
      <c r="B3425" s="4" t="s">
        <v>13546</v>
      </c>
      <c r="C3425" s="4" t="s">
        <v>13547</v>
      </c>
      <c r="D3425" s="4" t="s">
        <v>394</v>
      </c>
      <c r="E3425" s="5" t="n">
        <v>147691</v>
      </c>
      <c r="F3425" s="4" t="n">
        <v>2</v>
      </c>
      <c r="G3425" s="4" t="s">
        <v>13548</v>
      </c>
      <c r="H3425" s="4" t="n">
        <v>32.77534</v>
      </c>
      <c r="I3425" s="4" t="n">
        <v>-96.60173</v>
      </c>
      <c r="J3425" s="4" t="s">
        <v>13549</v>
      </c>
      <c r="K3425" s="6" t="str">
        <f aca="false">HYPERLINK("https://www.google.com/search?q=Mesquite+Public+Library+Mesquite+TX+library+website","Search")</f>
        <v>Search</v>
      </c>
      <c r="L3425" s="7"/>
      <c r="M3425" s="7"/>
    </row>
    <row r="3426" customFormat="false" ht="15" hidden="false" customHeight="true" outlineLevel="0" collapsed="false">
      <c r="A3426" s="4" t="s">
        <v>12921</v>
      </c>
      <c r="B3426" s="4" t="s">
        <v>13550</v>
      </c>
      <c r="C3426" s="4" t="s">
        <v>6684</v>
      </c>
      <c r="D3426" s="4" t="s">
        <v>6684</v>
      </c>
      <c r="E3426" s="5" t="n">
        <v>167969</v>
      </c>
      <c r="F3426" s="4" t="n">
        <v>2</v>
      </c>
      <c r="G3426" s="4" t="s">
        <v>13551</v>
      </c>
      <c r="H3426" s="4" t="n">
        <v>31.99641</v>
      </c>
      <c r="I3426" s="4" t="n">
        <v>-102.07713</v>
      </c>
      <c r="J3426" s="4" t="s">
        <v>13552</v>
      </c>
      <c r="K3426" s="6" t="str">
        <f aca="false">HYPERLINK("https://www.google.com/search?q=Midland+County+Public+Library+Midland+TX+library+website","Search")</f>
        <v>Search</v>
      </c>
      <c r="L3426" s="7"/>
      <c r="M3426" s="7"/>
    </row>
    <row r="3427" customFormat="false" ht="15" hidden="false" customHeight="true" outlineLevel="0" collapsed="false">
      <c r="A3427" s="4" t="s">
        <v>12921</v>
      </c>
      <c r="B3427" s="4" t="s">
        <v>9811</v>
      </c>
      <c r="C3427" s="4" t="s">
        <v>9812</v>
      </c>
      <c r="D3427" s="4" t="s">
        <v>10722</v>
      </c>
      <c r="E3427" s="5" t="n">
        <v>10268</v>
      </c>
      <c r="F3427" s="4" t="n">
        <v>1</v>
      </c>
      <c r="G3427" s="4" t="s">
        <v>13553</v>
      </c>
      <c r="H3427" s="4" t="n">
        <v>32.66546</v>
      </c>
      <c r="I3427" s="4" t="n">
        <v>-95.48747</v>
      </c>
      <c r="J3427" s="4" t="s">
        <v>13554</v>
      </c>
      <c r="K3427" s="6" t="str">
        <f aca="false">HYPERLINK("https://www.google.com/search?q=Mineola+Memorial+Library+Mineola+TX+library+website","Search")</f>
        <v>Search</v>
      </c>
      <c r="L3427" s="7"/>
      <c r="M3427" s="7"/>
    </row>
    <row r="3428" customFormat="false" ht="15" hidden="false" customHeight="true" outlineLevel="0" collapsed="false">
      <c r="A3428" s="4" t="s">
        <v>12921</v>
      </c>
      <c r="B3428" s="4" t="s">
        <v>13555</v>
      </c>
      <c r="C3428" s="4" t="s">
        <v>13556</v>
      </c>
      <c r="D3428" s="4" t="s">
        <v>315</v>
      </c>
      <c r="E3428" s="5" t="n">
        <v>619467</v>
      </c>
      <c r="F3428" s="4" t="n">
        <v>7</v>
      </c>
      <c r="G3428" s="4" t="s">
        <v>13557</v>
      </c>
      <c r="H3428" s="4" t="n">
        <v>30.3097</v>
      </c>
      <c r="I3428" s="4" t="n">
        <v>-95.46928</v>
      </c>
      <c r="J3428" s="4" t="s">
        <v>13558</v>
      </c>
      <c r="K3428" s="6" t="str">
        <f aca="false">HYPERLINK("https://www.google.com/search?q=Montgomery+County+Memorial+Library+System+Conroe+TX+library+website","Search")</f>
        <v>Search</v>
      </c>
      <c r="L3428" s="7"/>
      <c r="M3428" s="7"/>
    </row>
    <row r="3429" customFormat="false" ht="15" hidden="false" customHeight="true" outlineLevel="0" collapsed="false">
      <c r="A3429" s="4" t="s">
        <v>12921</v>
      </c>
      <c r="B3429" s="4" t="s">
        <v>13559</v>
      </c>
      <c r="C3429" s="4" t="s">
        <v>13560</v>
      </c>
      <c r="D3429" s="4" t="s">
        <v>13188</v>
      </c>
      <c r="E3429" s="5" t="n">
        <v>61819</v>
      </c>
      <c r="F3429" s="4" t="n">
        <v>1</v>
      </c>
      <c r="G3429" s="4" t="s">
        <v>13561</v>
      </c>
      <c r="H3429" s="4" t="n">
        <v>29.39317</v>
      </c>
      <c r="I3429" s="4" t="n">
        <v>-94.91875</v>
      </c>
      <c r="J3429" s="4" t="s">
        <v>13562</v>
      </c>
      <c r="K3429" s="6" t="str">
        <f aca="false">HYPERLINK("https://www.google.com/search?q=Moore+Memorial+Public+Library+Texas+City+TX+library+website","Search")</f>
        <v>Search</v>
      </c>
      <c r="L3429" s="7"/>
      <c r="M3429" s="8" t="str">
        <f aca="false">HYPERLINK("https://mmpl.overdrive.com","https://mmpl.overdrive.com")</f>
        <v>https://mmpl.overdrive.com</v>
      </c>
    </row>
    <row r="3430" customFormat="false" ht="15" hidden="false" customHeight="true" outlineLevel="0" collapsed="false">
      <c r="A3430" s="4" t="s">
        <v>12921</v>
      </c>
      <c r="B3430" s="4" t="s">
        <v>3063</v>
      </c>
      <c r="C3430" s="4" t="s">
        <v>13563</v>
      </c>
      <c r="D3430" s="4" t="s">
        <v>13564</v>
      </c>
      <c r="E3430" s="5" t="n">
        <v>16079</v>
      </c>
      <c r="F3430" s="4" t="n">
        <v>1</v>
      </c>
      <c r="G3430" s="4" t="s">
        <v>13565</v>
      </c>
      <c r="H3430" s="4" t="n">
        <v>33.16072</v>
      </c>
      <c r="I3430" s="4" t="n">
        <v>-94.96957</v>
      </c>
      <c r="J3430" s="4" t="s">
        <v>13566</v>
      </c>
      <c r="K3430" s="6" t="str">
        <f aca="false">HYPERLINK("https://www.google.com/search?q=Mount+Pleasant+Public+Library+Mt+Pleasant+TX+library+website","Search")</f>
        <v>Search</v>
      </c>
      <c r="L3430" s="7"/>
      <c r="M3430" s="7"/>
    </row>
    <row r="3431" customFormat="false" ht="15" hidden="false" customHeight="true" outlineLevel="0" collapsed="false">
      <c r="A3431" s="4" t="s">
        <v>12921</v>
      </c>
      <c r="B3431" s="4" t="s">
        <v>13567</v>
      </c>
      <c r="C3431" s="4" t="s">
        <v>13568</v>
      </c>
      <c r="D3431" s="4" t="s">
        <v>441</v>
      </c>
      <c r="E3431" s="5" t="n">
        <v>18117</v>
      </c>
      <c r="F3431" s="4" t="n">
        <v>1</v>
      </c>
      <c r="G3431" s="4" t="s">
        <v>13569</v>
      </c>
      <c r="H3431" s="4" t="n">
        <v>30.17034</v>
      </c>
      <c r="I3431" s="4" t="n">
        <v>-96.39938</v>
      </c>
      <c r="J3431" s="4" t="s">
        <v>13570</v>
      </c>
      <c r="K3431" s="6" t="str">
        <f aca="false">HYPERLINK("https://www.google.com/search?q=Nancy+Carol+Roberts+Memorial+Library+Brenham+TX+library+website","Search")</f>
        <v>Search</v>
      </c>
      <c r="L3431" s="7"/>
      <c r="M3431" s="7"/>
    </row>
    <row r="3432" customFormat="false" ht="15" hidden="false" customHeight="true" outlineLevel="0" collapsed="false">
      <c r="A3432" s="4" t="s">
        <v>12921</v>
      </c>
      <c r="B3432" s="4" t="s">
        <v>13571</v>
      </c>
      <c r="C3432" s="4" t="s">
        <v>13572</v>
      </c>
      <c r="D3432" s="4" t="s">
        <v>2995</v>
      </c>
      <c r="E3432" s="5" t="n">
        <v>30287</v>
      </c>
      <c r="F3432" s="4" t="n">
        <v>1</v>
      </c>
      <c r="G3432" s="4" t="s">
        <v>13573</v>
      </c>
      <c r="H3432" s="4" t="n">
        <v>30.39504</v>
      </c>
      <c r="I3432" s="4" t="n">
        <v>-96.07657</v>
      </c>
      <c r="J3432" s="4" t="s">
        <v>13574</v>
      </c>
      <c r="K3432" s="6" t="str">
        <f aca="false">HYPERLINK("https://www.google.com/search?q=Navasota+Public+Library+Navasota+TX+library+website","Search")</f>
        <v>Search</v>
      </c>
      <c r="L3432" s="7"/>
      <c r="M3432" s="7"/>
    </row>
    <row r="3433" customFormat="false" ht="15" hidden="false" customHeight="true" outlineLevel="0" collapsed="false">
      <c r="A3433" s="4" t="s">
        <v>12921</v>
      </c>
      <c r="B3433" s="4" t="s">
        <v>13575</v>
      </c>
      <c r="C3433" s="4" t="s">
        <v>13576</v>
      </c>
      <c r="D3433" s="4" t="s">
        <v>13519</v>
      </c>
      <c r="E3433" s="5" t="n">
        <v>98857</v>
      </c>
      <c r="F3433" s="4" t="n">
        <v>2</v>
      </c>
      <c r="G3433" s="4" t="s">
        <v>13577</v>
      </c>
      <c r="H3433" s="4" t="n">
        <v>29.71351</v>
      </c>
      <c r="I3433" s="4" t="n">
        <v>-98.1127</v>
      </c>
      <c r="J3433" s="4" t="s">
        <v>13578</v>
      </c>
      <c r="K3433" s="6" t="str">
        <f aca="false">HYPERLINK("https://www.google.com/search?q=New+Braunfels+Public+Library+New+Braunfels+TX+library+website","Search")</f>
        <v>Search</v>
      </c>
      <c r="L3433" s="7"/>
      <c r="M3433" s="7"/>
    </row>
    <row r="3434" customFormat="false" ht="15" hidden="false" customHeight="true" outlineLevel="0" collapsed="false">
      <c r="A3434" s="4" t="s">
        <v>12921</v>
      </c>
      <c r="B3434" s="4" t="s">
        <v>13579</v>
      </c>
      <c r="C3434" s="4" t="s">
        <v>2762</v>
      </c>
      <c r="D3434" s="4" t="s">
        <v>2762</v>
      </c>
      <c r="E3434" s="5" t="n">
        <v>12241</v>
      </c>
      <c r="F3434" s="4" t="n">
        <v>2</v>
      </c>
      <c r="G3434" s="4" t="s">
        <v>13580</v>
      </c>
      <c r="H3434" s="4" t="n">
        <v>30.84945</v>
      </c>
      <c r="I3434" s="4" t="n">
        <v>-93.76087</v>
      </c>
      <c r="J3434" s="4" t="s">
        <v>13581</v>
      </c>
      <c r="K3434" s="6" t="str">
        <f aca="false">HYPERLINK("https://www.google.com/search?q=Newton+County+Public+Library+Newton+TX+library+website","Search")</f>
        <v>Search</v>
      </c>
      <c r="L3434" s="7"/>
      <c r="M3434" s="7"/>
    </row>
    <row r="3435" customFormat="false" ht="15" hidden="false" customHeight="true" outlineLevel="0" collapsed="false">
      <c r="A3435" s="4" t="s">
        <v>12921</v>
      </c>
      <c r="B3435" s="4" t="s">
        <v>13582</v>
      </c>
      <c r="C3435" s="4" t="s">
        <v>13583</v>
      </c>
      <c r="D3435" s="4" t="s">
        <v>4725</v>
      </c>
      <c r="E3435" s="5" t="n">
        <v>43368</v>
      </c>
      <c r="F3435" s="4" t="n">
        <v>1</v>
      </c>
      <c r="G3435" s="4" t="s">
        <v>13584</v>
      </c>
      <c r="H3435" s="4" t="n">
        <v>32.38832</v>
      </c>
      <c r="I3435" s="4" t="n">
        <v>-96.85224</v>
      </c>
      <c r="J3435" s="4" t="s">
        <v>13585</v>
      </c>
      <c r="K3435" s="6" t="str">
        <f aca="false">HYPERLINK("https://www.google.com/search?q=Nicholas+P+Sims+Library+%26+Lyceum+Waxahachie+TX+library+website","Search")</f>
        <v>Search</v>
      </c>
      <c r="L3435" s="7"/>
      <c r="M3435" s="7"/>
    </row>
    <row r="3436" customFormat="false" ht="15" hidden="false" customHeight="true" outlineLevel="0" collapsed="false">
      <c r="A3436" s="4" t="s">
        <v>12921</v>
      </c>
      <c r="B3436" s="4" t="s">
        <v>13586</v>
      </c>
      <c r="C3436" s="4" t="s">
        <v>549</v>
      </c>
      <c r="D3436" s="4" t="s">
        <v>394</v>
      </c>
      <c r="E3436" s="5" t="n">
        <v>242035</v>
      </c>
      <c r="F3436" s="4" t="n">
        <v>4</v>
      </c>
      <c r="G3436" s="4" t="s">
        <v>13587</v>
      </c>
      <c r="H3436" s="4" t="n">
        <v>32.91441</v>
      </c>
      <c r="I3436" s="4" t="n">
        <v>-96.63838</v>
      </c>
      <c r="J3436" s="4" t="s">
        <v>13588</v>
      </c>
      <c r="K3436" s="6" t="str">
        <f aca="false">HYPERLINK("https://www.google.com/search?q=Nicholson+Memorial+Library+System+Garland+TX+library+website","Search")</f>
        <v>Search</v>
      </c>
      <c r="L3436" s="7"/>
      <c r="M3436" s="8" t="str">
        <f aca="false">HYPERLINK("https://nmls.overdrive.com","https://nmls.overdrive.com")</f>
        <v>https://nmls.overdrive.com</v>
      </c>
    </row>
    <row r="3437" customFormat="false" ht="15" hidden="false" customHeight="true" outlineLevel="0" collapsed="false">
      <c r="A3437" s="4" t="s">
        <v>12921</v>
      </c>
      <c r="B3437" s="4" t="s">
        <v>13589</v>
      </c>
      <c r="C3437" s="4" t="s">
        <v>13590</v>
      </c>
      <c r="D3437" s="4" t="s">
        <v>12957</v>
      </c>
      <c r="E3437" s="5" t="n">
        <v>70209</v>
      </c>
      <c r="F3437" s="4" t="n">
        <v>1</v>
      </c>
      <c r="G3437" s="4" t="s">
        <v>13591</v>
      </c>
      <c r="H3437" s="4" t="n">
        <v>32.85482</v>
      </c>
      <c r="I3437" s="4" t="n">
        <v>-97.19235</v>
      </c>
      <c r="J3437" s="4" t="s">
        <v>13592</v>
      </c>
      <c r="K3437" s="6" t="str">
        <f aca="false">HYPERLINK("https://www.google.com/search?q=North+Richland+Hills+Public+Library+North+Richland+Hills+TX+library+website","Search")</f>
        <v>Search</v>
      </c>
      <c r="L3437" s="7"/>
      <c r="M3437" s="7"/>
    </row>
    <row r="3438" customFormat="false" ht="15" hidden="false" customHeight="true" outlineLevel="0" collapsed="false">
      <c r="A3438" s="4" t="s">
        <v>12921</v>
      </c>
      <c r="B3438" s="4" t="s">
        <v>13593</v>
      </c>
      <c r="C3438" s="4" t="s">
        <v>13594</v>
      </c>
      <c r="D3438" s="4" t="s">
        <v>13134</v>
      </c>
      <c r="E3438" s="5" t="n">
        <v>32183</v>
      </c>
      <c r="F3438" s="4" t="n">
        <v>3</v>
      </c>
      <c r="G3438" s="4" t="s">
        <v>13595</v>
      </c>
      <c r="H3438" s="4" t="n">
        <v>27.79201</v>
      </c>
      <c r="I3438" s="4" t="n">
        <v>-97.65265</v>
      </c>
      <c r="J3438" s="4" t="s">
        <v>13596</v>
      </c>
      <c r="K3438" s="6" t="str">
        <f aca="false">HYPERLINK("https://www.google.com/search?q=Nueces+County+Public+Libraries+Robstown+TX+library+website","Search")</f>
        <v>Search</v>
      </c>
      <c r="L3438" s="7"/>
      <c r="M3438" s="7"/>
    </row>
    <row r="3439" customFormat="false" ht="15" hidden="false" customHeight="true" outlineLevel="0" collapsed="false">
      <c r="A3439" s="4" t="s">
        <v>12921</v>
      </c>
      <c r="B3439" s="4" t="s">
        <v>13597</v>
      </c>
      <c r="C3439" s="4" t="s">
        <v>13598</v>
      </c>
      <c r="D3439" s="4" t="s">
        <v>13598</v>
      </c>
      <c r="E3439" s="5" t="n">
        <v>13908</v>
      </c>
      <c r="F3439" s="4" t="n">
        <v>1</v>
      </c>
      <c r="G3439" s="4" t="s">
        <v>13599</v>
      </c>
      <c r="H3439" s="4" t="n">
        <v>26.90328</v>
      </c>
      <c r="I3439" s="4" t="n">
        <v>-99.2711</v>
      </c>
      <c r="J3439" s="4" t="s">
        <v>13600</v>
      </c>
      <c r="K3439" s="6" t="str">
        <f aca="false">HYPERLINK("https://www.google.com/search?q=Olga+V+Figueroa+Zapata+County+Public+Library+Zapata+TX+library+website","Search")</f>
        <v>Search</v>
      </c>
      <c r="L3439" s="7"/>
      <c r="M3439" s="7"/>
    </row>
    <row r="3440" customFormat="false" ht="15" hidden="false" customHeight="true" outlineLevel="0" collapsed="false">
      <c r="A3440" s="4" t="s">
        <v>12921</v>
      </c>
      <c r="B3440" s="4" t="s">
        <v>1261</v>
      </c>
      <c r="C3440" s="4" t="s">
        <v>885</v>
      </c>
      <c r="D3440" s="4" t="s">
        <v>885</v>
      </c>
      <c r="E3440" s="5" t="n">
        <v>19169</v>
      </c>
      <c r="F3440" s="4" t="n">
        <v>1</v>
      </c>
      <c r="G3440" s="4" t="s">
        <v>13601</v>
      </c>
      <c r="H3440" s="4" t="n">
        <v>30.09142</v>
      </c>
      <c r="I3440" s="4" t="n">
        <v>-93.73426</v>
      </c>
      <c r="J3440" s="4" t="s">
        <v>13602</v>
      </c>
      <c r="K3440" s="6" t="str">
        <f aca="false">HYPERLINK("https://www.google.com/search?q=Orange+Public+Library+Orange+TX+library+website","Search")</f>
        <v>Search</v>
      </c>
      <c r="L3440" s="7"/>
      <c r="M3440" s="7"/>
    </row>
    <row r="3441" customFormat="false" ht="15" hidden="false" customHeight="true" outlineLevel="0" collapsed="false">
      <c r="A3441" s="4" t="s">
        <v>12921</v>
      </c>
      <c r="B3441" s="4" t="s">
        <v>13603</v>
      </c>
      <c r="C3441" s="4" t="s">
        <v>13604</v>
      </c>
      <c r="D3441" s="4" t="s">
        <v>12984</v>
      </c>
      <c r="E3441" s="5" t="n">
        <v>10029</v>
      </c>
      <c r="F3441" s="4" t="n">
        <v>2</v>
      </c>
      <c r="G3441" s="4" t="s">
        <v>13605</v>
      </c>
      <c r="H3441" s="4" t="n">
        <v>28.70151</v>
      </c>
      <c r="I3441" s="4" t="n">
        <v>-96.21491</v>
      </c>
      <c r="J3441" s="4" t="s">
        <v>13606</v>
      </c>
      <c r="K3441" s="6" t="str">
        <f aca="false">HYPERLINK("https://www.google.com/search?q=Palacios+Library+Inc+Palacios+TX+library+website","Search")</f>
        <v>Search</v>
      </c>
      <c r="L3441" s="7"/>
      <c r="M3441" s="7"/>
    </row>
    <row r="3442" customFormat="false" ht="15" hidden="false" customHeight="true" outlineLevel="0" collapsed="false">
      <c r="A3442" s="4" t="s">
        <v>12921</v>
      </c>
      <c r="B3442" s="4" t="s">
        <v>13607</v>
      </c>
      <c r="C3442" s="4" t="s">
        <v>13608</v>
      </c>
      <c r="D3442" s="4" t="s">
        <v>4250</v>
      </c>
      <c r="E3442" s="5" t="n">
        <v>42069</v>
      </c>
      <c r="F3442" s="4" t="n">
        <v>1</v>
      </c>
      <c r="G3442" s="4" t="s">
        <v>13609</v>
      </c>
      <c r="H3442" s="4" t="n">
        <v>31.7353</v>
      </c>
      <c r="I3442" s="4" t="n">
        <v>-95.60932</v>
      </c>
      <c r="J3442" s="4" t="s">
        <v>13610</v>
      </c>
      <c r="K3442" s="6" t="str">
        <f aca="false">HYPERLINK("https://www.google.com/search?q=Palestine+Public+Library+Palestine+TX+library+website","Search")</f>
        <v>Search</v>
      </c>
      <c r="L3442" s="7"/>
      <c r="M3442" s="7"/>
    </row>
    <row r="3443" customFormat="false" ht="15" hidden="false" customHeight="true" outlineLevel="0" collapsed="false">
      <c r="A3443" s="4" t="s">
        <v>12921</v>
      </c>
      <c r="B3443" s="4" t="s">
        <v>13611</v>
      </c>
      <c r="C3443" s="4" t="s">
        <v>5131</v>
      </c>
      <c r="D3443" s="4" t="s">
        <v>1686</v>
      </c>
      <c r="E3443" s="5" t="n">
        <v>24407</v>
      </c>
      <c r="F3443" s="4" t="n">
        <v>1</v>
      </c>
      <c r="G3443" s="4" t="s">
        <v>13612</v>
      </c>
      <c r="H3443" s="4" t="n">
        <v>33.6583</v>
      </c>
      <c r="I3443" s="4" t="n">
        <v>-95.55633</v>
      </c>
      <c r="J3443" s="4" t="s">
        <v>13613</v>
      </c>
      <c r="K3443" s="6" t="str">
        <f aca="false">HYPERLINK("https://www.google.com/search?q=Paris+Public+Library+Paris+TX+library+website","Search")</f>
        <v>Search</v>
      </c>
      <c r="L3443" s="7"/>
      <c r="M3443" s="7"/>
    </row>
    <row r="3444" customFormat="false" ht="15" hidden="false" customHeight="true" outlineLevel="0" collapsed="false">
      <c r="A3444" s="4" t="s">
        <v>12921</v>
      </c>
      <c r="B3444" s="4" t="s">
        <v>1297</v>
      </c>
      <c r="C3444" s="4" t="s">
        <v>1298</v>
      </c>
      <c r="D3444" s="4" t="s">
        <v>12998</v>
      </c>
      <c r="E3444" s="5" t="n">
        <v>148626</v>
      </c>
      <c r="F3444" s="4" t="n">
        <v>2</v>
      </c>
      <c r="G3444" s="4" t="s">
        <v>13614</v>
      </c>
      <c r="H3444" s="4" t="n">
        <v>29.69276</v>
      </c>
      <c r="I3444" s="4" t="n">
        <v>-95.19724</v>
      </c>
      <c r="J3444" s="4" t="s">
        <v>13615</v>
      </c>
      <c r="K3444" s="6" t="str">
        <f aca="false">HYPERLINK("https://www.google.com/search?q=Pasadena+Public+Library+Pasadena+TX+library+website","Search")</f>
        <v>Search</v>
      </c>
      <c r="L3444" s="7"/>
      <c r="M3444" s="7"/>
    </row>
    <row r="3445" customFormat="false" ht="15" hidden="false" customHeight="true" outlineLevel="0" collapsed="false">
      <c r="A3445" s="4" t="s">
        <v>12921</v>
      </c>
      <c r="B3445" s="4" t="s">
        <v>13616</v>
      </c>
      <c r="C3445" s="4" t="s">
        <v>13617</v>
      </c>
      <c r="D3445" s="4" t="s">
        <v>3936</v>
      </c>
      <c r="E3445" s="5" t="n">
        <v>25605</v>
      </c>
      <c r="F3445" s="4" t="n">
        <v>1</v>
      </c>
      <c r="G3445" s="4" t="s">
        <v>13618</v>
      </c>
      <c r="H3445" s="4" t="n">
        <v>29.79809</v>
      </c>
      <c r="I3445" s="4" t="n">
        <v>-98.73114</v>
      </c>
      <c r="J3445" s="4" t="s">
        <v>13619</v>
      </c>
      <c r="K3445" s="6" t="str">
        <f aca="false">HYPERLINK("https://www.google.com/search?q=Patrick+Heath+Public+Library+Boerne+TX+library+website","Search")</f>
        <v>Search</v>
      </c>
      <c r="L3445" s="7"/>
      <c r="M3445" s="7"/>
    </row>
    <row r="3446" customFormat="false" ht="15" hidden="false" customHeight="true" outlineLevel="0" collapsed="false">
      <c r="A3446" s="4" t="s">
        <v>12921</v>
      </c>
      <c r="B3446" s="4" t="s">
        <v>13620</v>
      </c>
      <c r="C3446" s="4" t="s">
        <v>13621</v>
      </c>
      <c r="D3446" s="4" t="s">
        <v>12968</v>
      </c>
      <c r="E3446" s="5" t="n">
        <v>66884</v>
      </c>
      <c r="F3446" s="4" t="n">
        <v>1</v>
      </c>
      <c r="G3446" s="4" t="s">
        <v>13622</v>
      </c>
      <c r="H3446" s="4" t="n">
        <v>30.44168</v>
      </c>
      <c r="I3446" s="4" t="n">
        <v>-97.62894</v>
      </c>
      <c r="J3446" s="4" t="s">
        <v>13623</v>
      </c>
      <c r="K3446" s="6" t="str">
        <f aca="false">HYPERLINK("https://www.google.com/search?q=Pflugerville+Public+Library+Pflugerville+TX+library+website","Search")</f>
        <v>Search</v>
      </c>
      <c r="L3446" s="7"/>
      <c r="M3446" s="7"/>
    </row>
    <row r="3447" customFormat="false" ht="15" hidden="false" customHeight="true" outlineLevel="0" collapsed="false">
      <c r="A3447" s="4" t="s">
        <v>12921</v>
      </c>
      <c r="B3447" s="4" t="s">
        <v>13624</v>
      </c>
      <c r="C3447" s="4" t="s">
        <v>13625</v>
      </c>
      <c r="D3447" s="4" t="s">
        <v>13193</v>
      </c>
      <c r="E3447" s="5" t="n">
        <v>122451</v>
      </c>
      <c r="F3447" s="4" t="n">
        <v>2</v>
      </c>
      <c r="G3447" s="4" t="s">
        <v>13626</v>
      </c>
      <c r="H3447" s="4" t="n">
        <v>26.1924</v>
      </c>
      <c r="I3447" s="4" t="n">
        <v>-98.18405</v>
      </c>
      <c r="J3447" s="4" t="s">
        <v>13627</v>
      </c>
      <c r="K3447" s="6" t="str">
        <f aca="false">HYPERLINK("https://www.google.com/search?q=Pharr+Memorial+Library+Pharr+TX+library+website","Search")</f>
        <v>Search</v>
      </c>
      <c r="L3447" s="7"/>
      <c r="M3447" s="7"/>
    </row>
    <row r="3448" customFormat="false" ht="15" hidden="false" customHeight="true" outlineLevel="0" collapsed="false">
      <c r="A3448" s="4" t="s">
        <v>12921</v>
      </c>
      <c r="B3448" s="4" t="s">
        <v>13628</v>
      </c>
      <c r="C3448" s="4" t="s">
        <v>11777</v>
      </c>
      <c r="D3448" s="4" t="s">
        <v>13629</v>
      </c>
      <c r="E3448" s="5" t="n">
        <v>26484</v>
      </c>
      <c r="F3448" s="4" t="n">
        <v>1</v>
      </c>
      <c r="G3448" s="4" t="s">
        <v>13630</v>
      </c>
      <c r="H3448" s="4" t="n">
        <v>30.27542</v>
      </c>
      <c r="I3448" s="4" t="n">
        <v>-98.87282</v>
      </c>
      <c r="J3448" s="4" t="s">
        <v>13631</v>
      </c>
      <c r="K3448" s="6" t="str">
        <f aca="false">HYPERLINK("https://www.google.com/search?q=Pioneer+Memorial+Library+Fredericksburg+TX+library+website","Search")</f>
        <v>Search</v>
      </c>
      <c r="L3448" s="7"/>
      <c r="M3448" s="7"/>
    </row>
    <row r="3449" customFormat="false" ht="15" hidden="false" customHeight="true" outlineLevel="0" collapsed="false">
      <c r="A3449" s="4" t="s">
        <v>12921</v>
      </c>
      <c r="B3449" s="4" t="s">
        <v>13632</v>
      </c>
      <c r="C3449" s="4" t="s">
        <v>4780</v>
      </c>
      <c r="D3449" s="4" t="s">
        <v>13633</v>
      </c>
      <c r="E3449" s="5" t="n">
        <v>12616</v>
      </c>
      <c r="F3449" s="4" t="n">
        <v>1</v>
      </c>
      <c r="G3449" s="4" t="s">
        <v>13634</v>
      </c>
      <c r="H3449" s="4" t="n">
        <v>33.00095</v>
      </c>
      <c r="I3449" s="4" t="n">
        <v>-94.97898</v>
      </c>
      <c r="J3449" s="4" t="s">
        <v>13635</v>
      </c>
      <c r="K3449" s="6" t="str">
        <f aca="false">HYPERLINK("https://www.google.com/search?q=Pittsburg-Camp+County+Public+Library+Pittsburg+TX+library+website","Search")</f>
        <v>Search</v>
      </c>
      <c r="L3449" s="7"/>
      <c r="M3449" s="7"/>
    </row>
    <row r="3450" customFormat="false" ht="15" hidden="false" customHeight="true" outlineLevel="0" collapsed="false">
      <c r="A3450" s="4" t="s">
        <v>12921</v>
      </c>
      <c r="B3450" s="4" t="s">
        <v>13636</v>
      </c>
      <c r="C3450" s="4" t="s">
        <v>3974</v>
      </c>
      <c r="D3450" s="4" t="s">
        <v>12940</v>
      </c>
      <c r="E3450" s="5" t="n">
        <v>288207</v>
      </c>
      <c r="F3450" s="4" t="n">
        <v>5</v>
      </c>
      <c r="G3450" s="4" t="s">
        <v>13637</v>
      </c>
      <c r="H3450" s="4" t="n">
        <v>33.03227</v>
      </c>
      <c r="I3450" s="4" t="n">
        <v>-96.77016</v>
      </c>
      <c r="J3450" s="4" t="s">
        <v>13638</v>
      </c>
      <c r="K3450" s="6" t="str">
        <f aca="false">HYPERLINK("https://www.google.com/search?q=Plano+Public+Library+System+Plano+TX+library+website","Search")</f>
        <v>Search</v>
      </c>
      <c r="L3450" s="7"/>
      <c r="M3450" s="7"/>
    </row>
    <row r="3451" customFormat="false" ht="15" hidden="false" customHeight="true" outlineLevel="0" collapsed="false">
      <c r="A3451" s="4" t="s">
        <v>12921</v>
      </c>
      <c r="B3451" s="4" t="s">
        <v>1313</v>
      </c>
      <c r="C3451" s="4" t="s">
        <v>1314</v>
      </c>
      <c r="D3451" s="4" t="s">
        <v>13639</v>
      </c>
      <c r="E3451" s="5" t="n">
        <v>25080</v>
      </c>
      <c r="F3451" s="4" t="n">
        <v>1</v>
      </c>
      <c r="G3451" s="4" t="s">
        <v>13640</v>
      </c>
      <c r="H3451" s="4" t="n">
        <v>28.95968</v>
      </c>
      <c r="I3451" s="4" t="n">
        <v>-98.48418</v>
      </c>
      <c r="J3451" s="4" t="s">
        <v>13641</v>
      </c>
      <c r="K3451" s="6" t="str">
        <f aca="false">HYPERLINK("https://www.google.com/search?q=Pleasanton+Public+Library+Pleasanton+TX+library+website","Search")</f>
        <v>Search</v>
      </c>
      <c r="L3451" s="7"/>
      <c r="M3451" s="7"/>
    </row>
    <row r="3452" customFormat="false" ht="15" hidden="false" customHeight="true" outlineLevel="0" collapsed="false">
      <c r="A3452" s="4" t="s">
        <v>12921</v>
      </c>
      <c r="B3452" s="4" t="s">
        <v>13642</v>
      </c>
      <c r="C3452" s="4" t="s">
        <v>13643</v>
      </c>
      <c r="D3452" s="4" t="s">
        <v>98</v>
      </c>
      <c r="E3452" s="5" t="n">
        <v>55724</v>
      </c>
      <c r="F3452" s="4" t="n">
        <v>1</v>
      </c>
      <c r="G3452" s="4" t="s">
        <v>13644</v>
      </c>
      <c r="H3452" s="4" t="n">
        <v>29.92538</v>
      </c>
      <c r="I3452" s="4" t="n">
        <v>-93.94525</v>
      </c>
      <c r="J3452" s="4" t="s">
        <v>13645</v>
      </c>
      <c r="K3452" s="6" t="str">
        <f aca="false">HYPERLINK("https://www.google.com/search?q=Port+Arthur+Public+Library+Port+Arthur+TX+library+website","Search")</f>
        <v>Search</v>
      </c>
      <c r="L3452" s="7"/>
      <c r="M3452" s="7"/>
    </row>
    <row r="3453" customFormat="false" ht="15" hidden="false" customHeight="true" outlineLevel="0" collapsed="false">
      <c r="A3453" s="4" t="s">
        <v>12921</v>
      </c>
      <c r="B3453" s="4" t="s">
        <v>13646</v>
      </c>
      <c r="C3453" s="4" t="s">
        <v>13647</v>
      </c>
      <c r="D3453" s="4" t="s">
        <v>12940</v>
      </c>
      <c r="E3453" s="5" t="n">
        <v>33356</v>
      </c>
      <c r="F3453" s="4" t="n">
        <v>1</v>
      </c>
      <c r="G3453" s="4" t="s">
        <v>13648</v>
      </c>
      <c r="H3453" s="4" t="n">
        <v>33.23516</v>
      </c>
      <c r="I3453" s="4" t="n">
        <v>-96.80319</v>
      </c>
      <c r="J3453" s="4" t="s">
        <v>13649</v>
      </c>
      <c r="K3453" s="6" t="str">
        <f aca="false">HYPERLINK("https://www.google.com/search?q=Prosper+Community+Library+Prosper+TX+library+website","Search")</f>
        <v>Search</v>
      </c>
      <c r="L3453" s="7"/>
      <c r="M3453" s="7"/>
    </row>
    <row r="3454" customFormat="false" ht="15" hidden="false" customHeight="true" outlineLevel="0" collapsed="false">
      <c r="A3454" s="4" t="s">
        <v>12921</v>
      </c>
      <c r="B3454" s="4" t="s">
        <v>13650</v>
      </c>
      <c r="C3454" s="4" t="s">
        <v>13651</v>
      </c>
      <c r="D3454" s="4" t="s">
        <v>13218</v>
      </c>
      <c r="E3454" s="5" t="n">
        <v>14949</v>
      </c>
      <c r="F3454" s="4" t="n">
        <v>1</v>
      </c>
      <c r="G3454" s="4" t="s">
        <v>13652</v>
      </c>
      <c r="H3454" s="4" t="n">
        <v>28.94443</v>
      </c>
      <c r="I3454" s="4" t="n">
        <v>-100.62282</v>
      </c>
      <c r="J3454" s="4" t="s">
        <v>13653</v>
      </c>
      <c r="K3454" s="6" t="str">
        <f aca="false">HYPERLINK("https://www.google.com/search?q=Quemado+Public+Library+Quemado+TX+library+website","Search")</f>
        <v>Search</v>
      </c>
      <c r="L3454" s="7"/>
      <c r="M3454" s="7"/>
    </row>
    <row r="3455" customFormat="false" ht="15" hidden="false" customHeight="true" outlineLevel="0" collapsed="false">
      <c r="A3455" s="4" t="s">
        <v>12921</v>
      </c>
      <c r="B3455" s="4" t="s">
        <v>13654</v>
      </c>
      <c r="C3455" s="4" t="s">
        <v>13655</v>
      </c>
      <c r="D3455" s="4" t="s">
        <v>13656</v>
      </c>
      <c r="E3455" s="5" t="n">
        <v>12509</v>
      </c>
      <c r="F3455" s="4" t="n">
        <v>1</v>
      </c>
      <c r="G3455" s="4" t="s">
        <v>13657</v>
      </c>
      <c r="H3455" s="4" t="n">
        <v>32.88066</v>
      </c>
      <c r="I3455" s="4" t="n">
        <v>-95.77662</v>
      </c>
      <c r="J3455" s="4" t="s">
        <v>13658</v>
      </c>
      <c r="K3455" s="6" t="str">
        <f aca="false">HYPERLINK("https://www.google.com/search?q=Rains+County+Public+Library+Emory+TX+library+website","Search")</f>
        <v>Search</v>
      </c>
      <c r="L3455" s="7"/>
      <c r="M3455" s="7"/>
    </row>
    <row r="3456" customFormat="false" ht="15" hidden="false" customHeight="true" outlineLevel="0" collapsed="false">
      <c r="A3456" s="4" t="s">
        <v>12921</v>
      </c>
      <c r="B3456" s="4" t="s">
        <v>13659</v>
      </c>
      <c r="C3456" s="4" t="s">
        <v>13660</v>
      </c>
      <c r="D3456" s="4" t="s">
        <v>4725</v>
      </c>
      <c r="E3456" s="5" t="n">
        <v>15364</v>
      </c>
      <c r="F3456" s="4" t="n">
        <v>1</v>
      </c>
      <c r="G3456" s="4" t="s">
        <v>13661</v>
      </c>
      <c r="H3456" s="4" t="n">
        <v>32.51454</v>
      </c>
      <c r="I3456" s="4" t="n">
        <v>-96.8273</v>
      </c>
      <c r="J3456" s="4" t="s">
        <v>13662</v>
      </c>
      <c r="K3456" s="6" t="str">
        <f aca="false">HYPERLINK("https://www.google.com/search?q=Red+Oak+Public+Library+Red+Oak+TX+library+website","Search")</f>
        <v>Search</v>
      </c>
      <c r="L3456" s="7"/>
      <c r="M3456" s="7"/>
    </row>
    <row r="3457" customFormat="false" ht="15" hidden="false" customHeight="true" outlineLevel="0" collapsed="false">
      <c r="A3457" s="4" t="s">
        <v>12921</v>
      </c>
      <c r="B3457" s="4" t="s">
        <v>13663</v>
      </c>
      <c r="C3457" s="4" t="s">
        <v>12560</v>
      </c>
      <c r="D3457" s="4" t="s">
        <v>13664</v>
      </c>
      <c r="E3457" s="5" t="n">
        <v>11555</v>
      </c>
      <c r="F3457" s="4" t="n">
        <v>1</v>
      </c>
      <c r="G3457" s="4" t="s">
        <v>13665</v>
      </c>
      <c r="H3457" s="4" t="n">
        <v>33.61279</v>
      </c>
      <c r="I3457" s="4" t="n">
        <v>-95.05088</v>
      </c>
      <c r="J3457" s="4" t="s">
        <v>13666</v>
      </c>
      <c r="K3457" s="6" t="str">
        <f aca="false">HYPERLINK("https://www.google.com/search?q=Red+River+County+Public+Library+Clarksville+TX+library+website","Search")</f>
        <v>Search</v>
      </c>
      <c r="L3457" s="7"/>
      <c r="M3457" s="7"/>
    </row>
    <row r="3458" customFormat="false" ht="15" hidden="false" customHeight="true" outlineLevel="0" collapsed="false">
      <c r="A3458" s="4" t="s">
        <v>12921</v>
      </c>
      <c r="B3458" s="4" t="s">
        <v>13667</v>
      </c>
      <c r="C3458" s="4" t="s">
        <v>13285</v>
      </c>
      <c r="D3458" s="4" t="s">
        <v>13668</v>
      </c>
      <c r="E3458" s="5" t="n">
        <v>14487</v>
      </c>
      <c r="F3458" s="4" t="n">
        <v>1</v>
      </c>
      <c r="G3458" s="4" t="s">
        <v>13669</v>
      </c>
      <c r="H3458" s="4" t="n">
        <v>31.42501</v>
      </c>
      <c r="I3458" s="4" t="n">
        <v>-103.49514</v>
      </c>
      <c r="J3458" s="4" t="s">
        <v>13670</v>
      </c>
      <c r="K3458" s="6" t="str">
        <f aca="false">HYPERLINK("https://www.google.com/search?q=Reeves+County+Library+Pecos+TX+library+website","Search")</f>
        <v>Search</v>
      </c>
      <c r="L3458" s="7"/>
      <c r="M3458" s="7"/>
    </row>
    <row r="3459" customFormat="false" ht="15" hidden="false" customHeight="true" outlineLevel="0" collapsed="false">
      <c r="A3459" s="4" t="s">
        <v>12921</v>
      </c>
      <c r="B3459" s="4" t="s">
        <v>13671</v>
      </c>
      <c r="C3459" s="4" t="s">
        <v>13672</v>
      </c>
      <c r="D3459" s="4" t="s">
        <v>394</v>
      </c>
      <c r="E3459" s="5" t="n">
        <v>116382</v>
      </c>
      <c r="F3459" s="4" t="n">
        <v>1</v>
      </c>
      <c r="G3459" s="4" t="s">
        <v>13673</v>
      </c>
      <c r="H3459" s="4" t="n">
        <v>32.95962</v>
      </c>
      <c r="I3459" s="4" t="n">
        <v>-96.73344</v>
      </c>
      <c r="J3459" s="4" t="s">
        <v>13674</v>
      </c>
      <c r="K3459" s="6" t="str">
        <f aca="false">HYPERLINK("https://www.google.com/search?q=Richardson+Public+Library+Richardson+TX+library+website","Search")</f>
        <v>Search</v>
      </c>
      <c r="L3459" s="7"/>
      <c r="M3459" s="8" t="str">
        <f aca="false">HYPERLINK("https://richardson.overdrive.com","https://richardson.overdrive.com")</f>
        <v>https://richardson.overdrive.com</v>
      </c>
    </row>
    <row r="3460" customFormat="false" ht="15" hidden="false" customHeight="true" outlineLevel="0" collapsed="false">
      <c r="A3460" s="4" t="s">
        <v>12921</v>
      </c>
      <c r="B3460" s="4" t="s">
        <v>13675</v>
      </c>
      <c r="C3460" s="4" t="s">
        <v>13676</v>
      </c>
      <c r="D3460" s="4" t="s">
        <v>13677</v>
      </c>
      <c r="E3460" s="5" t="n">
        <v>15670</v>
      </c>
      <c r="F3460" s="4" t="n">
        <v>1</v>
      </c>
      <c r="G3460" s="4" t="s">
        <v>13678</v>
      </c>
      <c r="H3460" s="4" t="n">
        <v>26.37932</v>
      </c>
      <c r="I3460" s="4" t="n">
        <v>-98.8153</v>
      </c>
      <c r="J3460" s="4" t="s">
        <v>13679</v>
      </c>
      <c r="K3460" s="6" t="str">
        <f aca="false">HYPERLINK("https://www.google.com/search?q=Rio+Grande+City+Public+Library+Rio+Grande+City+TX+library+website","Search")</f>
        <v>Search</v>
      </c>
      <c r="L3460" s="7"/>
      <c r="M3460" s="7"/>
    </row>
    <row r="3461" customFormat="false" ht="15" hidden="false" customHeight="true" outlineLevel="0" collapsed="false">
      <c r="A3461" s="4" t="s">
        <v>12921</v>
      </c>
      <c r="B3461" s="4" t="s">
        <v>13680</v>
      </c>
      <c r="C3461" s="4" t="s">
        <v>13681</v>
      </c>
      <c r="D3461" s="4" t="s">
        <v>12940</v>
      </c>
      <c r="E3461" s="5" t="n">
        <v>68440</v>
      </c>
      <c r="F3461" s="4" t="n">
        <v>1</v>
      </c>
      <c r="G3461" s="4" t="s">
        <v>13682</v>
      </c>
      <c r="H3461" s="4" t="n">
        <v>32.97785</v>
      </c>
      <c r="I3461" s="4" t="n">
        <v>-96.5628</v>
      </c>
      <c r="J3461" s="4" t="s">
        <v>13683</v>
      </c>
      <c r="K3461" s="6" t="str">
        <f aca="false">HYPERLINK("https://www.google.com/search?q=Rita+%26+Truett+Smith+Public+Library+Wylie+TX+library+website","Search")</f>
        <v>Search</v>
      </c>
      <c r="L3461" s="7"/>
      <c r="M3461" s="7"/>
    </row>
    <row r="3462" customFormat="false" ht="15" hidden="false" customHeight="true" outlineLevel="0" collapsed="false">
      <c r="A3462" s="4" t="s">
        <v>12921</v>
      </c>
      <c r="B3462" s="4" t="s">
        <v>13684</v>
      </c>
      <c r="C3462" s="4" t="s">
        <v>2727</v>
      </c>
      <c r="D3462" s="4" t="s">
        <v>13152</v>
      </c>
      <c r="E3462" s="5" t="n">
        <v>57343</v>
      </c>
      <c r="F3462" s="4" t="n">
        <v>1</v>
      </c>
      <c r="G3462" s="4" t="s">
        <v>13685</v>
      </c>
      <c r="H3462" s="4" t="n">
        <v>32.73897</v>
      </c>
      <c r="I3462" s="4" t="n">
        <v>-96.28037</v>
      </c>
      <c r="J3462" s="4" t="s">
        <v>13686</v>
      </c>
      <c r="K3462" s="6" t="str">
        <f aca="false">HYPERLINK("https://www.google.com/search?q=Riter+C+Hulsey+Public+Library+Terrell+TX+library+website","Search")</f>
        <v>Search</v>
      </c>
      <c r="L3462" s="7"/>
      <c r="M3462" s="7"/>
    </row>
    <row r="3463" customFormat="false" ht="15" hidden="false" customHeight="true" outlineLevel="0" collapsed="false">
      <c r="A3463" s="4" t="s">
        <v>12921</v>
      </c>
      <c r="B3463" s="4" t="s">
        <v>13687</v>
      </c>
      <c r="C3463" s="4" t="s">
        <v>13688</v>
      </c>
      <c r="D3463" s="4" t="s">
        <v>13689</v>
      </c>
      <c r="E3463" s="5" t="n">
        <v>30975</v>
      </c>
      <c r="F3463" s="4" t="n">
        <v>1</v>
      </c>
      <c r="G3463" s="4" t="s">
        <v>13690</v>
      </c>
      <c r="H3463" s="4" t="n">
        <v>27.51834</v>
      </c>
      <c r="I3463" s="4" t="n">
        <v>-97.87065</v>
      </c>
      <c r="J3463" s="4" t="s">
        <v>13691</v>
      </c>
      <c r="K3463" s="6" t="str">
        <f aca="false">HYPERLINK("https://www.google.com/search?q=Robert+J+Kleberg+Public+Library+Kingsville+TX+library+website","Search")</f>
        <v>Search</v>
      </c>
      <c r="L3463" s="7"/>
      <c r="M3463" s="7"/>
    </row>
    <row r="3464" customFormat="false" ht="15" hidden="false" customHeight="true" outlineLevel="0" collapsed="false">
      <c r="A3464" s="4" t="s">
        <v>12921</v>
      </c>
      <c r="B3464" s="4" t="s">
        <v>13692</v>
      </c>
      <c r="C3464" s="4" t="s">
        <v>13089</v>
      </c>
      <c r="D3464" s="4" t="s">
        <v>13089</v>
      </c>
      <c r="E3464" s="5" t="n">
        <v>96350</v>
      </c>
      <c r="F3464" s="4" t="n">
        <v>1</v>
      </c>
      <c r="G3464" s="4" t="s">
        <v>13693</v>
      </c>
      <c r="H3464" s="4" t="n">
        <v>32.91538</v>
      </c>
      <c r="I3464" s="4" t="n">
        <v>-96.44913</v>
      </c>
      <c r="J3464" s="4" t="s">
        <v>13694</v>
      </c>
      <c r="K3464" s="6" t="str">
        <f aca="false">HYPERLINK("https://www.google.com/search?q=Rockwall+County+Library+Rockwall+TX+library+website","Search")</f>
        <v>Search</v>
      </c>
      <c r="L3464" s="7"/>
      <c r="M3464" s="7"/>
    </row>
    <row r="3465" customFormat="false" ht="15" hidden="false" customHeight="true" outlineLevel="0" collapsed="false">
      <c r="A3465" s="4" t="s">
        <v>12921</v>
      </c>
      <c r="B3465" s="4" t="s">
        <v>13695</v>
      </c>
      <c r="C3465" s="4" t="s">
        <v>13188</v>
      </c>
      <c r="D3465" s="4" t="s">
        <v>13188</v>
      </c>
      <c r="E3465" s="5" t="n">
        <v>60648</v>
      </c>
      <c r="F3465" s="4" t="n">
        <v>1</v>
      </c>
      <c r="G3465" s="4" t="s">
        <v>13696</v>
      </c>
      <c r="H3465" s="4" t="n">
        <v>29.3009</v>
      </c>
      <c r="I3465" s="4" t="n">
        <v>-94.79296</v>
      </c>
      <c r="J3465" s="4" t="s">
        <v>13697</v>
      </c>
      <c r="K3465" s="6" t="str">
        <f aca="false">HYPERLINK("https://www.google.com/search?q=Rosenberg+Library+Galveston+TX+library+website","Search")</f>
        <v>Search</v>
      </c>
      <c r="L3465" s="7"/>
      <c r="M3465" s="7"/>
    </row>
    <row r="3466" customFormat="false" ht="15" hidden="false" customHeight="true" outlineLevel="0" collapsed="false">
      <c r="A3466" s="4" t="s">
        <v>12921</v>
      </c>
      <c r="B3466" s="4" t="s">
        <v>13698</v>
      </c>
      <c r="C3466" s="4" t="s">
        <v>13699</v>
      </c>
      <c r="D3466" s="4" t="s">
        <v>3315</v>
      </c>
      <c r="E3466" s="5" t="n">
        <v>123876</v>
      </c>
      <c r="F3466" s="4" t="n">
        <v>1</v>
      </c>
      <c r="G3466" s="4" t="s">
        <v>13700</v>
      </c>
      <c r="H3466" s="4" t="n">
        <v>30.5094</v>
      </c>
      <c r="I3466" s="4" t="n">
        <v>-97.67714</v>
      </c>
      <c r="J3466" s="4" t="s">
        <v>13701</v>
      </c>
      <c r="K3466" s="6" t="str">
        <f aca="false">HYPERLINK("https://www.google.com/search?q=Round+Rock+Public+Library+System+Round+Rock+TX+library+website","Search")</f>
        <v>Search</v>
      </c>
      <c r="L3466" s="7"/>
      <c r="M3466" s="8" t="str">
        <f aca="false">HYPERLINK("https://roundrock.overdrive.com","https://roundrock.overdrive.com")</f>
        <v>https://roundrock.overdrive.com</v>
      </c>
    </row>
    <row r="3467" customFormat="false" ht="15" hidden="false" customHeight="true" outlineLevel="0" collapsed="false">
      <c r="A3467" s="4" t="s">
        <v>12921</v>
      </c>
      <c r="B3467" s="4" t="s">
        <v>13702</v>
      </c>
      <c r="C3467" s="4" t="s">
        <v>13703</v>
      </c>
      <c r="D3467" s="4" t="s">
        <v>394</v>
      </c>
      <c r="E3467" s="5" t="n">
        <v>63671</v>
      </c>
      <c r="F3467" s="4" t="n">
        <v>1</v>
      </c>
      <c r="G3467" s="4" t="s">
        <v>13704</v>
      </c>
      <c r="H3467" s="4" t="n">
        <v>32.90296</v>
      </c>
      <c r="I3467" s="4" t="n">
        <v>-96.56464</v>
      </c>
      <c r="J3467" s="4" t="s">
        <v>13705</v>
      </c>
      <c r="K3467" s="6" t="str">
        <f aca="false">HYPERLINK("https://www.google.com/search?q=Rowlett+Public+Library+Rowlett+TX+library+website","Search")</f>
        <v>Search</v>
      </c>
      <c r="L3467" s="7"/>
      <c r="M3467" s="7"/>
    </row>
    <row r="3468" customFormat="false" ht="15" hidden="false" customHeight="true" outlineLevel="0" collapsed="false">
      <c r="A3468" s="4" t="s">
        <v>12921</v>
      </c>
      <c r="B3468" s="4" t="s">
        <v>13706</v>
      </c>
      <c r="C3468" s="4" t="s">
        <v>4969</v>
      </c>
      <c r="D3468" s="4" t="s">
        <v>13707</v>
      </c>
      <c r="E3468" s="5" t="n">
        <v>49475</v>
      </c>
      <c r="F3468" s="4" t="n">
        <v>5</v>
      </c>
      <c r="G3468" s="4" t="s">
        <v>13708</v>
      </c>
      <c r="H3468" s="4" t="n">
        <v>32.15282</v>
      </c>
      <c r="I3468" s="4" t="n">
        <v>-94.79954</v>
      </c>
      <c r="J3468" s="4" t="s">
        <v>13709</v>
      </c>
      <c r="K3468" s="6" t="str">
        <f aca="false">HYPERLINK("https://www.google.com/search?q=Rusk+County+Library+System+Henderson+TX+library+website","Search")</f>
        <v>Search</v>
      </c>
      <c r="L3468" s="7"/>
      <c r="M3468" s="7"/>
    </row>
    <row r="3469" customFormat="false" ht="15" hidden="false" customHeight="true" outlineLevel="0" collapsed="false">
      <c r="A3469" s="4" t="s">
        <v>12921</v>
      </c>
      <c r="B3469" s="4" t="s">
        <v>13710</v>
      </c>
      <c r="C3469" s="4" t="s">
        <v>13711</v>
      </c>
      <c r="D3469" s="4" t="s">
        <v>394</v>
      </c>
      <c r="E3469" s="5" t="n">
        <v>29042</v>
      </c>
      <c r="F3469" s="4" t="n">
        <v>1</v>
      </c>
      <c r="G3469" s="4" t="s">
        <v>13712</v>
      </c>
      <c r="H3469" s="4" t="n">
        <v>32.97332</v>
      </c>
      <c r="I3469" s="4" t="n">
        <v>-96.58464</v>
      </c>
      <c r="J3469" s="4" t="s">
        <v>13713</v>
      </c>
      <c r="K3469" s="6" t="str">
        <f aca="false">HYPERLINK("https://www.google.com/search?q=Sachse+Public+Library+Sachse+TX+library+website","Search")</f>
        <v>Search</v>
      </c>
      <c r="L3469" s="7"/>
      <c r="M3469" s="7"/>
    </row>
    <row r="3470" customFormat="false" ht="15" hidden="false" customHeight="true" outlineLevel="0" collapsed="false">
      <c r="A3470" s="4" t="s">
        <v>12921</v>
      </c>
      <c r="B3470" s="4" t="s">
        <v>13714</v>
      </c>
      <c r="C3470" s="4" t="s">
        <v>7362</v>
      </c>
      <c r="D3470" s="4" t="s">
        <v>13715</v>
      </c>
      <c r="E3470" s="5" t="n">
        <v>22675</v>
      </c>
      <c r="F3470" s="4" t="n">
        <v>1</v>
      </c>
      <c r="G3470" s="4" t="s">
        <v>13716</v>
      </c>
      <c r="H3470" s="4" t="n">
        <v>32.1523</v>
      </c>
      <c r="I3470" s="4" t="n">
        <v>-94.33947</v>
      </c>
      <c r="J3470" s="4" t="s">
        <v>13717</v>
      </c>
      <c r="K3470" s="6" t="str">
        <f aca="false">HYPERLINK("https://www.google.com/search?q=Sammy+Brown+Library+Carthage+TX+library+website","Search")</f>
        <v>Search</v>
      </c>
      <c r="L3470" s="7"/>
      <c r="M3470" s="7"/>
    </row>
    <row r="3471" customFormat="false" ht="15" hidden="false" customHeight="true" outlineLevel="0" collapsed="false">
      <c r="A3471" s="4" t="s">
        <v>12921</v>
      </c>
      <c r="B3471" s="4" t="s">
        <v>13718</v>
      </c>
      <c r="C3471" s="4" t="s">
        <v>13006</v>
      </c>
      <c r="D3471" s="4" t="s">
        <v>13007</v>
      </c>
      <c r="E3471" s="5" t="n">
        <v>1814307</v>
      </c>
      <c r="F3471" s="4" t="n">
        <v>30</v>
      </c>
      <c r="G3471" s="4" t="s">
        <v>13719</v>
      </c>
      <c r="H3471" s="4" t="n">
        <v>29.43196</v>
      </c>
      <c r="I3471" s="4" t="n">
        <v>-98.49335</v>
      </c>
      <c r="J3471" s="4" t="s">
        <v>13720</v>
      </c>
      <c r="K3471" s="6" t="str">
        <f aca="false">HYPERLINK("https://www.google.com/search?q=San+Antonio+Public+Library+San+Antonio+TX+library+website","Search")</f>
        <v>Search</v>
      </c>
      <c r="L3471" s="7"/>
      <c r="M3471" s="8" t="str">
        <f aca="false">HYPERLINK("https://sanantonio.overdrive.com","https://sanantonio.overdrive.com")</f>
        <v>https://sanantonio.overdrive.com</v>
      </c>
    </row>
    <row r="3472" customFormat="false" ht="15" hidden="false" customHeight="true" outlineLevel="0" collapsed="false">
      <c r="A3472" s="4" t="s">
        <v>12921</v>
      </c>
      <c r="B3472" s="4" t="s">
        <v>13721</v>
      </c>
      <c r="C3472" s="4" t="s">
        <v>1375</v>
      </c>
      <c r="D3472" s="4" t="s">
        <v>13033</v>
      </c>
      <c r="E3472" s="5" t="n">
        <v>33791</v>
      </c>
      <c r="F3472" s="4" t="n">
        <v>1</v>
      </c>
      <c r="G3472" s="4" t="s">
        <v>13722</v>
      </c>
      <c r="H3472" s="4" t="n">
        <v>26.13646</v>
      </c>
      <c r="I3472" s="4" t="n">
        <v>-97.62784</v>
      </c>
      <c r="J3472" s="4" t="s">
        <v>13723</v>
      </c>
      <c r="K3472" s="6" t="str">
        <f aca="false">HYPERLINK("https://www.google.com/search?q=San+Benito+Public+Library+San+Benito+TX+library+website","Search")</f>
        <v>Search</v>
      </c>
      <c r="L3472" s="7"/>
      <c r="M3472" s="7"/>
    </row>
    <row r="3473" customFormat="false" ht="15" hidden="false" customHeight="true" outlineLevel="0" collapsed="false">
      <c r="A3473" s="4" t="s">
        <v>12921</v>
      </c>
      <c r="B3473" s="4" t="s">
        <v>13724</v>
      </c>
      <c r="C3473" s="4" t="s">
        <v>9132</v>
      </c>
      <c r="D3473" s="4" t="s">
        <v>13193</v>
      </c>
      <c r="E3473" s="5" t="n">
        <v>54662</v>
      </c>
      <c r="F3473" s="4" t="n">
        <v>1</v>
      </c>
      <c r="G3473" s="4" t="s">
        <v>13725</v>
      </c>
      <c r="H3473" s="4" t="n">
        <v>26.18489</v>
      </c>
      <c r="I3473" s="4" t="n">
        <v>-98.15962</v>
      </c>
      <c r="J3473" s="4" t="s">
        <v>13726</v>
      </c>
      <c r="K3473" s="6" t="str">
        <f aca="false">HYPERLINK("https://www.google.com/search?q=San+Juan+Memorial+Library+San+Juan+TX+library+website","Search")</f>
        <v>Search</v>
      </c>
      <c r="L3473" s="7"/>
      <c r="M3473" s="8" t="str">
        <f aca="false">HYPERLINK("https://ebookssjclibrary.overdrive.com","https://ebookssjclibrary.overdrive.com")</f>
        <v>https://ebookssjclibrary.overdrive.com</v>
      </c>
    </row>
    <row r="3474" customFormat="false" ht="15" hidden="false" customHeight="true" outlineLevel="0" collapsed="false">
      <c r="A3474" s="4" t="s">
        <v>12921</v>
      </c>
      <c r="B3474" s="4" t="s">
        <v>13727</v>
      </c>
      <c r="C3474" s="4" t="s">
        <v>13728</v>
      </c>
      <c r="D3474" s="4" t="s">
        <v>4724</v>
      </c>
      <c r="E3474" s="5" t="n">
        <v>90968</v>
      </c>
      <c r="F3474" s="4" t="n">
        <v>1</v>
      </c>
      <c r="G3474" s="4" t="s">
        <v>13729</v>
      </c>
      <c r="H3474" s="4" t="n">
        <v>29.88484</v>
      </c>
      <c r="I3474" s="4" t="n">
        <v>-97.9312</v>
      </c>
      <c r="J3474" s="4" t="s">
        <v>13730</v>
      </c>
      <c r="K3474" s="6" t="str">
        <f aca="false">HYPERLINK("https://www.google.com/search?q=San+Marcos+Public+Library+San+Marcos+TX+library+website","Search")</f>
        <v>Search</v>
      </c>
      <c r="L3474" s="7"/>
      <c r="M3474" s="7"/>
    </row>
    <row r="3475" customFormat="false" ht="15" hidden="false" customHeight="true" outlineLevel="0" collapsed="false">
      <c r="A3475" s="4" t="s">
        <v>12921</v>
      </c>
      <c r="B3475" s="4" t="s">
        <v>13731</v>
      </c>
      <c r="C3475" s="4" t="s">
        <v>13732</v>
      </c>
      <c r="D3475" s="4" t="s">
        <v>6181</v>
      </c>
      <c r="E3475" s="5" t="n">
        <v>13116</v>
      </c>
      <c r="F3475" s="4" t="n">
        <v>1</v>
      </c>
      <c r="G3475" s="4" t="s">
        <v>13733</v>
      </c>
      <c r="H3475" s="4" t="n">
        <v>33.36226</v>
      </c>
      <c r="I3475" s="4" t="n">
        <v>-97.1739</v>
      </c>
      <c r="J3475" s="4" t="s">
        <v>13734</v>
      </c>
      <c r="K3475" s="6" t="str">
        <f aca="false">HYPERLINK("https://www.google.com/search?q=Sanger+Public+Library+Sanger+TX+library+website","Search")</f>
        <v>Search</v>
      </c>
      <c r="L3475" s="7"/>
      <c r="M3475" s="7"/>
    </row>
    <row r="3476" customFormat="false" ht="15" hidden="false" customHeight="true" outlineLevel="0" collapsed="false">
      <c r="A3476" s="4" t="s">
        <v>12921</v>
      </c>
      <c r="B3476" s="4" t="s">
        <v>13735</v>
      </c>
      <c r="C3476" s="4" t="s">
        <v>13736</v>
      </c>
      <c r="D3476" s="4" t="s">
        <v>13737</v>
      </c>
      <c r="E3476" s="5" t="n">
        <v>121698</v>
      </c>
      <c r="F3476" s="4" t="n">
        <v>1</v>
      </c>
      <c r="G3476" s="4" t="s">
        <v>13738</v>
      </c>
      <c r="H3476" s="4" t="n">
        <v>29.5603</v>
      </c>
      <c r="I3476" s="4" t="n">
        <v>-98.26695</v>
      </c>
      <c r="J3476" s="4" t="s">
        <v>13739</v>
      </c>
      <c r="K3476" s="6" t="str">
        <f aca="false">HYPERLINK("https://www.google.com/search?q=Schertz+Public+Library+Schertz+TX+library+website","Search")</f>
        <v>Search</v>
      </c>
      <c r="L3476" s="7"/>
      <c r="M3476" s="7"/>
    </row>
    <row r="3477" customFormat="false" ht="15" hidden="false" customHeight="true" outlineLevel="0" collapsed="false">
      <c r="A3477" s="4" t="s">
        <v>12921</v>
      </c>
      <c r="B3477" s="4" t="s">
        <v>13740</v>
      </c>
      <c r="C3477" s="4" t="s">
        <v>12045</v>
      </c>
      <c r="D3477" s="4" t="s">
        <v>13741</v>
      </c>
      <c r="E3477" s="5" t="n">
        <v>16824</v>
      </c>
      <c r="F3477" s="4" t="n">
        <v>1</v>
      </c>
      <c r="G3477" s="4" t="s">
        <v>13742</v>
      </c>
      <c r="H3477" s="4" t="n">
        <v>32.71919</v>
      </c>
      <c r="I3477" s="4" t="n">
        <v>-100.91956</v>
      </c>
      <c r="J3477" s="4" t="s">
        <v>13743</v>
      </c>
      <c r="K3477" s="6" t="str">
        <f aca="false">HYPERLINK("https://www.google.com/search?q=Scurry+County+Library+Snyder+TX+library+website","Search")</f>
        <v>Search</v>
      </c>
      <c r="L3477" s="7"/>
      <c r="M3477" s="7"/>
    </row>
    <row r="3478" customFormat="false" ht="15" hidden="false" customHeight="true" outlineLevel="0" collapsed="false">
      <c r="A3478" s="4" t="s">
        <v>12921</v>
      </c>
      <c r="B3478" s="4" t="s">
        <v>13744</v>
      </c>
      <c r="C3478" s="4" t="s">
        <v>13745</v>
      </c>
      <c r="D3478" s="4" t="s">
        <v>394</v>
      </c>
      <c r="E3478" s="5" t="n">
        <v>18805</v>
      </c>
      <c r="F3478" s="4" t="n">
        <v>1</v>
      </c>
      <c r="G3478" s="4" t="s">
        <v>13746</v>
      </c>
      <c r="H3478" s="4" t="n">
        <v>32.64888</v>
      </c>
      <c r="I3478" s="4" t="n">
        <v>-96.54138</v>
      </c>
      <c r="J3478" s="4" t="s">
        <v>13747</v>
      </c>
      <c r="K3478" s="6" t="str">
        <f aca="false">HYPERLINK("https://www.google.com/search?q=Seagoville+Public+Library+Seagoville+TX+library+website","Search")</f>
        <v>Search</v>
      </c>
      <c r="L3478" s="7"/>
      <c r="M3478" s="7"/>
    </row>
    <row r="3479" customFormat="false" ht="15" hidden="false" customHeight="true" outlineLevel="0" collapsed="false">
      <c r="A3479" s="4" t="s">
        <v>12921</v>
      </c>
      <c r="B3479" s="4" t="s">
        <v>13748</v>
      </c>
      <c r="C3479" s="4" t="s">
        <v>13749</v>
      </c>
      <c r="D3479" s="4" t="s">
        <v>13737</v>
      </c>
      <c r="E3479" s="5" t="n">
        <v>45444</v>
      </c>
      <c r="F3479" s="4" t="n">
        <v>1</v>
      </c>
      <c r="G3479" s="4" t="s">
        <v>13750</v>
      </c>
      <c r="H3479" s="4" t="n">
        <v>29.56735</v>
      </c>
      <c r="I3479" s="4" t="n">
        <v>-97.96711</v>
      </c>
      <c r="J3479" s="4" t="s">
        <v>13751</v>
      </c>
      <c r="K3479" s="6" t="str">
        <f aca="false">HYPERLINK("https://www.google.com/search?q=Seguin+Public+Library+Seguin+TX+library+website","Search")</f>
        <v>Search</v>
      </c>
      <c r="L3479" s="7"/>
      <c r="M3479" s="7"/>
    </row>
    <row r="3480" customFormat="false" ht="15" hidden="false" customHeight="true" outlineLevel="0" collapsed="false">
      <c r="A3480" s="4" t="s">
        <v>12921</v>
      </c>
      <c r="B3480" s="4" t="s">
        <v>13752</v>
      </c>
      <c r="C3480" s="4" t="s">
        <v>12584</v>
      </c>
      <c r="D3480" s="4" t="s">
        <v>13193</v>
      </c>
      <c r="E3480" s="5" t="n">
        <v>30755</v>
      </c>
      <c r="F3480" s="4" t="n">
        <v>1</v>
      </c>
      <c r="G3480" s="4" t="s">
        <v>13753</v>
      </c>
      <c r="H3480" s="4" t="n">
        <v>26.18511</v>
      </c>
      <c r="I3480" s="4" t="n">
        <v>-98.11068</v>
      </c>
      <c r="J3480" s="4" t="s">
        <v>13754</v>
      </c>
      <c r="K3480" s="6" t="str">
        <f aca="false">HYPERLINK("https://www.google.com/search?q=Sergeant+Fernando+De+La+Rosa+Memorial+Library+Alamo+TX+library+website","Search")</f>
        <v>Search</v>
      </c>
      <c r="L3480" s="7"/>
      <c r="M3480" s="7"/>
    </row>
    <row r="3481" customFormat="false" ht="15" hidden="false" customHeight="true" outlineLevel="0" collapsed="false">
      <c r="A3481" s="4" t="s">
        <v>12921</v>
      </c>
      <c r="B3481" s="4" t="s">
        <v>13755</v>
      </c>
      <c r="C3481" s="4" t="s">
        <v>13756</v>
      </c>
      <c r="D3481" s="4" t="s">
        <v>4945</v>
      </c>
      <c r="E3481" s="5" t="n">
        <v>44873</v>
      </c>
      <c r="F3481" s="4" t="n">
        <v>1</v>
      </c>
      <c r="G3481" s="4" t="s">
        <v>13757</v>
      </c>
      <c r="H3481" s="4" t="n">
        <v>33.64007</v>
      </c>
      <c r="I3481" s="4" t="n">
        <v>-96.61031</v>
      </c>
      <c r="J3481" s="4" t="s">
        <v>13758</v>
      </c>
      <c r="K3481" s="6" t="str">
        <f aca="false">HYPERLINK("https://www.google.com/search?q=Sherman+Public+Library+Sherman+TX+library+website","Search")</f>
        <v>Search</v>
      </c>
      <c r="L3481" s="7"/>
      <c r="M3481" s="7"/>
    </row>
    <row r="3482" customFormat="false" ht="15" hidden="false" customHeight="true" outlineLevel="0" collapsed="false">
      <c r="A3482" s="4" t="s">
        <v>12921</v>
      </c>
      <c r="B3482" s="4" t="s">
        <v>13759</v>
      </c>
      <c r="C3482" s="4" t="s">
        <v>13760</v>
      </c>
      <c r="D3482" s="4" t="s">
        <v>4958</v>
      </c>
      <c r="E3482" s="5" t="n">
        <v>12775</v>
      </c>
      <c r="F3482" s="4" t="n">
        <v>1</v>
      </c>
      <c r="G3482" s="4" t="s">
        <v>13761</v>
      </c>
      <c r="H3482" s="4" t="n">
        <v>30.34922</v>
      </c>
      <c r="I3482" s="4" t="n">
        <v>-94.17661</v>
      </c>
      <c r="J3482" s="4" t="s">
        <v>13762</v>
      </c>
      <c r="K3482" s="6" t="str">
        <f aca="false">HYPERLINK("https://www.google.com/search?q=Silsbee+Public+Library+Silsbee+TX+library+website","Search")</f>
        <v>Search</v>
      </c>
      <c r="L3482" s="7"/>
      <c r="M3482" s="7"/>
    </row>
    <row r="3483" customFormat="false" ht="15" hidden="false" customHeight="true" outlineLevel="0" collapsed="false">
      <c r="A3483" s="4" t="s">
        <v>12921</v>
      </c>
      <c r="B3483" s="4" t="s">
        <v>13763</v>
      </c>
      <c r="C3483" s="4" t="s">
        <v>13764</v>
      </c>
      <c r="D3483" s="4" t="s">
        <v>12868</v>
      </c>
      <c r="E3483" s="5" t="n">
        <v>10891</v>
      </c>
      <c r="F3483" s="4" t="n">
        <v>1</v>
      </c>
      <c r="G3483" s="4" t="s">
        <v>13765</v>
      </c>
      <c r="H3483" s="4" t="n">
        <v>30.88234</v>
      </c>
      <c r="I3483" s="4" t="n">
        <v>-96.59639</v>
      </c>
      <c r="J3483" s="4" t="s">
        <v>13766</v>
      </c>
      <c r="K3483" s="6" t="str">
        <f aca="false">HYPERLINK("https://www.google.com/search?q=Smith-Welch+Memorial+Library+Hearne+TX+library+website","Search")</f>
        <v>Search</v>
      </c>
      <c r="L3483" s="7"/>
      <c r="M3483" s="7"/>
    </row>
    <row r="3484" customFormat="false" ht="15" hidden="false" customHeight="true" outlineLevel="0" collapsed="false">
      <c r="A3484" s="4" t="s">
        <v>12921</v>
      </c>
      <c r="B3484" s="4" t="s">
        <v>13767</v>
      </c>
      <c r="C3484" s="4" t="s">
        <v>12687</v>
      </c>
      <c r="D3484" s="4" t="s">
        <v>5336</v>
      </c>
      <c r="E3484" s="5" t="n">
        <v>13151</v>
      </c>
      <c r="F3484" s="4" t="n">
        <v>1</v>
      </c>
      <c r="G3484" s="4" t="s">
        <v>13768</v>
      </c>
      <c r="H3484" s="4" t="n">
        <v>30.01084</v>
      </c>
      <c r="I3484" s="4" t="n">
        <v>-97.15831</v>
      </c>
      <c r="J3484" s="4" t="s">
        <v>13769</v>
      </c>
      <c r="K3484" s="6" t="str">
        <f aca="false">HYPERLINK("https://www.google.com/search?q=Smithville+Public+Library+Smithville+TX+library+website","Search")</f>
        <v>Search</v>
      </c>
      <c r="L3484" s="7"/>
      <c r="M3484" s="7"/>
    </row>
    <row r="3485" customFormat="false" ht="15" hidden="false" customHeight="true" outlineLevel="0" collapsed="false">
      <c r="A3485" s="4" t="s">
        <v>12921</v>
      </c>
      <c r="B3485" s="4" t="s">
        <v>13770</v>
      </c>
      <c r="C3485" s="4" t="s">
        <v>13771</v>
      </c>
      <c r="D3485" s="4" t="s">
        <v>12957</v>
      </c>
      <c r="E3485" s="5" t="n">
        <v>31105</v>
      </c>
      <c r="F3485" s="4" t="n">
        <v>1</v>
      </c>
      <c r="G3485" s="4" t="s">
        <v>13772</v>
      </c>
      <c r="H3485" s="4" t="n">
        <v>32.94259</v>
      </c>
      <c r="I3485" s="4" t="n">
        <v>-97.13124</v>
      </c>
      <c r="J3485" s="4" t="s">
        <v>13773</v>
      </c>
      <c r="K3485" s="6" t="str">
        <f aca="false">HYPERLINK("https://www.google.com/search?q=Southlake+Public+Library+Southlake+TX+library+website","Search")</f>
        <v>Search</v>
      </c>
      <c r="L3485" s="7"/>
      <c r="M3485" s="7"/>
    </row>
    <row r="3486" customFormat="false" ht="15" hidden="false" customHeight="true" outlineLevel="0" collapsed="false">
      <c r="A3486" s="4" t="s">
        <v>12921</v>
      </c>
      <c r="B3486" s="4" t="s">
        <v>13774</v>
      </c>
      <c r="C3486" s="4" t="s">
        <v>12485</v>
      </c>
      <c r="D3486" s="4" t="s">
        <v>13193</v>
      </c>
      <c r="E3486" s="5" t="n">
        <v>132478</v>
      </c>
      <c r="F3486" s="4" t="n">
        <v>1</v>
      </c>
      <c r="G3486" s="4" t="s">
        <v>13775</v>
      </c>
      <c r="H3486" s="4" t="n">
        <v>26.21666</v>
      </c>
      <c r="I3486" s="4" t="n">
        <v>-98.31619</v>
      </c>
      <c r="J3486" s="4" t="s">
        <v>13776</v>
      </c>
      <c r="K3486" s="6" t="str">
        <f aca="false">HYPERLINK("https://www.google.com/search?q=Speer+Memorial+Library+Mission+TX+library+website","Search")</f>
        <v>Search</v>
      </c>
      <c r="L3486" s="7"/>
      <c r="M3486" s="7"/>
    </row>
    <row r="3487" customFormat="false" ht="15" hidden="false" customHeight="true" outlineLevel="0" collapsed="false">
      <c r="A3487" s="4" t="s">
        <v>12921</v>
      </c>
      <c r="B3487" s="4" t="s">
        <v>13777</v>
      </c>
      <c r="C3487" s="4" t="s">
        <v>13778</v>
      </c>
      <c r="D3487" s="4" t="s">
        <v>12973</v>
      </c>
      <c r="E3487" s="5" t="n">
        <v>11557</v>
      </c>
      <c r="F3487" s="4" t="n">
        <v>1</v>
      </c>
      <c r="G3487" s="4" t="s">
        <v>13779</v>
      </c>
      <c r="H3487" s="4" t="n">
        <v>32.974</v>
      </c>
      <c r="I3487" s="4" t="n">
        <v>-97.68543</v>
      </c>
      <c r="J3487" s="4" t="s">
        <v>13780</v>
      </c>
      <c r="K3487" s="6" t="str">
        <f aca="false">HYPERLINK("https://www.google.com/search?q=Springtown+Public+Library+Springtown+TX+library+website","Search")</f>
        <v>Search</v>
      </c>
      <c r="L3487" s="7"/>
      <c r="M3487" s="7"/>
    </row>
    <row r="3488" customFormat="false" ht="15" hidden="false" customHeight="true" outlineLevel="0" collapsed="false">
      <c r="A3488" s="4" t="s">
        <v>12921</v>
      </c>
      <c r="B3488" s="4" t="s">
        <v>13781</v>
      </c>
      <c r="C3488" s="4" t="s">
        <v>13782</v>
      </c>
      <c r="D3488" s="4" t="s">
        <v>13783</v>
      </c>
      <c r="E3488" s="5" t="n">
        <v>21199</v>
      </c>
      <c r="F3488" s="4" t="n">
        <v>1</v>
      </c>
      <c r="G3488" s="4" t="s">
        <v>13784</v>
      </c>
      <c r="H3488" s="4" t="n">
        <v>32.22036</v>
      </c>
      <c r="I3488" s="4" t="n">
        <v>-98.20395</v>
      </c>
      <c r="J3488" s="4" t="s">
        <v>13785</v>
      </c>
      <c r="K3488" s="6" t="str">
        <f aca="false">HYPERLINK("https://www.google.com/search?q=Stephenville+Public+Library+Stephenville+TX+library+website","Search")</f>
        <v>Search</v>
      </c>
      <c r="L3488" s="7"/>
      <c r="M3488" s="7"/>
    </row>
    <row r="3489" customFormat="false" ht="15" hidden="false" customHeight="true" outlineLevel="0" collapsed="false">
      <c r="A3489" s="4" t="s">
        <v>12921</v>
      </c>
      <c r="B3489" s="4" t="s">
        <v>13786</v>
      </c>
      <c r="C3489" s="4" t="s">
        <v>13787</v>
      </c>
      <c r="D3489" s="4" t="s">
        <v>12998</v>
      </c>
      <c r="E3489" s="5" t="n">
        <v>82480</v>
      </c>
      <c r="F3489" s="4" t="n">
        <v>1</v>
      </c>
      <c r="G3489" s="4" t="s">
        <v>13788</v>
      </c>
      <c r="H3489" s="4" t="n">
        <v>29.73659</v>
      </c>
      <c r="I3489" s="4" t="n">
        <v>-94.97926</v>
      </c>
      <c r="J3489" s="4" t="s">
        <v>13789</v>
      </c>
      <c r="K3489" s="6" t="str">
        <f aca="false">HYPERLINK("https://www.google.com/search?q=Sterling+Municipal+Library+Baytown+TX+library+website","Search")</f>
        <v>Search</v>
      </c>
      <c r="L3489" s="7"/>
      <c r="M3489" s="7"/>
    </row>
    <row r="3490" customFormat="false" ht="15" hidden="false" customHeight="true" outlineLevel="0" collapsed="false">
      <c r="A3490" s="4" t="s">
        <v>12921</v>
      </c>
      <c r="B3490" s="4" t="s">
        <v>13790</v>
      </c>
      <c r="C3490" s="4" t="s">
        <v>13791</v>
      </c>
      <c r="D3490" s="4" t="s">
        <v>4828</v>
      </c>
      <c r="E3490" s="5" t="n">
        <v>33560</v>
      </c>
      <c r="F3490" s="4" t="n">
        <v>1</v>
      </c>
      <c r="G3490" s="4" t="s">
        <v>13792</v>
      </c>
      <c r="H3490" s="4" t="n">
        <v>31.0813</v>
      </c>
      <c r="I3490" s="4" t="n">
        <v>-97.65503</v>
      </c>
      <c r="J3490" s="4" t="s">
        <v>13793</v>
      </c>
      <c r="K3490" s="6" t="str">
        <f aca="false">HYPERLINK("https://www.google.com/search?q=Stewart+C+Meyer+Library+Harker+Heights+TX+library+website","Search")</f>
        <v>Search</v>
      </c>
      <c r="L3490" s="7"/>
      <c r="M3490" s="7"/>
    </row>
    <row r="3491" customFormat="false" ht="15" hidden="false" customHeight="true" outlineLevel="0" collapsed="false">
      <c r="A3491" s="4" t="s">
        <v>12921</v>
      </c>
      <c r="B3491" s="4" t="s">
        <v>13794</v>
      </c>
      <c r="C3491" s="4" t="s">
        <v>13795</v>
      </c>
      <c r="D3491" s="4" t="s">
        <v>4879</v>
      </c>
      <c r="E3491" s="5" t="n">
        <v>10442</v>
      </c>
      <c r="F3491" s="4" t="n">
        <v>1</v>
      </c>
      <c r="G3491" s="4" t="s">
        <v>13796</v>
      </c>
      <c r="H3491" s="4" t="n">
        <v>30.31014</v>
      </c>
      <c r="I3491" s="4" t="n">
        <v>-94.96603</v>
      </c>
      <c r="J3491" s="4" t="s">
        <v>13797</v>
      </c>
      <c r="K3491" s="6" t="str">
        <f aca="false">HYPERLINK("https://www.google.com/search?q=Tarkington+Community+Library+Cleveland-Tarkington+TX+library+website","Search")</f>
        <v>Search</v>
      </c>
      <c r="L3491" s="7"/>
      <c r="M3491" s="7"/>
    </row>
    <row r="3492" customFormat="false" ht="15" hidden="false" customHeight="true" outlineLevel="0" collapsed="false">
      <c r="A3492" s="4" t="s">
        <v>12921</v>
      </c>
      <c r="B3492" s="4" t="s">
        <v>13798</v>
      </c>
      <c r="C3492" s="4" t="s">
        <v>5179</v>
      </c>
      <c r="D3492" s="4" t="s">
        <v>3315</v>
      </c>
      <c r="E3492" s="5" t="n">
        <v>16807</v>
      </c>
      <c r="F3492" s="4" t="n">
        <v>1</v>
      </c>
      <c r="G3492" s="4" t="s">
        <v>13799</v>
      </c>
      <c r="H3492" s="4" t="n">
        <v>30.57424</v>
      </c>
      <c r="I3492" s="4" t="n">
        <v>-97.41273</v>
      </c>
      <c r="J3492" s="4" t="s">
        <v>13800</v>
      </c>
      <c r="K3492" s="6" t="str">
        <f aca="false">HYPERLINK("https://www.google.com/search?q=Taylor+Public+Library+Taylor+TX+library+website","Search")</f>
        <v>Search</v>
      </c>
      <c r="L3492" s="7"/>
      <c r="M3492" s="7"/>
    </row>
    <row r="3493" customFormat="false" ht="15" hidden="false" customHeight="true" outlineLevel="0" collapsed="false">
      <c r="A3493" s="4" t="s">
        <v>12921</v>
      </c>
      <c r="B3493" s="4" t="s">
        <v>13801</v>
      </c>
      <c r="C3493" s="4" t="s">
        <v>13802</v>
      </c>
      <c r="D3493" s="4" t="s">
        <v>13803</v>
      </c>
      <c r="E3493" s="5" t="n">
        <v>10746</v>
      </c>
      <c r="F3493" s="4" t="n">
        <v>1</v>
      </c>
      <c r="G3493" s="4" t="s">
        <v>13804</v>
      </c>
      <c r="H3493" s="4" t="n">
        <v>31.62714</v>
      </c>
      <c r="I3493" s="4" t="n">
        <v>-96.28399</v>
      </c>
      <c r="J3493" s="4" t="s">
        <v>13805</v>
      </c>
      <c r="K3493" s="6" t="str">
        <f aca="false">HYPERLINK("https://www.google.com/search?q=Teague+Public+Library+Teague+TX+library+website","Search")</f>
        <v>Search</v>
      </c>
      <c r="L3493" s="7"/>
      <c r="M3493" s="7"/>
    </row>
    <row r="3494" customFormat="false" ht="15" hidden="false" customHeight="true" outlineLevel="0" collapsed="false">
      <c r="A3494" s="4" t="s">
        <v>12921</v>
      </c>
      <c r="B3494" s="4" t="s">
        <v>13806</v>
      </c>
      <c r="C3494" s="4" t="s">
        <v>13807</v>
      </c>
      <c r="D3494" s="4" t="s">
        <v>4828</v>
      </c>
      <c r="E3494" s="5" t="n">
        <v>85416</v>
      </c>
      <c r="F3494" s="4" t="n">
        <v>1</v>
      </c>
      <c r="G3494" s="4" t="s">
        <v>13808</v>
      </c>
      <c r="H3494" s="4" t="n">
        <v>31.09809</v>
      </c>
      <c r="I3494" s="4" t="n">
        <v>-97.34228</v>
      </c>
      <c r="J3494" s="4" t="s">
        <v>13809</v>
      </c>
      <c r="K3494" s="6" t="str">
        <f aca="false">HYPERLINK("https://www.google.com/search?q=Temple+Public+Library+Temple+TX+library+website","Search")</f>
        <v>Search</v>
      </c>
      <c r="L3494" s="7"/>
      <c r="M3494" s="7"/>
    </row>
    <row r="3495" customFormat="false" ht="15" hidden="false" customHeight="true" outlineLevel="0" collapsed="false">
      <c r="A3495" s="4" t="s">
        <v>12921</v>
      </c>
      <c r="B3495" s="4" t="s">
        <v>636</v>
      </c>
      <c r="C3495" s="4" t="s">
        <v>637</v>
      </c>
      <c r="D3495" s="4" t="s">
        <v>638</v>
      </c>
      <c r="E3495" s="5" t="n">
        <v>36017</v>
      </c>
      <c r="F3495" s="4" t="n">
        <v>1</v>
      </c>
      <c r="G3495" s="4" t="s">
        <v>639</v>
      </c>
      <c r="H3495" s="4" t="n">
        <v>33.42019</v>
      </c>
      <c r="I3495" s="4" t="n">
        <v>-94.04871</v>
      </c>
      <c r="J3495" s="4" t="s">
        <v>13810</v>
      </c>
      <c r="K3495" s="6" t="str">
        <f aca="false">HYPERLINK("https://www.google.com/search?q=Texarkana+Public+Library+Texarkana+TX+library+website","Search")</f>
        <v>Search</v>
      </c>
      <c r="L3495" s="7"/>
      <c r="M3495" s="7"/>
    </row>
    <row r="3496" customFormat="false" ht="15" hidden="false" customHeight="true" outlineLevel="0" collapsed="false">
      <c r="A3496" s="4" t="s">
        <v>12921</v>
      </c>
      <c r="B3496" s="4" t="s">
        <v>13811</v>
      </c>
      <c r="C3496" s="4" t="s">
        <v>13812</v>
      </c>
      <c r="D3496" s="4" t="s">
        <v>6181</v>
      </c>
      <c r="E3496" s="5" t="n">
        <v>62924</v>
      </c>
      <c r="F3496" s="4" t="n">
        <v>1</v>
      </c>
      <c r="G3496" s="4" t="s">
        <v>13813</v>
      </c>
      <c r="H3496" s="4" t="n">
        <v>33.09712</v>
      </c>
      <c r="I3496" s="4" t="n">
        <v>-96.89231</v>
      </c>
      <c r="J3496" s="4" t="s">
        <v>13814</v>
      </c>
      <c r="K3496" s="6" t="str">
        <f aca="false">HYPERLINK("https://www.google.com/search?q=The+Colony+Public+Library+The+Colony+TX+library+website","Search")</f>
        <v>Search</v>
      </c>
      <c r="L3496" s="7"/>
      <c r="M3496" s="7"/>
    </row>
    <row r="3497" customFormat="false" ht="15" hidden="false" customHeight="true" outlineLevel="0" collapsed="false">
      <c r="A3497" s="4" t="s">
        <v>12921</v>
      </c>
      <c r="B3497" s="4" t="s">
        <v>13815</v>
      </c>
      <c r="C3497" s="4" t="s">
        <v>13816</v>
      </c>
      <c r="D3497" s="4" t="s">
        <v>13817</v>
      </c>
      <c r="E3497" s="5" t="n">
        <v>119411</v>
      </c>
      <c r="F3497" s="4" t="n">
        <v>3</v>
      </c>
      <c r="G3497" s="4" t="s">
        <v>13818</v>
      </c>
      <c r="H3497" s="4" t="n">
        <v>31.46208</v>
      </c>
      <c r="I3497" s="4" t="n">
        <v>-100.43814</v>
      </c>
      <c r="J3497" s="4" t="s">
        <v>13819</v>
      </c>
      <c r="K3497" s="6" t="str">
        <f aca="false">HYPERLINK("https://www.google.com/search?q=Tom+Green+County+Library+System+San+Angelo+TX+library+website","Search")</f>
        <v>Search</v>
      </c>
      <c r="L3497" s="7"/>
      <c r="M3497" s="8" t="str">
        <f aca="false">HYPERLINK("https://tgclibrary.overdrive.com","https://tgclibrary.overdrive.com")</f>
        <v>https://tgclibrary.overdrive.com</v>
      </c>
    </row>
    <row r="3498" customFormat="false" ht="15" hidden="false" customHeight="true" outlineLevel="0" collapsed="false">
      <c r="A3498" s="4" t="s">
        <v>12921</v>
      </c>
      <c r="B3498" s="4" t="s">
        <v>13820</v>
      </c>
      <c r="C3498" s="4" t="s">
        <v>13821</v>
      </c>
      <c r="D3498" s="4" t="s">
        <v>13519</v>
      </c>
      <c r="E3498" s="5" t="n">
        <v>31128</v>
      </c>
      <c r="F3498" s="4" t="n">
        <v>1</v>
      </c>
      <c r="G3498" s="4" t="s">
        <v>13822</v>
      </c>
      <c r="H3498" s="4" t="n">
        <v>29.86712</v>
      </c>
      <c r="I3498" s="4" t="n">
        <v>-98.18961</v>
      </c>
      <c r="J3498" s="4" t="s">
        <v>13823</v>
      </c>
      <c r="K3498" s="6" t="str">
        <f aca="false">HYPERLINK("https://www.google.com/search?q=Tye+Preston+Memorial+Library+Canyon+Lake+TX+library+website","Search")</f>
        <v>Search</v>
      </c>
      <c r="L3498" s="7"/>
      <c r="M3498" s="7"/>
    </row>
    <row r="3499" customFormat="false" ht="15" hidden="false" customHeight="true" outlineLevel="0" collapsed="false">
      <c r="A3499" s="4" t="s">
        <v>12921</v>
      </c>
      <c r="B3499" s="4" t="s">
        <v>13824</v>
      </c>
      <c r="C3499" s="4" t="s">
        <v>12936</v>
      </c>
      <c r="D3499" s="4" t="s">
        <v>12845</v>
      </c>
      <c r="E3499" s="5" t="n">
        <v>107192</v>
      </c>
      <c r="F3499" s="4" t="n">
        <v>1</v>
      </c>
      <c r="G3499" s="4" t="s">
        <v>13825</v>
      </c>
      <c r="H3499" s="4" t="n">
        <v>32.34932</v>
      </c>
      <c r="I3499" s="4" t="n">
        <v>-95.30172</v>
      </c>
      <c r="J3499" s="4" t="s">
        <v>13826</v>
      </c>
      <c r="K3499" s="6" t="str">
        <f aca="false">HYPERLINK("https://www.google.com/search?q=Tyler+Public+Library+Tyler+TX+library+website","Search")</f>
        <v>Search</v>
      </c>
      <c r="L3499" s="7"/>
      <c r="M3499" s="7"/>
    </row>
    <row r="3500" customFormat="false" ht="15" hidden="false" customHeight="true" outlineLevel="0" collapsed="false">
      <c r="A3500" s="4" t="s">
        <v>12921</v>
      </c>
      <c r="B3500" s="4" t="s">
        <v>13827</v>
      </c>
      <c r="C3500" s="4" t="s">
        <v>9988</v>
      </c>
      <c r="D3500" s="4" t="s">
        <v>13828</v>
      </c>
      <c r="E3500" s="5" t="n">
        <v>29236</v>
      </c>
      <c r="F3500" s="4" t="n">
        <v>1</v>
      </c>
      <c r="G3500" s="4" t="s">
        <v>13829</v>
      </c>
      <c r="H3500" s="4" t="n">
        <v>34.1894</v>
      </c>
      <c r="I3500" s="4" t="n">
        <v>-101.70442</v>
      </c>
      <c r="J3500" s="4" t="s">
        <v>13830</v>
      </c>
      <c r="K3500" s="6" t="str">
        <f aca="false">HYPERLINK("https://www.google.com/search?q=Unger+Memorial+Library+Plainview+TX+library+website","Search")</f>
        <v>Search</v>
      </c>
      <c r="L3500" s="7"/>
      <c r="M3500" s="7"/>
    </row>
    <row r="3501" customFormat="false" ht="15" hidden="false" customHeight="true" outlineLevel="0" collapsed="false">
      <c r="A3501" s="4" t="s">
        <v>12921</v>
      </c>
      <c r="B3501" s="4" t="s">
        <v>13831</v>
      </c>
      <c r="C3501" s="4" t="s">
        <v>13832</v>
      </c>
      <c r="D3501" s="4" t="s">
        <v>13007</v>
      </c>
      <c r="E3501" s="5" t="n">
        <v>19808</v>
      </c>
      <c r="F3501" s="4" t="n">
        <v>1</v>
      </c>
      <c r="G3501" s="4" t="s">
        <v>13833</v>
      </c>
      <c r="H3501" s="4" t="n">
        <v>29.5493</v>
      </c>
      <c r="I3501" s="4" t="n">
        <v>-98.29737</v>
      </c>
      <c r="J3501" s="4" t="s">
        <v>13834</v>
      </c>
      <c r="K3501" s="6" t="str">
        <f aca="false">HYPERLINK("https://www.google.com/search?q=Universal+City+Public+Library+Universal+City+TX+library+website","Search")</f>
        <v>Search</v>
      </c>
      <c r="L3501" s="7"/>
      <c r="M3501" s="7"/>
    </row>
    <row r="3502" customFormat="false" ht="15" hidden="false" customHeight="true" outlineLevel="0" collapsed="false">
      <c r="A3502" s="4" t="s">
        <v>12921</v>
      </c>
      <c r="B3502" s="4" t="s">
        <v>13835</v>
      </c>
      <c r="C3502" s="4" t="s">
        <v>394</v>
      </c>
      <c r="D3502" s="4" t="s">
        <v>394</v>
      </c>
      <c r="E3502" s="5" t="n">
        <v>24849</v>
      </c>
      <c r="F3502" s="4" t="n">
        <v>1</v>
      </c>
      <c r="G3502" s="4" t="s">
        <v>13836</v>
      </c>
      <c r="H3502" s="4" t="n">
        <v>32.86388</v>
      </c>
      <c r="I3502" s="4" t="n">
        <v>-96.80344</v>
      </c>
      <c r="J3502" s="4" t="s">
        <v>13837</v>
      </c>
      <c r="K3502" s="6" t="str">
        <f aca="false">HYPERLINK("https://www.google.com/search?q=University+Park+Public+Library+Dallas+TX+library+website","Search")</f>
        <v>Search</v>
      </c>
      <c r="L3502" s="7"/>
      <c r="M3502" s="7"/>
    </row>
    <row r="3503" customFormat="false" ht="15" hidden="false" customHeight="true" outlineLevel="0" collapsed="false">
      <c r="A3503" s="4" t="s">
        <v>12921</v>
      </c>
      <c r="B3503" s="4" t="s">
        <v>13838</v>
      </c>
      <c r="C3503" s="4" t="s">
        <v>13839</v>
      </c>
      <c r="D3503" s="4" t="s">
        <v>13840</v>
      </c>
      <c r="E3503" s="5" t="n">
        <v>41774</v>
      </c>
      <c r="F3503" s="4" t="n">
        <v>1</v>
      </c>
      <c r="G3503" s="4" t="s">
        <v>13841</v>
      </c>
      <c r="H3503" s="4" t="n">
        <v>32.72874</v>
      </c>
      <c r="I3503" s="4" t="n">
        <v>-94.9522</v>
      </c>
      <c r="J3503" s="4" t="s">
        <v>13842</v>
      </c>
      <c r="K3503" s="6" t="str">
        <f aca="false">HYPERLINK("https://www.google.com/search?q=Upshur+County+Library+Gilmer+TX+library+website","Search")</f>
        <v>Search</v>
      </c>
      <c r="L3503" s="7"/>
      <c r="M3503" s="7"/>
    </row>
    <row r="3504" customFormat="false" ht="15" hidden="false" customHeight="true" outlineLevel="0" collapsed="false">
      <c r="A3504" s="4" t="s">
        <v>12921</v>
      </c>
      <c r="B3504" s="4" t="s">
        <v>13843</v>
      </c>
      <c r="C3504" s="4" t="s">
        <v>13844</v>
      </c>
      <c r="D3504" s="4" t="s">
        <v>13845</v>
      </c>
      <c r="E3504" s="5" t="n">
        <v>47564</v>
      </c>
      <c r="F3504" s="4" t="n">
        <v>1</v>
      </c>
      <c r="G3504" s="4" t="s">
        <v>13846</v>
      </c>
      <c r="H3504" s="4" t="n">
        <v>29.36129</v>
      </c>
      <c r="I3504" s="4" t="n">
        <v>-100.89551</v>
      </c>
      <c r="J3504" s="4" t="s">
        <v>13847</v>
      </c>
      <c r="K3504" s="6" t="str">
        <f aca="false">HYPERLINK("https://www.google.com/search?q=Val+Verde+County+Library+Del+Rio+TX+library+website","Search")</f>
        <v>Search</v>
      </c>
      <c r="L3504" s="7"/>
      <c r="M3504" s="7"/>
    </row>
    <row r="3505" customFormat="false" ht="15" hidden="false" customHeight="true" outlineLevel="0" collapsed="false">
      <c r="A3505" s="4" t="s">
        <v>12921</v>
      </c>
      <c r="B3505" s="4" t="s">
        <v>13848</v>
      </c>
      <c r="C3505" s="4" t="s">
        <v>1853</v>
      </c>
      <c r="D3505" s="4" t="s">
        <v>13849</v>
      </c>
      <c r="E3505" s="5" t="n">
        <v>22878</v>
      </c>
      <c r="F3505" s="4" t="n">
        <v>1</v>
      </c>
      <c r="G3505" s="4" t="s">
        <v>13850</v>
      </c>
      <c r="H3505" s="4" t="n">
        <v>32.56295</v>
      </c>
      <c r="I3505" s="4" t="n">
        <v>-95.87235</v>
      </c>
      <c r="J3505" s="4" t="s">
        <v>13851</v>
      </c>
      <c r="K3505" s="6" t="str">
        <f aca="false">HYPERLINK("https://www.google.com/search?q=Van+Zandt+County+Library+Canton+TX+library+website","Search")</f>
        <v>Search</v>
      </c>
      <c r="L3505" s="7"/>
      <c r="M3505" s="7"/>
    </row>
    <row r="3506" customFormat="false" ht="15" hidden="false" customHeight="true" outlineLevel="0" collapsed="false">
      <c r="A3506" s="4" t="s">
        <v>12921</v>
      </c>
      <c r="B3506" s="4" t="s">
        <v>13852</v>
      </c>
      <c r="C3506" s="4" t="s">
        <v>13853</v>
      </c>
      <c r="D3506" s="4" t="s">
        <v>13853</v>
      </c>
      <c r="E3506" s="5" t="n">
        <v>90964</v>
      </c>
      <c r="F3506" s="4" t="n">
        <v>1</v>
      </c>
      <c r="G3506" s="4" t="s">
        <v>13854</v>
      </c>
      <c r="H3506" s="4" t="n">
        <v>28.80131</v>
      </c>
      <c r="I3506" s="4" t="n">
        <v>-97.00517</v>
      </c>
      <c r="J3506" s="4" t="s">
        <v>13855</v>
      </c>
      <c r="K3506" s="6" t="str">
        <f aca="false">HYPERLINK("https://www.google.com/search?q=Victoria+Public+Library+Victoria+TX+library+website","Search")</f>
        <v>Search</v>
      </c>
      <c r="L3506" s="7"/>
      <c r="M3506" s="7"/>
    </row>
    <row r="3507" customFormat="false" ht="15" hidden="false" customHeight="true" outlineLevel="0" collapsed="false">
      <c r="A3507" s="4" t="s">
        <v>12921</v>
      </c>
      <c r="B3507" s="4" t="s">
        <v>13856</v>
      </c>
      <c r="C3507" s="4" t="s">
        <v>13857</v>
      </c>
      <c r="D3507" s="4" t="s">
        <v>7137</v>
      </c>
      <c r="E3507" s="5" t="n">
        <v>11123</v>
      </c>
      <c r="F3507" s="4" t="n">
        <v>1</v>
      </c>
      <c r="G3507" s="4" t="s">
        <v>13858</v>
      </c>
      <c r="H3507" s="4" t="n">
        <v>29.77391</v>
      </c>
      <c r="I3507" s="4" t="n">
        <v>-96.15856</v>
      </c>
      <c r="J3507" s="4" t="s">
        <v>13859</v>
      </c>
      <c r="K3507" s="6" t="str">
        <f aca="false">HYPERLINK("https://www.google.com/search?q=Virgil+%26+Josephine+Gordon+Memorial+Library+Sealy+TX+library+website","Search")</f>
        <v>Search</v>
      </c>
      <c r="L3507" s="7"/>
      <c r="M3507" s="7"/>
    </row>
    <row r="3508" customFormat="false" ht="15" hidden="false" customHeight="true" outlineLevel="0" collapsed="false">
      <c r="A3508" s="4" t="s">
        <v>12921</v>
      </c>
      <c r="B3508" s="4" t="s">
        <v>13860</v>
      </c>
      <c r="C3508" s="4" t="s">
        <v>224</v>
      </c>
      <c r="D3508" s="4" t="s">
        <v>13116</v>
      </c>
      <c r="E3508" s="5" t="n">
        <v>29578</v>
      </c>
      <c r="F3508" s="4" t="n">
        <v>1</v>
      </c>
      <c r="G3508" s="4" t="s">
        <v>13861</v>
      </c>
      <c r="H3508" s="4" t="n">
        <v>33.12232</v>
      </c>
      <c r="I3508" s="4" t="n">
        <v>-96.10616</v>
      </c>
      <c r="J3508" s="4" t="s">
        <v>13862</v>
      </c>
      <c r="K3508" s="6" t="str">
        <f aca="false">HYPERLINK("https://www.google.com/search?q=W+Walworth+Harrison+Public+Library+Greenville+TX+library+website","Search")</f>
        <v>Search</v>
      </c>
      <c r="L3508" s="7"/>
      <c r="M3508" s="7"/>
    </row>
    <row r="3509" customFormat="false" ht="15" hidden="false" customHeight="true" outlineLevel="0" collapsed="false">
      <c r="A3509" s="4" t="s">
        <v>12921</v>
      </c>
      <c r="B3509" s="4" t="s">
        <v>13863</v>
      </c>
      <c r="C3509" s="4" t="s">
        <v>13864</v>
      </c>
      <c r="D3509" s="4" t="s">
        <v>13344</v>
      </c>
      <c r="E3509" s="5" t="n">
        <v>219928</v>
      </c>
      <c r="F3509" s="4" t="n">
        <v>4</v>
      </c>
      <c r="G3509" s="4" t="s">
        <v>13865</v>
      </c>
      <c r="H3509" s="4" t="n">
        <v>31.54662</v>
      </c>
      <c r="I3509" s="4" t="n">
        <v>-97.14347</v>
      </c>
      <c r="J3509" s="4" t="s">
        <v>13866</v>
      </c>
      <c r="K3509" s="6" t="str">
        <f aca="false">HYPERLINK("https://www.google.com/search?q=Waco-Mclennan+County+Library+Waco+TX+library+website","Search")</f>
        <v>Search</v>
      </c>
      <c r="L3509" s="7"/>
      <c r="M3509" s="7"/>
    </row>
    <row r="3510" customFormat="false" ht="15" hidden="false" customHeight="true" outlineLevel="0" collapsed="false">
      <c r="A3510" s="4" t="s">
        <v>12921</v>
      </c>
      <c r="B3510" s="4" t="s">
        <v>13867</v>
      </c>
      <c r="C3510" s="4" t="s">
        <v>554</v>
      </c>
      <c r="D3510" s="4" t="s">
        <v>13868</v>
      </c>
      <c r="E3510" s="5" t="n">
        <v>59781</v>
      </c>
      <c r="F3510" s="4" t="n">
        <v>2</v>
      </c>
      <c r="G3510" s="4" t="s">
        <v>13869</v>
      </c>
      <c r="H3510" s="4" t="n">
        <v>30.083</v>
      </c>
      <c r="I3510" s="4" t="n">
        <v>-96.08043</v>
      </c>
      <c r="J3510" s="4" t="s">
        <v>13870</v>
      </c>
      <c r="K3510" s="6" t="str">
        <f aca="false">HYPERLINK("https://www.google.com/search?q=Waller+County+Library+Hempstead+TX+library+website","Search")</f>
        <v>Search</v>
      </c>
      <c r="L3510" s="7"/>
      <c r="M3510" s="7"/>
    </row>
    <row r="3511" customFormat="false" ht="15" hidden="false" customHeight="true" outlineLevel="0" collapsed="false">
      <c r="A3511" s="4" t="s">
        <v>12921</v>
      </c>
      <c r="B3511" s="4" t="s">
        <v>13871</v>
      </c>
      <c r="C3511" s="4" t="s">
        <v>13872</v>
      </c>
      <c r="D3511" s="4" t="s">
        <v>8227</v>
      </c>
      <c r="E3511" s="5" t="n">
        <v>11194</v>
      </c>
      <c r="F3511" s="4" t="n">
        <v>3</v>
      </c>
      <c r="G3511" s="4" t="s">
        <v>13873</v>
      </c>
      <c r="H3511" s="4" t="n">
        <v>31.59252</v>
      </c>
      <c r="I3511" s="4" t="n">
        <v>-102.8876</v>
      </c>
      <c r="J3511" s="4" t="s">
        <v>13874</v>
      </c>
      <c r="K3511" s="6" t="str">
        <f aca="false">HYPERLINK("https://www.google.com/search?q=Ward+County+Library+Monahans+TX+library+website","Search")</f>
        <v>Search</v>
      </c>
      <c r="L3511" s="7"/>
      <c r="M3511" s="7"/>
    </row>
    <row r="3512" customFormat="false" ht="15" hidden="false" customHeight="true" outlineLevel="0" collapsed="false">
      <c r="A3512" s="4" t="s">
        <v>12921</v>
      </c>
      <c r="B3512" s="4" t="s">
        <v>13875</v>
      </c>
      <c r="C3512" s="4" t="s">
        <v>13876</v>
      </c>
      <c r="D3512" s="4" t="s">
        <v>12957</v>
      </c>
      <c r="E3512" s="5" t="n">
        <v>23313</v>
      </c>
      <c r="F3512" s="4" t="n">
        <v>1</v>
      </c>
      <c r="G3512" s="4" t="s">
        <v>13877</v>
      </c>
      <c r="H3512" s="4" t="n">
        <v>32.87465</v>
      </c>
      <c r="I3512" s="4" t="n">
        <v>-97.25505</v>
      </c>
      <c r="J3512" s="4" t="s">
        <v>13878</v>
      </c>
      <c r="K3512" s="6" t="str">
        <f aca="false">HYPERLINK("https://www.google.com/search?q=Watauga+Public+Library+Watauga+TX+library+website","Search")</f>
        <v>Search</v>
      </c>
      <c r="L3512" s="7"/>
      <c r="M3512" s="7"/>
    </row>
    <row r="3513" customFormat="false" ht="15" hidden="false" customHeight="true" outlineLevel="0" collapsed="false">
      <c r="A3513" s="4" t="s">
        <v>12921</v>
      </c>
      <c r="B3513" s="4" t="s">
        <v>13879</v>
      </c>
      <c r="C3513" s="4" t="s">
        <v>13880</v>
      </c>
      <c r="D3513" s="4" t="s">
        <v>12973</v>
      </c>
      <c r="E3513" s="5" t="n">
        <v>116118</v>
      </c>
      <c r="F3513" s="4" t="n">
        <v>1</v>
      </c>
      <c r="G3513" s="4" t="s">
        <v>13881</v>
      </c>
      <c r="H3513" s="4" t="n">
        <v>32.74511</v>
      </c>
      <c r="I3513" s="4" t="n">
        <v>-97.81262</v>
      </c>
      <c r="J3513" s="4" t="s">
        <v>13882</v>
      </c>
      <c r="K3513" s="6" t="str">
        <f aca="false">HYPERLINK("https://www.google.com/search?q=Weatherford+Public+Library+Weatherford+TX+library+website","Search")</f>
        <v>Search</v>
      </c>
      <c r="L3513" s="7"/>
      <c r="M3513" s="7"/>
    </row>
    <row r="3514" customFormat="false" ht="15" hidden="false" customHeight="true" outlineLevel="0" collapsed="false">
      <c r="A3514" s="4" t="s">
        <v>12921</v>
      </c>
      <c r="B3514" s="4" t="s">
        <v>13883</v>
      </c>
      <c r="C3514" s="4" t="s">
        <v>7137</v>
      </c>
      <c r="D3514" s="4" t="s">
        <v>12968</v>
      </c>
      <c r="E3514" s="5" t="n">
        <v>13891</v>
      </c>
      <c r="F3514" s="4" t="n">
        <v>1</v>
      </c>
      <c r="G3514" s="4" t="s">
        <v>13884</v>
      </c>
      <c r="H3514" s="4" t="n">
        <v>30.44605</v>
      </c>
      <c r="I3514" s="4" t="n">
        <v>-97.6761</v>
      </c>
      <c r="J3514" s="4" t="s">
        <v>13885</v>
      </c>
      <c r="K3514" s="6" t="str">
        <f aca="false">HYPERLINK("https://www.google.com/search?q=Wells+Branch+Community+Library+Austin+TX+library+website","Search")</f>
        <v>Search</v>
      </c>
      <c r="L3514" s="7"/>
      <c r="M3514" s="7"/>
    </row>
    <row r="3515" customFormat="false" ht="15" hidden="false" customHeight="true" outlineLevel="0" collapsed="false">
      <c r="A3515" s="4" t="s">
        <v>12921</v>
      </c>
      <c r="B3515" s="4" t="s">
        <v>13886</v>
      </c>
      <c r="C3515" s="4" t="s">
        <v>7137</v>
      </c>
      <c r="D3515" s="4" t="s">
        <v>12968</v>
      </c>
      <c r="E3515" s="5" t="n">
        <v>25371</v>
      </c>
      <c r="F3515" s="4" t="n">
        <v>2</v>
      </c>
      <c r="G3515" s="4" t="s">
        <v>13887</v>
      </c>
      <c r="H3515" s="4" t="n">
        <v>30.27439</v>
      </c>
      <c r="I3515" s="4" t="n">
        <v>-97.8116</v>
      </c>
      <c r="J3515" s="4" t="s">
        <v>13888</v>
      </c>
      <c r="K3515" s="6" t="str">
        <f aca="false">HYPERLINK("https://www.google.com/search?q=Westbank+Community+Library+District+Austin+TX+library+website","Search")</f>
        <v>Search</v>
      </c>
      <c r="L3515" s="7"/>
      <c r="M3515" s="8" t="str">
        <f aca="false">HYPERLINK("https://westbanklibrary.overdrive.com","https://westbanklibrary.overdrive.com")</f>
        <v>https://westbanklibrary.overdrive.com</v>
      </c>
    </row>
    <row r="3516" customFormat="false" ht="15" hidden="false" customHeight="true" outlineLevel="0" collapsed="false">
      <c r="A3516" s="4" t="s">
        <v>12921</v>
      </c>
      <c r="B3516" s="4" t="s">
        <v>13889</v>
      </c>
      <c r="C3516" s="4" t="s">
        <v>13890</v>
      </c>
      <c r="D3516" s="4" t="s">
        <v>13890</v>
      </c>
      <c r="E3516" s="5" t="n">
        <v>41721</v>
      </c>
      <c r="F3516" s="4" t="n">
        <v>4</v>
      </c>
      <c r="G3516" s="4" t="s">
        <v>13891</v>
      </c>
      <c r="H3516" s="4" t="n">
        <v>29.32789</v>
      </c>
      <c r="I3516" s="4" t="n">
        <v>-96.09333</v>
      </c>
      <c r="J3516" s="4" t="s">
        <v>13892</v>
      </c>
      <c r="K3516" s="6" t="str">
        <f aca="false">HYPERLINK("https://www.google.com/search?q=Wharton+County+Library+Wharton+TX+library+website","Search")</f>
        <v>Search</v>
      </c>
      <c r="L3516" s="7"/>
      <c r="M3516" s="7"/>
    </row>
    <row r="3517" customFormat="false" ht="15" hidden="false" customHeight="true" outlineLevel="0" collapsed="false">
      <c r="A3517" s="4" t="s">
        <v>12921</v>
      </c>
      <c r="B3517" s="4" t="s">
        <v>13893</v>
      </c>
      <c r="C3517" s="4" t="s">
        <v>13894</v>
      </c>
      <c r="D3517" s="4" t="s">
        <v>12957</v>
      </c>
      <c r="E3517" s="5" t="n">
        <v>18084</v>
      </c>
      <c r="F3517" s="4" t="n">
        <v>1</v>
      </c>
      <c r="G3517" s="4" t="s">
        <v>13895</v>
      </c>
      <c r="H3517" s="4" t="n">
        <v>32.75976</v>
      </c>
      <c r="I3517" s="4" t="n">
        <v>-97.46034</v>
      </c>
      <c r="J3517" s="4" t="s">
        <v>13896</v>
      </c>
      <c r="K3517" s="6" t="str">
        <f aca="false">HYPERLINK("https://www.google.com/search?q=White+Settlement+Public+Library+White+Settlement+TX+library+website","Search")</f>
        <v>Search</v>
      </c>
      <c r="L3517" s="7"/>
      <c r="M3517" s="7"/>
    </row>
    <row r="3518" customFormat="false" ht="15" hidden="false" customHeight="true" outlineLevel="0" collapsed="false">
      <c r="A3518" s="4" t="s">
        <v>12921</v>
      </c>
      <c r="B3518" s="4" t="s">
        <v>13897</v>
      </c>
      <c r="C3518" s="4" t="s">
        <v>13898</v>
      </c>
      <c r="D3518" s="4" t="s">
        <v>4798</v>
      </c>
      <c r="E3518" s="5" t="n">
        <v>102988</v>
      </c>
      <c r="F3518" s="4" t="n">
        <v>1</v>
      </c>
      <c r="G3518" s="4" t="s">
        <v>13899</v>
      </c>
      <c r="H3518" s="4" t="n">
        <v>33.9103</v>
      </c>
      <c r="I3518" s="4" t="n">
        <v>-98.48745</v>
      </c>
      <c r="J3518" s="4" t="s">
        <v>13900</v>
      </c>
      <c r="K3518" s="6" t="str">
        <f aca="false">HYPERLINK("https://www.google.com/search?q=Wichita+Falls+Public+Library+Wichita+Falls+TX+library+website","Search")</f>
        <v>Search</v>
      </c>
      <c r="L3518" s="7"/>
      <c r="M3518" s="7"/>
    </row>
    <row r="3519" customFormat="false" ht="15" hidden="false" customHeight="true" outlineLevel="0" collapsed="false">
      <c r="A3519" s="4" t="s">
        <v>12921</v>
      </c>
      <c r="B3519" s="4" t="s">
        <v>13901</v>
      </c>
      <c r="C3519" s="4" t="s">
        <v>13902</v>
      </c>
      <c r="D3519" s="4" t="s">
        <v>8187</v>
      </c>
      <c r="E3519" s="5" t="n">
        <v>51257</v>
      </c>
      <c r="F3519" s="4" t="n">
        <v>4</v>
      </c>
      <c r="G3519" s="4" t="s">
        <v>13903</v>
      </c>
      <c r="H3519" s="4" t="n">
        <v>29.13651</v>
      </c>
      <c r="I3519" s="4" t="n">
        <v>-98.15934</v>
      </c>
      <c r="J3519" s="4" t="s">
        <v>13904</v>
      </c>
      <c r="K3519" s="6" t="str">
        <f aca="false">HYPERLINK("https://www.google.com/search?q=Wilson+County+Public+Libraries+Floresville+TX+library+website","Search")</f>
        <v>Search</v>
      </c>
      <c r="L3519" s="7"/>
      <c r="M3519" s="7"/>
    </row>
    <row r="3520" customFormat="false" ht="15" hidden="false" customHeight="true" outlineLevel="0" collapsed="false">
      <c r="A3520" s="4" t="s">
        <v>12921</v>
      </c>
      <c r="B3520" s="4" t="s">
        <v>13905</v>
      </c>
      <c r="C3520" s="4" t="s">
        <v>13906</v>
      </c>
      <c r="D3520" s="4" t="s">
        <v>4724</v>
      </c>
      <c r="E3520" s="5" t="n">
        <v>21893</v>
      </c>
      <c r="F3520" s="4" t="n">
        <v>1</v>
      </c>
      <c r="G3520" s="4" t="s">
        <v>13907</v>
      </c>
      <c r="H3520" s="4" t="n">
        <v>30.00219</v>
      </c>
      <c r="I3520" s="4" t="n">
        <v>-98.10431</v>
      </c>
      <c r="J3520" s="4" t="s">
        <v>13908</v>
      </c>
      <c r="K3520" s="6" t="str">
        <f aca="false">HYPERLINK("https://www.google.com/search?q=Wimberley+Village+Library+Wimberley+TX+library+website","Search")</f>
        <v>Search</v>
      </c>
      <c r="L3520" s="7"/>
      <c r="M3520" s="7"/>
    </row>
    <row r="3521" customFormat="false" ht="15" hidden="false" customHeight="true" outlineLevel="0" collapsed="false">
      <c r="A3521" s="4" t="s">
        <v>12921</v>
      </c>
      <c r="B3521" s="4" t="s">
        <v>13909</v>
      </c>
      <c r="C3521" s="4" t="s">
        <v>13910</v>
      </c>
      <c r="D3521" s="4" t="s">
        <v>394</v>
      </c>
      <c r="E3521" s="5" t="n">
        <v>48557</v>
      </c>
      <c r="F3521" s="4" t="n">
        <v>1</v>
      </c>
      <c r="G3521" s="4" t="s">
        <v>13911</v>
      </c>
      <c r="H3521" s="4" t="n">
        <v>32.58874</v>
      </c>
      <c r="I3521" s="4" t="n">
        <v>-96.95043</v>
      </c>
      <c r="J3521" s="4" t="s">
        <v>13912</v>
      </c>
      <c r="K3521" s="6" t="str">
        <f aca="false">HYPERLINK("https://www.google.com/search?q=Zula+B+Wylie+Public+Library+In+Cedar+Hill+Cedar+Hill+TX+library+website","Search")</f>
        <v>Search</v>
      </c>
      <c r="L3521" s="7"/>
      <c r="M3521" s="7"/>
    </row>
    <row r="3522" customFormat="false" ht="15" hidden="false" customHeight="true" outlineLevel="0" collapsed="false">
      <c r="A3522" s="4" t="s">
        <v>13913</v>
      </c>
      <c r="B3522" s="4" t="s">
        <v>13914</v>
      </c>
      <c r="C3522" s="4" t="s">
        <v>13915</v>
      </c>
      <c r="D3522" s="4" t="s">
        <v>13916</v>
      </c>
      <c r="E3522" s="5" t="n">
        <v>34422</v>
      </c>
      <c r="F3522" s="4" t="n">
        <v>1</v>
      </c>
      <c r="G3522" s="4" t="s">
        <v>13917</v>
      </c>
      <c r="H3522" s="4" t="n">
        <v>40.37554</v>
      </c>
      <c r="I3522" s="4" t="n">
        <v>-111.79595</v>
      </c>
      <c r="J3522" s="4" t="s">
        <v>13918</v>
      </c>
      <c r="K3522" s="6" t="str">
        <f aca="false">HYPERLINK("https://www.google.com/search?q=American+Fork+City+Library+American+Fork+UT+library+website","Search")</f>
        <v>Search</v>
      </c>
      <c r="L3522" s="7"/>
      <c r="M3522" s="7"/>
    </row>
    <row r="3523" customFormat="false" ht="15" hidden="false" customHeight="true" outlineLevel="0" collapsed="false">
      <c r="A3523" s="4" t="s">
        <v>13913</v>
      </c>
      <c r="B3523" s="4" t="s">
        <v>13919</v>
      </c>
      <c r="C3523" s="4" t="s">
        <v>10505</v>
      </c>
      <c r="D3523" s="4" t="s">
        <v>13920</v>
      </c>
      <c r="E3523" s="5" t="n">
        <v>25533</v>
      </c>
      <c r="F3523" s="4" t="n">
        <v>1</v>
      </c>
      <c r="G3523" s="4" t="s">
        <v>13921</v>
      </c>
      <c r="H3523" s="4" t="n">
        <v>41.40943</v>
      </c>
      <c r="I3523" s="4" t="n">
        <v>-112.03814</v>
      </c>
      <c r="J3523" s="4" t="s">
        <v>13922</v>
      </c>
      <c r="K3523" s="6" t="str">
        <f aca="false">HYPERLINK("https://www.google.com/search?q=Box+Elder+County+Bookmobile+Library+Willard+UT+library+website","Search")</f>
        <v>Search</v>
      </c>
      <c r="L3523" s="7"/>
      <c r="M3523" s="7"/>
    </row>
    <row r="3524" customFormat="false" ht="15" hidden="false" customHeight="true" outlineLevel="0" collapsed="false">
      <c r="A3524" s="4" t="s">
        <v>13913</v>
      </c>
      <c r="B3524" s="4" t="s">
        <v>13923</v>
      </c>
      <c r="C3524" s="4" t="s">
        <v>13924</v>
      </c>
      <c r="D3524" s="4" t="s">
        <v>13920</v>
      </c>
      <c r="E3524" s="5" t="n">
        <v>19998</v>
      </c>
      <c r="F3524" s="4" t="n">
        <v>1</v>
      </c>
      <c r="G3524" s="4" t="s">
        <v>13925</v>
      </c>
      <c r="H3524" s="4" t="n">
        <v>41.51096</v>
      </c>
      <c r="I3524" s="4" t="n">
        <v>-112.01466</v>
      </c>
      <c r="J3524" s="4" t="s">
        <v>13926</v>
      </c>
      <c r="K3524" s="6" t="str">
        <f aca="false">HYPERLINK("https://www.google.com/search?q=Brigham+City+Library+Brigham+City+UT+library+website","Search")</f>
        <v>Search</v>
      </c>
      <c r="L3524" s="7"/>
      <c r="M3524" s="7"/>
    </row>
    <row r="3525" customFormat="false" ht="15" hidden="false" customHeight="true" outlineLevel="0" collapsed="false">
      <c r="A3525" s="4" t="s">
        <v>13913</v>
      </c>
      <c r="B3525" s="4" t="s">
        <v>13927</v>
      </c>
      <c r="C3525" s="4" t="s">
        <v>13928</v>
      </c>
      <c r="D3525" s="4" t="s">
        <v>7509</v>
      </c>
      <c r="E3525" s="5" t="n">
        <v>37206</v>
      </c>
      <c r="F3525" s="4" t="n">
        <v>1</v>
      </c>
      <c r="G3525" s="4" t="s">
        <v>13929</v>
      </c>
      <c r="H3525" s="4" t="n">
        <v>37.68263</v>
      </c>
      <c r="I3525" s="4" t="n">
        <v>-113.0601</v>
      </c>
      <c r="J3525" s="4" t="s">
        <v>13930</v>
      </c>
      <c r="K3525" s="6" t="str">
        <f aca="false">HYPERLINK("https://www.google.com/search?q=Cedar+City+Public+Library+Cedar+City+UT+library+website","Search")</f>
        <v>Search</v>
      </c>
      <c r="L3525" s="7"/>
      <c r="M3525" s="7"/>
    </row>
    <row r="3526" customFormat="false" ht="15" hidden="false" customHeight="true" outlineLevel="0" collapsed="false">
      <c r="A3526" s="4" t="s">
        <v>13913</v>
      </c>
      <c r="B3526" s="4" t="s">
        <v>13931</v>
      </c>
      <c r="C3526" s="4" t="s">
        <v>1923</v>
      </c>
      <c r="D3526" s="4" t="s">
        <v>13932</v>
      </c>
      <c r="E3526" s="5" t="n">
        <v>367285</v>
      </c>
      <c r="F3526" s="4" t="n">
        <v>7</v>
      </c>
      <c r="G3526" s="4" t="s">
        <v>13933</v>
      </c>
      <c r="H3526" s="4" t="n">
        <v>40.97858</v>
      </c>
      <c r="I3526" s="4" t="n">
        <v>-111.88757</v>
      </c>
      <c r="J3526" s="4" t="s">
        <v>13934</v>
      </c>
      <c r="K3526" s="6" t="str">
        <f aca="false">HYPERLINK("https://www.google.com/search?q=Davis+County+Library+Farmington+UT+library+website","Search")</f>
        <v>Search</v>
      </c>
      <c r="L3526" s="7"/>
      <c r="M3526" s="7"/>
    </row>
    <row r="3527" customFormat="false" ht="15" hidden="false" customHeight="true" outlineLevel="0" collapsed="false">
      <c r="A3527" s="4" t="s">
        <v>13913</v>
      </c>
      <c r="B3527" s="4" t="s">
        <v>13935</v>
      </c>
      <c r="C3527" s="4" t="s">
        <v>13936</v>
      </c>
      <c r="D3527" s="4" t="s">
        <v>13936</v>
      </c>
      <c r="E3527" s="5" t="n">
        <v>19790</v>
      </c>
      <c r="F3527" s="4" t="n">
        <v>2</v>
      </c>
      <c r="G3527" s="4" t="s">
        <v>13937</v>
      </c>
      <c r="H3527" s="4" t="n">
        <v>40.16186</v>
      </c>
      <c r="I3527" s="4" t="n">
        <v>-110.40143</v>
      </c>
      <c r="J3527" s="4" t="s">
        <v>13938</v>
      </c>
      <c r="K3527" s="6" t="str">
        <f aca="false">HYPERLINK("https://www.google.com/search?q=Duchesne+County+Library+System+Duchesne+UT+library+website","Search")</f>
        <v>Search</v>
      </c>
      <c r="L3527" s="7"/>
      <c r="M3527" s="7"/>
    </row>
    <row r="3528" customFormat="false" ht="15" hidden="false" customHeight="true" outlineLevel="0" collapsed="false">
      <c r="A3528" s="4" t="s">
        <v>13913</v>
      </c>
      <c r="B3528" s="4" t="s">
        <v>13939</v>
      </c>
      <c r="C3528" s="4" t="s">
        <v>13940</v>
      </c>
      <c r="D3528" s="4" t="s">
        <v>13916</v>
      </c>
      <c r="E3528" s="5" t="n">
        <v>49738</v>
      </c>
      <c r="F3528" s="4" t="n">
        <v>1</v>
      </c>
      <c r="G3528" s="4" t="s">
        <v>13941</v>
      </c>
      <c r="H3528" s="4" t="n">
        <v>40.30978</v>
      </c>
      <c r="I3528" s="4" t="n">
        <v>-112.01187</v>
      </c>
      <c r="J3528" s="4" t="s">
        <v>13942</v>
      </c>
      <c r="K3528" s="6" t="str">
        <f aca="false">HYPERLINK("https://www.google.com/search?q=Eagle+Mountain+Public+Library+Eagle+Mountain+UT+library+website","Search")</f>
        <v>Search</v>
      </c>
      <c r="L3528" s="7"/>
      <c r="M3528" s="7"/>
    </row>
    <row r="3529" customFormat="false" ht="15" hidden="false" customHeight="true" outlineLevel="0" collapsed="false">
      <c r="A3529" s="4" t="s">
        <v>13913</v>
      </c>
      <c r="B3529" s="4" t="s">
        <v>13943</v>
      </c>
      <c r="C3529" s="4" t="s">
        <v>13944</v>
      </c>
      <c r="D3529" s="4" t="s">
        <v>13945</v>
      </c>
      <c r="E3529" s="5" t="n">
        <v>13574</v>
      </c>
      <c r="F3529" s="4" t="n">
        <v>1</v>
      </c>
      <c r="G3529" s="4" t="s">
        <v>13946</v>
      </c>
      <c r="H3529" s="4" t="n">
        <v>40.60034</v>
      </c>
      <c r="I3529" s="4" t="n">
        <v>-112.44685</v>
      </c>
      <c r="J3529" s="4" t="s">
        <v>13947</v>
      </c>
      <c r="K3529" s="6" t="str">
        <f aca="false">HYPERLINK("https://www.google.com/search?q=Grantsville+City+Library+Grantsville+UT+library+website","Search")</f>
        <v>Search</v>
      </c>
      <c r="L3529" s="7"/>
      <c r="M3529" s="7"/>
    </row>
    <row r="3530" customFormat="false" ht="15" hidden="false" customHeight="true" outlineLevel="0" collapsed="false">
      <c r="A3530" s="4" t="s">
        <v>13913</v>
      </c>
      <c r="B3530" s="4" t="s">
        <v>13948</v>
      </c>
      <c r="C3530" s="4" t="s">
        <v>6735</v>
      </c>
      <c r="D3530" s="4" t="s">
        <v>13916</v>
      </c>
      <c r="E3530" s="5" t="n">
        <v>19611</v>
      </c>
      <c r="F3530" s="4" t="n">
        <v>1</v>
      </c>
      <c r="G3530" s="4" t="s">
        <v>13949</v>
      </c>
      <c r="H3530" s="4" t="n">
        <v>40.42851</v>
      </c>
      <c r="I3530" s="4" t="n">
        <v>-111.7891</v>
      </c>
      <c r="J3530" s="4" t="s">
        <v>13950</v>
      </c>
      <c r="K3530" s="6" t="str">
        <f aca="false">HYPERLINK("https://www.google.com/search?q=Highland+City+Library+Highland+UT+library+website","Search")</f>
        <v>Search</v>
      </c>
      <c r="L3530" s="7"/>
      <c r="M3530" s="7"/>
    </row>
    <row r="3531" customFormat="false" ht="15" hidden="false" customHeight="true" outlineLevel="0" collapsed="false">
      <c r="A3531" s="4" t="s">
        <v>13913</v>
      </c>
      <c r="B3531" s="4" t="s">
        <v>13951</v>
      </c>
      <c r="C3531" s="4" t="s">
        <v>13952</v>
      </c>
      <c r="D3531" s="4" t="s">
        <v>13953</v>
      </c>
      <c r="E3531" s="5" t="n">
        <v>21678</v>
      </c>
      <c r="F3531" s="4" t="n">
        <v>1</v>
      </c>
      <c r="G3531" s="4" t="s">
        <v>13954</v>
      </c>
      <c r="H3531" s="4" t="n">
        <v>41.63414</v>
      </c>
      <c r="I3531" s="4" t="n">
        <v>-111.85661</v>
      </c>
      <c r="J3531" s="4" t="s">
        <v>13955</v>
      </c>
      <c r="K3531" s="6" t="str">
        <f aca="false">HYPERLINK("https://www.google.com/search?q=Hyrum+Library+Hyrum+UT+library+website","Search")</f>
        <v>Search</v>
      </c>
      <c r="L3531" s="7"/>
      <c r="M3531" s="7"/>
    </row>
    <row r="3532" customFormat="false" ht="15" hidden="false" customHeight="true" outlineLevel="0" collapsed="false">
      <c r="A3532" s="4" t="s">
        <v>13913</v>
      </c>
      <c r="B3532" s="4" t="s">
        <v>13956</v>
      </c>
      <c r="C3532" s="4" t="s">
        <v>13957</v>
      </c>
      <c r="D3532" s="4" t="s">
        <v>7509</v>
      </c>
      <c r="E3532" s="5" t="n">
        <v>19058</v>
      </c>
      <c r="F3532" s="4" t="n">
        <v>1</v>
      </c>
      <c r="G3532" s="4" t="s">
        <v>13958</v>
      </c>
      <c r="H3532" s="4" t="n">
        <v>37.76408</v>
      </c>
      <c r="I3532" s="4" t="n">
        <v>-113.04313</v>
      </c>
      <c r="J3532" s="4" t="s">
        <v>13959</v>
      </c>
      <c r="K3532" s="6" t="str">
        <f aca="false">HYPERLINK("https://www.google.com/search?q=Iron+County+Bookmobile+Library+Enoch+UT+library+website","Search")</f>
        <v>Search</v>
      </c>
      <c r="L3532" s="7"/>
      <c r="M3532" s="7"/>
    </row>
    <row r="3533" customFormat="false" ht="15" hidden="false" customHeight="true" outlineLevel="0" collapsed="false">
      <c r="A3533" s="4" t="s">
        <v>13913</v>
      </c>
      <c r="B3533" s="4" t="s">
        <v>13960</v>
      </c>
      <c r="C3533" s="4" t="s">
        <v>13961</v>
      </c>
      <c r="D3533" s="4" t="s">
        <v>13916</v>
      </c>
      <c r="E3533" s="5" t="n">
        <v>79978</v>
      </c>
      <c r="F3533" s="4" t="n">
        <v>1</v>
      </c>
      <c r="G3533" s="4" t="s">
        <v>13962</v>
      </c>
      <c r="H3533" s="4" t="n">
        <v>40.3893</v>
      </c>
      <c r="I3533" s="4" t="n">
        <v>-111.84914</v>
      </c>
      <c r="J3533" s="4" t="s">
        <v>13963</v>
      </c>
      <c r="K3533" s="6" t="str">
        <f aca="false">HYPERLINK("https://www.google.com/search?q=Lehi+City+Public+Library+Lehi+UT+library+website","Search")</f>
        <v>Search</v>
      </c>
      <c r="L3533" s="7"/>
      <c r="M3533" s="7"/>
    </row>
    <row r="3534" customFormat="false" ht="15" hidden="false" customHeight="true" outlineLevel="0" collapsed="false">
      <c r="A3534" s="4" t="s">
        <v>13913</v>
      </c>
      <c r="B3534" s="4" t="s">
        <v>13964</v>
      </c>
      <c r="C3534" s="4" t="s">
        <v>1763</v>
      </c>
      <c r="D3534" s="4" t="s">
        <v>13953</v>
      </c>
      <c r="E3534" s="5" t="n">
        <v>54436</v>
      </c>
      <c r="F3534" s="4" t="n">
        <v>1</v>
      </c>
      <c r="G3534" s="4" t="s">
        <v>13965</v>
      </c>
      <c r="H3534" s="4" t="n">
        <v>41.73641</v>
      </c>
      <c r="I3534" s="4" t="n">
        <v>-111.83487</v>
      </c>
      <c r="J3534" s="4" t="s">
        <v>13966</v>
      </c>
      <c r="K3534" s="6" t="str">
        <f aca="false">HYPERLINK("https://www.google.com/search?q=Logan+Library+Logan+UT+library+website","Search")</f>
        <v>Search</v>
      </c>
      <c r="L3534" s="7"/>
      <c r="M3534" s="7"/>
    </row>
    <row r="3535" customFormat="false" ht="15" hidden="false" customHeight="true" outlineLevel="0" collapsed="false">
      <c r="A3535" s="4" t="s">
        <v>13913</v>
      </c>
      <c r="B3535" s="4" t="s">
        <v>7487</v>
      </c>
      <c r="C3535" s="4" t="s">
        <v>156</v>
      </c>
      <c r="D3535" s="4" t="s">
        <v>156</v>
      </c>
      <c r="E3535" s="5" t="n">
        <v>12657</v>
      </c>
      <c r="F3535" s="4" t="n">
        <v>1</v>
      </c>
      <c r="G3535" s="4" t="s">
        <v>13967</v>
      </c>
      <c r="H3535" s="4" t="n">
        <v>41.03746</v>
      </c>
      <c r="I3535" s="4" t="n">
        <v>-111.67936</v>
      </c>
      <c r="J3535" s="4" t="s">
        <v>13968</v>
      </c>
      <c r="K3535" s="6" t="str">
        <f aca="false">HYPERLINK("https://www.google.com/search?q=Morgan+County+Library+Morgan+UT+library+website","Search")</f>
        <v>Search</v>
      </c>
      <c r="L3535" s="7"/>
      <c r="M3535" s="7"/>
    </row>
    <row r="3536" customFormat="false" ht="15" hidden="false" customHeight="true" outlineLevel="0" collapsed="false">
      <c r="A3536" s="4" t="s">
        <v>13913</v>
      </c>
      <c r="B3536" s="4" t="s">
        <v>13969</v>
      </c>
      <c r="C3536" s="4" t="s">
        <v>4862</v>
      </c>
      <c r="D3536" s="4" t="s">
        <v>13970</v>
      </c>
      <c r="E3536" s="5" t="n">
        <v>49729</v>
      </c>
      <c r="F3536" s="4" t="n">
        <v>1</v>
      </c>
      <c r="G3536" s="4" t="s">
        <v>13971</v>
      </c>
      <c r="H3536" s="4" t="n">
        <v>40.65604</v>
      </c>
      <c r="I3536" s="4" t="n">
        <v>-111.88608</v>
      </c>
      <c r="J3536" s="4" t="s">
        <v>13972</v>
      </c>
      <c r="K3536" s="6" t="str">
        <f aca="false">HYPERLINK("https://www.google.com/search?q=Murray+Public+Library+Murray+UT+library+website","Search")</f>
        <v>Search</v>
      </c>
      <c r="L3536" s="7"/>
      <c r="M3536" s="8" t="str">
        <f aca="false">HYPERLINK("https://murraylibrary.overdrive.com","https://murraylibrary.overdrive.com")</f>
        <v>https://murraylibrary.overdrive.com</v>
      </c>
    </row>
    <row r="3537" customFormat="false" ht="15" hidden="false" customHeight="true" outlineLevel="0" collapsed="false">
      <c r="A3537" s="4" t="s">
        <v>13913</v>
      </c>
      <c r="B3537" s="4" t="s">
        <v>13973</v>
      </c>
      <c r="C3537" s="4" t="s">
        <v>13974</v>
      </c>
      <c r="D3537" s="4" t="s">
        <v>13953</v>
      </c>
      <c r="E3537" s="5" t="n">
        <v>11155</v>
      </c>
      <c r="F3537" s="4" t="n">
        <v>1</v>
      </c>
      <c r="G3537" s="4" t="s">
        <v>13975</v>
      </c>
      <c r="H3537" s="4" t="n">
        <v>41.77775</v>
      </c>
      <c r="I3537" s="4" t="n">
        <v>-111.82066</v>
      </c>
      <c r="J3537" s="4" t="s">
        <v>13976</v>
      </c>
      <c r="K3537" s="6" t="str">
        <f aca="false">HYPERLINK("https://www.google.com/search?q=North+Logan+City+Library+North+Logan+UT+library+website","Search")</f>
        <v>Search</v>
      </c>
      <c r="L3537" s="7"/>
      <c r="M3537" s="7"/>
    </row>
    <row r="3538" customFormat="false" ht="15" hidden="false" customHeight="true" outlineLevel="0" collapsed="false">
      <c r="A3538" s="4" t="s">
        <v>13913</v>
      </c>
      <c r="B3538" s="4" t="s">
        <v>13977</v>
      </c>
      <c r="C3538" s="4" t="s">
        <v>13978</v>
      </c>
      <c r="D3538" s="4" t="s">
        <v>13916</v>
      </c>
      <c r="E3538" s="5" t="n">
        <v>97861</v>
      </c>
      <c r="F3538" s="4" t="n">
        <v>1</v>
      </c>
      <c r="G3538" s="4" t="s">
        <v>13979</v>
      </c>
      <c r="H3538" s="4" t="n">
        <v>40.29793</v>
      </c>
      <c r="I3538" s="4" t="n">
        <v>-111.69533</v>
      </c>
      <c r="J3538" s="4" t="s">
        <v>13980</v>
      </c>
      <c r="K3538" s="6" t="str">
        <f aca="false">HYPERLINK("https://www.google.com/search?q=Orem+Public+Library+Orem+UT+library+website","Search")</f>
        <v>Search</v>
      </c>
      <c r="L3538" s="7"/>
      <c r="M3538" s="7"/>
    </row>
    <row r="3539" customFormat="false" ht="15" hidden="false" customHeight="true" outlineLevel="0" collapsed="false">
      <c r="A3539" s="4" t="s">
        <v>13913</v>
      </c>
      <c r="B3539" s="4" t="s">
        <v>13981</v>
      </c>
      <c r="C3539" s="4" t="s">
        <v>792</v>
      </c>
      <c r="D3539" s="4" t="s">
        <v>13916</v>
      </c>
      <c r="E3539" s="5" t="n">
        <v>22142</v>
      </c>
      <c r="F3539" s="4" t="n">
        <v>1</v>
      </c>
      <c r="G3539" s="4" t="s">
        <v>13982</v>
      </c>
      <c r="H3539" s="4" t="n">
        <v>40.04298</v>
      </c>
      <c r="I3539" s="4" t="n">
        <v>-111.7323</v>
      </c>
      <c r="J3539" s="4" t="s">
        <v>13983</v>
      </c>
      <c r="K3539" s="6" t="str">
        <f aca="false">HYPERLINK("https://www.google.com/search?q=Payson+City+Library+Payson+UT+library+website","Search")</f>
        <v>Search</v>
      </c>
      <c r="L3539" s="7"/>
      <c r="M3539" s="7"/>
    </row>
    <row r="3540" customFormat="false" ht="15" hidden="false" customHeight="true" outlineLevel="0" collapsed="false">
      <c r="A3540" s="4" t="s">
        <v>13913</v>
      </c>
      <c r="B3540" s="4" t="s">
        <v>13984</v>
      </c>
      <c r="C3540" s="4" t="s">
        <v>13985</v>
      </c>
      <c r="D3540" s="4" t="s">
        <v>13916</v>
      </c>
      <c r="E3540" s="5" t="n">
        <v>37949</v>
      </c>
      <c r="F3540" s="4" t="n">
        <v>1</v>
      </c>
      <c r="G3540" s="4" t="s">
        <v>13986</v>
      </c>
      <c r="H3540" s="4" t="n">
        <v>40.36388</v>
      </c>
      <c r="I3540" s="4" t="n">
        <v>-111.74009</v>
      </c>
      <c r="J3540" s="4" t="s">
        <v>13987</v>
      </c>
      <c r="K3540" s="6" t="str">
        <f aca="false">HYPERLINK("https://www.google.com/search?q=Pleasant+Grove+Public+Library+Pleasant+Grove+UT+library+website","Search")</f>
        <v>Search</v>
      </c>
      <c r="L3540" s="7"/>
      <c r="M3540" s="7"/>
    </row>
    <row r="3541" customFormat="false" ht="15" hidden="false" customHeight="true" outlineLevel="0" collapsed="false">
      <c r="A3541" s="4" t="s">
        <v>13913</v>
      </c>
      <c r="B3541" s="4" t="s">
        <v>13988</v>
      </c>
      <c r="C3541" s="4" t="s">
        <v>13989</v>
      </c>
      <c r="D3541" s="4" t="s">
        <v>13916</v>
      </c>
      <c r="E3541" s="5" t="n">
        <v>114084</v>
      </c>
      <c r="F3541" s="4" t="n">
        <v>1</v>
      </c>
      <c r="G3541" s="4" t="s">
        <v>13990</v>
      </c>
      <c r="H3541" s="4" t="n">
        <v>40.24105</v>
      </c>
      <c r="I3541" s="4" t="n">
        <v>-111.65863</v>
      </c>
      <c r="J3541" s="4" t="s">
        <v>13991</v>
      </c>
      <c r="K3541" s="6" t="str">
        <f aca="false">HYPERLINK("https://www.google.com/search?q=Provo+City+Library+Provo+UT+library+website","Search")</f>
        <v>Search</v>
      </c>
      <c r="L3541" s="7"/>
      <c r="M3541" s="7"/>
    </row>
    <row r="3542" customFormat="false" ht="15" hidden="false" customHeight="true" outlineLevel="0" collapsed="false">
      <c r="A3542" s="4" t="s">
        <v>13913</v>
      </c>
      <c r="B3542" s="4" t="s">
        <v>13992</v>
      </c>
      <c r="C3542" s="4" t="s">
        <v>13993</v>
      </c>
      <c r="D3542" s="4" t="s">
        <v>13970</v>
      </c>
      <c r="E3542" s="5" t="n">
        <v>200478</v>
      </c>
      <c r="F3542" s="4" t="n">
        <v>8</v>
      </c>
      <c r="G3542" s="4" t="s">
        <v>13994</v>
      </c>
      <c r="H3542" s="4" t="n">
        <v>40.76054</v>
      </c>
      <c r="I3542" s="4" t="n">
        <v>-111.88443</v>
      </c>
      <c r="J3542" s="4" t="s">
        <v>13995</v>
      </c>
      <c r="K3542" s="6" t="str">
        <f aca="false">HYPERLINK("https://www.google.com/search?q=Salt+Lake+City+Public+Library+System+Salt+Lake+City+UT+library+website","Search")</f>
        <v>Search</v>
      </c>
      <c r="L3542" s="7"/>
      <c r="M3542" s="8" t="str">
        <f aca="false">HYPERLINK("https://slcpl.overdrive.com","https://slcpl.overdrive.com")</f>
        <v>https://slcpl.overdrive.com</v>
      </c>
    </row>
    <row r="3543" customFormat="false" ht="15" hidden="false" customHeight="true" outlineLevel="0" collapsed="false">
      <c r="A3543" s="4" t="s">
        <v>13913</v>
      </c>
      <c r="B3543" s="4" t="s">
        <v>13996</v>
      </c>
      <c r="C3543" s="4" t="s">
        <v>13997</v>
      </c>
      <c r="D3543" s="4" t="s">
        <v>13970</v>
      </c>
      <c r="E3543" s="5" t="n">
        <v>902874</v>
      </c>
      <c r="F3543" s="4" t="n">
        <v>20</v>
      </c>
      <c r="G3543" s="4" t="s">
        <v>13998</v>
      </c>
      <c r="H3543" s="4" t="n">
        <v>40.60518</v>
      </c>
      <c r="I3543" s="4" t="n">
        <v>-111.94135</v>
      </c>
      <c r="J3543" s="4" t="s">
        <v>13999</v>
      </c>
      <c r="K3543" s="6" t="str">
        <f aca="false">HYPERLINK("https://www.google.com/search?q=Salt+Lake+County+Library+West+Jordan+UT+library+website","Search")</f>
        <v>Search</v>
      </c>
      <c r="L3543" s="7"/>
      <c r="M3543" s="7"/>
    </row>
    <row r="3544" customFormat="false" ht="15" hidden="false" customHeight="true" outlineLevel="0" collapsed="false">
      <c r="A3544" s="4" t="s">
        <v>13913</v>
      </c>
      <c r="B3544" s="4" t="s">
        <v>14000</v>
      </c>
      <c r="C3544" s="4" t="s">
        <v>14001</v>
      </c>
      <c r="D3544" s="4" t="s">
        <v>9132</v>
      </c>
      <c r="E3544" s="5" t="n">
        <v>14489</v>
      </c>
      <c r="F3544" s="4" t="n">
        <v>5</v>
      </c>
      <c r="G3544" s="4" t="s">
        <v>14002</v>
      </c>
      <c r="H3544" s="4" t="n">
        <v>37.62107</v>
      </c>
      <c r="I3544" s="4" t="n">
        <v>-109.47842</v>
      </c>
      <c r="J3544" s="4" t="s">
        <v>14003</v>
      </c>
      <c r="K3544" s="6" t="str">
        <f aca="false">HYPERLINK("https://www.google.com/search?q=San+Juan+County+Library+Blanding+UT+library+website","Search")</f>
        <v>Search</v>
      </c>
      <c r="L3544" s="7"/>
      <c r="M3544" s="7"/>
    </row>
    <row r="3545" customFormat="false" ht="15" hidden="false" customHeight="true" outlineLevel="0" collapsed="false">
      <c r="A3545" s="4" t="s">
        <v>13913</v>
      </c>
      <c r="B3545" s="4" t="s">
        <v>14004</v>
      </c>
      <c r="C3545" s="4" t="s">
        <v>8563</v>
      </c>
      <c r="D3545" s="4" t="s">
        <v>14005</v>
      </c>
      <c r="E3545" s="5" t="n">
        <v>13836</v>
      </c>
      <c r="F3545" s="4" t="n">
        <v>1</v>
      </c>
      <c r="G3545" s="4" t="s">
        <v>14006</v>
      </c>
      <c r="H3545" s="4" t="n">
        <v>39.62691</v>
      </c>
      <c r="I3545" s="4" t="n">
        <v>-111.43923</v>
      </c>
      <c r="J3545" s="4" t="s">
        <v>14007</v>
      </c>
      <c r="K3545" s="6" t="str">
        <f aca="false">HYPERLINK("https://www.google.com/search?q=Sanpete+County+Bookmobile+Library+Fairview+UT+library+website","Search")</f>
        <v>Search</v>
      </c>
      <c r="L3545" s="7"/>
      <c r="M3545" s="7"/>
    </row>
    <row r="3546" customFormat="false" ht="15" hidden="false" customHeight="true" outlineLevel="0" collapsed="false">
      <c r="A3546" s="4" t="s">
        <v>13913</v>
      </c>
      <c r="B3546" s="4" t="s">
        <v>14008</v>
      </c>
      <c r="C3546" s="4" t="s">
        <v>14009</v>
      </c>
      <c r="D3546" s="4" t="s">
        <v>13916</v>
      </c>
      <c r="E3546" s="5" t="n">
        <v>15379</v>
      </c>
      <c r="F3546" s="4" t="n">
        <v>1</v>
      </c>
      <c r="G3546" s="4" t="s">
        <v>14010</v>
      </c>
      <c r="H3546" s="4" t="n">
        <v>39.97402</v>
      </c>
      <c r="I3546" s="4" t="n">
        <v>-111.78562</v>
      </c>
      <c r="J3546" s="4" t="s">
        <v>14011</v>
      </c>
      <c r="K3546" s="6" t="str">
        <f aca="false">HYPERLINK("https://www.google.com/search?q=Santaquin+City+Library+Santaquin+UT+library+website","Search")</f>
        <v>Search</v>
      </c>
      <c r="L3546" s="7"/>
      <c r="M3546" s="7"/>
    </row>
    <row r="3547" customFormat="false" ht="15" hidden="false" customHeight="true" outlineLevel="0" collapsed="false">
      <c r="A3547" s="4" t="s">
        <v>13913</v>
      </c>
      <c r="B3547" s="4" t="s">
        <v>10066</v>
      </c>
      <c r="C3547" s="4" t="s">
        <v>10067</v>
      </c>
      <c r="D3547" s="4" t="s">
        <v>13916</v>
      </c>
      <c r="E3547" s="5" t="n">
        <v>44164</v>
      </c>
      <c r="F3547" s="4" t="n">
        <v>1</v>
      </c>
      <c r="G3547" s="4" t="s">
        <v>14012</v>
      </c>
      <c r="H3547" s="4" t="n">
        <v>40.3865</v>
      </c>
      <c r="I3547" s="4" t="n">
        <v>-111.91276</v>
      </c>
      <c r="J3547" s="4" t="s">
        <v>14013</v>
      </c>
      <c r="K3547" s="6" t="str">
        <f aca="false">HYPERLINK("https://www.google.com/search?q=Saratoga+Springs+Public+Library+Saratoga+Springs+UT+library+website","Search")</f>
        <v>Search</v>
      </c>
      <c r="L3547" s="7"/>
      <c r="M3547" s="7"/>
    </row>
    <row r="3548" customFormat="false" ht="15" hidden="false" customHeight="true" outlineLevel="0" collapsed="false">
      <c r="A3548" s="4" t="s">
        <v>13913</v>
      </c>
      <c r="B3548" s="4" t="s">
        <v>14014</v>
      </c>
      <c r="C3548" s="4" t="s">
        <v>8113</v>
      </c>
      <c r="D3548" s="4" t="s">
        <v>13953</v>
      </c>
      <c r="E3548" s="5" t="n">
        <v>14067</v>
      </c>
      <c r="F3548" s="4" t="n">
        <v>1</v>
      </c>
      <c r="G3548" s="4" t="s">
        <v>14015</v>
      </c>
      <c r="H3548" s="4" t="n">
        <v>41.83707</v>
      </c>
      <c r="I3548" s="4" t="n">
        <v>-111.83271</v>
      </c>
      <c r="J3548" s="4" t="s">
        <v>14016</v>
      </c>
      <c r="K3548" s="6" t="str">
        <f aca="false">HYPERLINK("https://www.google.com/search?q=Smithfield+Library+Smithfield+UT+library+website","Search")</f>
        <v>Search</v>
      </c>
      <c r="L3548" s="7"/>
      <c r="M3548" s="7"/>
    </row>
    <row r="3549" customFormat="false" ht="15" hidden="false" customHeight="true" outlineLevel="0" collapsed="false">
      <c r="A3549" s="4" t="s">
        <v>13913</v>
      </c>
      <c r="B3549" s="4" t="s">
        <v>14017</v>
      </c>
      <c r="C3549" s="4" t="s">
        <v>14018</v>
      </c>
      <c r="D3549" s="4" t="s">
        <v>13916</v>
      </c>
      <c r="E3549" s="5" t="n">
        <v>43870</v>
      </c>
      <c r="F3549" s="4" t="n">
        <v>1</v>
      </c>
      <c r="G3549" s="4" t="s">
        <v>14019</v>
      </c>
      <c r="H3549" s="4" t="n">
        <v>40.10914</v>
      </c>
      <c r="I3549" s="4" t="n">
        <v>-111.65476</v>
      </c>
      <c r="J3549" s="4" t="s">
        <v>14020</v>
      </c>
      <c r="K3549" s="6" t="str">
        <f aca="false">HYPERLINK("https://www.google.com/search?q=Spanish+Fork+Public+Library+Spanish+Fork+UT+library+website","Search")</f>
        <v>Search</v>
      </c>
      <c r="L3549" s="7"/>
      <c r="M3549" s="7"/>
    </row>
    <row r="3550" customFormat="false" ht="15" hidden="false" customHeight="true" outlineLevel="0" collapsed="false">
      <c r="A3550" s="4" t="s">
        <v>13913</v>
      </c>
      <c r="B3550" s="4" t="s">
        <v>401</v>
      </c>
      <c r="C3550" s="4" t="s">
        <v>402</v>
      </c>
      <c r="D3550" s="4" t="s">
        <v>13916</v>
      </c>
      <c r="E3550" s="5" t="n">
        <v>36135</v>
      </c>
      <c r="F3550" s="4" t="n">
        <v>1</v>
      </c>
      <c r="G3550" s="4" t="s">
        <v>14021</v>
      </c>
      <c r="H3550" s="4" t="n">
        <v>40.16636</v>
      </c>
      <c r="I3550" s="4" t="n">
        <v>-111.61062</v>
      </c>
      <c r="J3550" s="4" t="s">
        <v>14022</v>
      </c>
      <c r="K3550" s="6" t="str">
        <f aca="false">HYPERLINK("https://www.google.com/search?q=Springville+Public+Library+Springville+UT+library+website","Search")</f>
        <v>Search</v>
      </c>
      <c r="L3550" s="7"/>
      <c r="M3550" s="7"/>
    </row>
    <row r="3551" customFormat="false" ht="15" hidden="false" customHeight="true" outlineLevel="0" collapsed="false">
      <c r="A3551" s="4" t="s">
        <v>13913</v>
      </c>
      <c r="B3551" s="4" t="s">
        <v>1766</v>
      </c>
      <c r="C3551" s="4" t="s">
        <v>14023</v>
      </c>
      <c r="D3551" s="4" t="s">
        <v>1768</v>
      </c>
      <c r="E3551" s="5" t="n">
        <v>34636</v>
      </c>
      <c r="F3551" s="4" t="n">
        <v>3</v>
      </c>
      <c r="G3551" s="4" t="s">
        <v>14024</v>
      </c>
      <c r="H3551" s="4" t="n">
        <v>40.72446</v>
      </c>
      <c r="I3551" s="4" t="n">
        <v>-111.54606</v>
      </c>
      <c r="J3551" s="4" t="s">
        <v>14025</v>
      </c>
      <c r="K3551" s="6" t="str">
        <f aca="false">HYPERLINK("https://www.google.com/search?q=Summit+County+Library+Park+City+UT+library+website","Search")</f>
        <v>Search</v>
      </c>
      <c r="L3551" s="7"/>
      <c r="M3551" s="7"/>
    </row>
    <row r="3552" customFormat="false" ht="15" hidden="false" customHeight="true" outlineLevel="0" collapsed="false">
      <c r="A3552" s="4" t="s">
        <v>13913</v>
      </c>
      <c r="B3552" s="4" t="s">
        <v>14026</v>
      </c>
      <c r="C3552" s="4" t="s">
        <v>13945</v>
      </c>
      <c r="D3552" s="4" t="s">
        <v>13945</v>
      </c>
      <c r="E3552" s="5" t="n">
        <v>36135</v>
      </c>
      <c r="F3552" s="4" t="n">
        <v>1</v>
      </c>
      <c r="G3552" s="4" t="s">
        <v>14027</v>
      </c>
      <c r="H3552" s="4" t="n">
        <v>40.53064</v>
      </c>
      <c r="I3552" s="4" t="n">
        <v>-112.30211</v>
      </c>
      <c r="J3552" s="4" t="s">
        <v>14028</v>
      </c>
      <c r="K3552" s="6" t="str">
        <f aca="false">HYPERLINK("https://www.google.com/search?q=Tooele+City+Public+Library+Tooele+UT+library+website","Search")</f>
        <v>Search</v>
      </c>
      <c r="L3552" s="7"/>
      <c r="M3552" s="7"/>
    </row>
    <row r="3553" customFormat="false" ht="15" hidden="false" customHeight="true" outlineLevel="0" collapsed="false">
      <c r="A3553" s="4" t="s">
        <v>13913</v>
      </c>
      <c r="B3553" s="4" t="s">
        <v>14029</v>
      </c>
      <c r="C3553" s="4" t="s">
        <v>14030</v>
      </c>
      <c r="D3553" s="4" t="s">
        <v>13920</v>
      </c>
      <c r="E3553" s="5" t="n">
        <v>10493</v>
      </c>
      <c r="F3553" s="4" t="n">
        <v>1</v>
      </c>
      <c r="G3553" s="4" t="s">
        <v>14031</v>
      </c>
      <c r="H3553" s="4" t="n">
        <v>41.71455</v>
      </c>
      <c r="I3553" s="4" t="n">
        <v>-112.16621</v>
      </c>
      <c r="J3553" s="4" t="s">
        <v>14032</v>
      </c>
      <c r="K3553" s="6" t="str">
        <f aca="false">HYPERLINK("https://www.google.com/search?q=Tremonton+City+Library+Tremonton+UT+library+website","Search")</f>
        <v>Search</v>
      </c>
      <c r="L3553" s="7"/>
      <c r="M3553" s="7"/>
    </row>
    <row r="3554" customFormat="false" ht="15" hidden="false" customHeight="true" outlineLevel="0" collapsed="false">
      <c r="A3554" s="4" t="s">
        <v>13913</v>
      </c>
      <c r="B3554" s="4" t="s">
        <v>14033</v>
      </c>
      <c r="C3554" s="4" t="s">
        <v>14034</v>
      </c>
      <c r="D3554" s="4" t="s">
        <v>14035</v>
      </c>
      <c r="E3554" s="5" t="n">
        <v>36204</v>
      </c>
      <c r="F3554" s="4" t="n">
        <v>2</v>
      </c>
      <c r="G3554" s="4" t="s">
        <v>14036</v>
      </c>
      <c r="H3554" s="4" t="n">
        <v>40.45718</v>
      </c>
      <c r="I3554" s="4" t="n">
        <v>-109.52479</v>
      </c>
      <c r="J3554" s="4" t="s">
        <v>14037</v>
      </c>
      <c r="K3554" s="6" t="str">
        <f aca="false">HYPERLINK("https://www.google.com/search?q=Uintah+County+Library+Vernal+UT+library+website","Search")</f>
        <v>Search</v>
      </c>
      <c r="L3554" s="7"/>
      <c r="M3554" s="7"/>
    </row>
    <row r="3555" customFormat="false" ht="15" hidden="false" customHeight="true" outlineLevel="0" collapsed="false">
      <c r="A3555" s="4" t="s">
        <v>13913</v>
      </c>
      <c r="B3555" s="4" t="s">
        <v>14038</v>
      </c>
      <c r="C3555" s="4" t="s">
        <v>14039</v>
      </c>
      <c r="D3555" s="4" t="s">
        <v>13916</v>
      </c>
      <c r="E3555" s="5" t="n">
        <v>76477</v>
      </c>
      <c r="F3555" s="4" t="n">
        <v>1</v>
      </c>
      <c r="G3555" s="4" t="s">
        <v>14040</v>
      </c>
      <c r="H3555" s="4" t="n">
        <v>40.13398</v>
      </c>
      <c r="I3555" s="4" t="n">
        <v>-111.58101</v>
      </c>
      <c r="J3555" s="4" t="s">
        <v>14041</v>
      </c>
      <c r="K3555" s="6" t="str">
        <f aca="false">HYPERLINK("https://www.google.com/search?q=Utah+County+Bookmobile+Library+Mapleton+UT+library+website","Search")</f>
        <v>Search</v>
      </c>
      <c r="L3555" s="7"/>
      <c r="M3555" s="7"/>
    </row>
    <row r="3556" customFormat="false" ht="15" hidden="false" customHeight="true" outlineLevel="0" collapsed="false">
      <c r="A3556" s="4" t="s">
        <v>13913</v>
      </c>
      <c r="B3556" s="4" t="s">
        <v>14042</v>
      </c>
      <c r="C3556" s="4" t="s">
        <v>14043</v>
      </c>
      <c r="D3556" s="4" t="s">
        <v>14044</v>
      </c>
      <c r="E3556" s="5" t="n">
        <v>36173</v>
      </c>
      <c r="F3556" s="4" t="n">
        <v>1</v>
      </c>
      <c r="G3556" s="4" t="s">
        <v>14045</v>
      </c>
      <c r="H3556" s="4" t="n">
        <v>40.49283</v>
      </c>
      <c r="I3556" s="4" t="n">
        <v>-111.40565</v>
      </c>
      <c r="J3556" s="4" t="s">
        <v>14046</v>
      </c>
      <c r="K3556" s="6" t="str">
        <f aca="false">HYPERLINK("https://www.google.com/search?q=Wasatch+County+Library+Heber+City+UT+library+website","Search")</f>
        <v>Search</v>
      </c>
      <c r="L3556" s="7"/>
      <c r="M3556" s="7"/>
    </row>
    <row r="3557" customFormat="false" ht="15" hidden="false" customHeight="true" outlineLevel="0" collapsed="false">
      <c r="A3557" s="4" t="s">
        <v>13913</v>
      </c>
      <c r="B3557" s="4" t="s">
        <v>650</v>
      </c>
      <c r="C3557" s="4" t="s">
        <v>12353</v>
      </c>
      <c r="D3557" s="4" t="s">
        <v>441</v>
      </c>
      <c r="E3557" s="5" t="n">
        <v>191226</v>
      </c>
      <c r="F3557" s="4" t="n">
        <v>8</v>
      </c>
      <c r="G3557" s="4" t="s">
        <v>14047</v>
      </c>
      <c r="H3557" s="4" t="n">
        <v>37.10685</v>
      </c>
      <c r="I3557" s="4" t="n">
        <v>-113.58538</v>
      </c>
      <c r="J3557" s="4" t="s">
        <v>14048</v>
      </c>
      <c r="K3557" s="6" t="str">
        <f aca="false">HYPERLINK("https://www.google.com/search?q=Washington+County+Library+System+St.+George+UT+library+website","Search")</f>
        <v>Search</v>
      </c>
      <c r="L3557" s="7"/>
      <c r="M3557" s="7"/>
    </row>
    <row r="3558" customFormat="false" ht="15" hidden="false" customHeight="true" outlineLevel="0" collapsed="false">
      <c r="A3558" s="4" t="s">
        <v>13913</v>
      </c>
      <c r="B3558" s="4" t="s">
        <v>14049</v>
      </c>
      <c r="C3558" s="4" t="s">
        <v>14050</v>
      </c>
      <c r="D3558" s="4" t="s">
        <v>14051</v>
      </c>
      <c r="E3558" s="5" t="n">
        <v>267066</v>
      </c>
      <c r="F3558" s="4" t="n">
        <v>5</v>
      </c>
      <c r="G3558" s="4" t="s">
        <v>14052</v>
      </c>
      <c r="H3558" s="4" t="n">
        <v>41.19066</v>
      </c>
      <c r="I3558" s="4" t="n">
        <v>-112.02918</v>
      </c>
      <c r="J3558" s="4" t="s">
        <v>14053</v>
      </c>
      <c r="K3558" s="6" t="str">
        <f aca="false">HYPERLINK("https://www.google.com/search?q=Weber+County+Library+System+Roy+UT+library+website","Search")</f>
        <v>Search</v>
      </c>
      <c r="L3558" s="7"/>
      <c r="M3558" s="7"/>
    </row>
    <row r="3559" customFormat="false" ht="15" hidden="false" customHeight="true" outlineLevel="0" collapsed="false">
      <c r="A3559" s="4" t="s">
        <v>14054</v>
      </c>
      <c r="B3559" s="4" t="s">
        <v>14055</v>
      </c>
      <c r="C3559" s="4" t="s">
        <v>5373</v>
      </c>
      <c r="D3559" s="4" t="s">
        <v>5373</v>
      </c>
      <c r="E3559" s="5" t="n">
        <v>159152</v>
      </c>
      <c r="F3559" s="4" t="n">
        <v>7</v>
      </c>
      <c r="G3559" s="4" t="s">
        <v>14056</v>
      </c>
      <c r="H3559" s="4" t="n">
        <v>38.81192</v>
      </c>
      <c r="I3559" s="4" t="n">
        <v>-77.1172</v>
      </c>
      <c r="J3559" s="4" t="s">
        <v>14057</v>
      </c>
      <c r="K3559" s="6" t="str">
        <f aca="false">HYPERLINK("https://www.google.com/search?q=Alexandria+Library+Alexandria+VA+library+website","Search")</f>
        <v>Search</v>
      </c>
      <c r="L3559" s="7"/>
      <c r="M3559" s="8" t="str">
        <f aca="false">HYPERLINK("https://alexandria.overdrive.com","https://alexandria.overdrive.com")</f>
        <v>https://alexandria.overdrive.com</v>
      </c>
    </row>
    <row r="3560" customFormat="false" ht="15" hidden="false" customHeight="true" outlineLevel="0" collapsed="false">
      <c r="A3560" s="4" t="s">
        <v>14054</v>
      </c>
      <c r="B3560" s="4" t="s">
        <v>14058</v>
      </c>
      <c r="C3560" s="4" t="s">
        <v>68</v>
      </c>
      <c r="D3560" s="4" t="s">
        <v>68</v>
      </c>
      <c r="E3560" s="5" t="n">
        <v>20646</v>
      </c>
      <c r="F3560" s="4" t="n">
        <v>1</v>
      </c>
      <c r="G3560" s="4" t="s">
        <v>14059</v>
      </c>
      <c r="H3560" s="4" t="n">
        <v>37.79193</v>
      </c>
      <c r="I3560" s="4" t="n">
        <v>-79.9982</v>
      </c>
      <c r="J3560" s="4" t="s">
        <v>14060</v>
      </c>
      <c r="K3560" s="6" t="str">
        <f aca="false">HYPERLINK("https://www.google.com/search?q=Alleghany+Highlands+Regional+Library+Covington+VA+library+website","Search")</f>
        <v>Search</v>
      </c>
      <c r="L3560" s="7"/>
      <c r="M3560" s="7"/>
    </row>
    <row r="3561" customFormat="false" ht="15" hidden="false" customHeight="true" outlineLevel="0" collapsed="false">
      <c r="A3561" s="4" t="s">
        <v>14054</v>
      </c>
      <c r="B3561" s="4" t="s">
        <v>14061</v>
      </c>
      <c r="C3561" s="4" t="s">
        <v>5767</v>
      </c>
      <c r="D3561" s="4" t="s">
        <v>5767</v>
      </c>
      <c r="E3561" s="5" t="n">
        <v>31766</v>
      </c>
      <c r="F3561" s="4" t="n">
        <v>2</v>
      </c>
      <c r="G3561" s="4" t="s">
        <v>14062</v>
      </c>
      <c r="H3561" s="4" t="n">
        <v>37.58097</v>
      </c>
      <c r="I3561" s="4" t="n">
        <v>-79.05832</v>
      </c>
      <c r="J3561" s="4" t="s">
        <v>14063</v>
      </c>
      <c r="K3561" s="6" t="str">
        <f aca="false">HYPERLINK("https://www.google.com/search?q=Amherst+County+Public+Library+Amherst+VA+library+website","Search")</f>
        <v>Search</v>
      </c>
      <c r="L3561" s="7"/>
      <c r="M3561" s="7"/>
    </row>
    <row r="3562" customFormat="false" ht="15" hidden="false" customHeight="true" outlineLevel="0" collapsed="false">
      <c r="A3562" s="4" t="s">
        <v>14054</v>
      </c>
      <c r="B3562" s="4" t="s">
        <v>14064</v>
      </c>
      <c r="C3562" s="4" t="s">
        <v>14065</v>
      </c>
      <c r="D3562" s="4" t="s">
        <v>14065</v>
      </c>
      <c r="E3562" s="5" t="n">
        <v>88735</v>
      </c>
      <c r="F3562" s="4" t="n">
        <v>8</v>
      </c>
      <c r="G3562" s="4" t="s">
        <v>14066</v>
      </c>
      <c r="H3562" s="4" t="n">
        <v>37.30505</v>
      </c>
      <c r="I3562" s="4" t="n">
        <v>-77.28648</v>
      </c>
      <c r="J3562" s="4" t="s">
        <v>14067</v>
      </c>
      <c r="K3562" s="6" t="str">
        <f aca="false">HYPERLINK("https://www.google.com/search?q=Appomattox+Regional+Library+System+Hopewell+VA+library+website","Search")</f>
        <v>Search</v>
      </c>
      <c r="L3562" s="7"/>
      <c r="M3562" s="7"/>
    </row>
    <row r="3563" customFormat="false" ht="15" hidden="false" customHeight="true" outlineLevel="0" collapsed="false">
      <c r="A3563" s="4" t="s">
        <v>14054</v>
      </c>
      <c r="B3563" s="4" t="s">
        <v>14068</v>
      </c>
      <c r="C3563" s="4" t="s">
        <v>5970</v>
      </c>
      <c r="D3563" s="4" t="s">
        <v>5970</v>
      </c>
      <c r="E3563" s="5" t="n">
        <v>242152</v>
      </c>
      <c r="F3563" s="4" t="n">
        <v>9</v>
      </c>
      <c r="G3563" s="4" t="s">
        <v>14069</v>
      </c>
      <c r="H3563" s="4" t="n">
        <v>38.88363</v>
      </c>
      <c r="I3563" s="4" t="n">
        <v>-77.10785</v>
      </c>
      <c r="J3563" s="4" t="s">
        <v>14070</v>
      </c>
      <c r="K3563" s="6" t="str">
        <f aca="false">HYPERLINK("https://www.google.com/search?q=Arlington+Dept.+Of+Libraries+Arlington+VA+library+website","Search")</f>
        <v>Search</v>
      </c>
      <c r="L3563" s="7"/>
      <c r="M3563" s="7"/>
    </row>
    <row r="3564" customFormat="false" ht="15" hidden="false" customHeight="true" outlineLevel="0" collapsed="false">
      <c r="A3564" s="4" t="s">
        <v>14054</v>
      </c>
      <c r="B3564" s="4" t="s">
        <v>14071</v>
      </c>
      <c r="C3564" s="4" t="s">
        <v>14072</v>
      </c>
      <c r="D3564" s="4" t="s">
        <v>2601</v>
      </c>
      <c r="E3564" s="5" t="n">
        <v>75831</v>
      </c>
      <c r="F3564" s="4" t="n">
        <v>7</v>
      </c>
      <c r="G3564" s="4" t="s">
        <v>14073</v>
      </c>
      <c r="H3564" s="4" t="n">
        <v>38.09944</v>
      </c>
      <c r="I3564" s="4" t="n">
        <v>-78.96998</v>
      </c>
      <c r="J3564" s="4" t="s">
        <v>14074</v>
      </c>
      <c r="K3564" s="6" t="str">
        <f aca="false">HYPERLINK("https://www.google.com/search?q=Augusta+County+Library+Fishersville+VA+library+website","Search")</f>
        <v>Search</v>
      </c>
      <c r="L3564" s="7"/>
      <c r="M3564" s="7"/>
    </row>
    <row r="3565" customFormat="false" ht="15" hidden="false" customHeight="true" outlineLevel="0" collapsed="false">
      <c r="A3565" s="4" t="s">
        <v>14054</v>
      </c>
      <c r="B3565" s="4" t="s">
        <v>14075</v>
      </c>
      <c r="C3565" s="4" t="s">
        <v>4269</v>
      </c>
      <c r="D3565" s="4" t="s">
        <v>4269</v>
      </c>
      <c r="E3565" s="5" t="n">
        <v>78581</v>
      </c>
      <c r="F3565" s="4" t="n">
        <v>6</v>
      </c>
      <c r="G3565" s="4" t="s">
        <v>14076</v>
      </c>
      <c r="H3565" s="4" t="n">
        <v>37.3375</v>
      </c>
      <c r="I3565" s="4" t="n">
        <v>-79.5222</v>
      </c>
      <c r="J3565" s="4" t="s">
        <v>14077</v>
      </c>
      <c r="K3565" s="6" t="str">
        <f aca="false">HYPERLINK("https://www.google.com/search?q=Bedford+Public+Library+System+Bedford+VA+library+website","Search")</f>
        <v>Search</v>
      </c>
      <c r="L3565" s="7"/>
      <c r="M3565" s="7"/>
    </row>
    <row r="3566" customFormat="false" ht="15" hidden="false" customHeight="true" outlineLevel="0" collapsed="false">
      <c r="A3566" s="4" t="s">
        <v>14054</v>
      </c>
      <c r="B3566" s="4" t="s">
        <v>14078</v>
      </c>
      <c r="C3566" s="4" t="s">
        <v>14079</v>
      </c>
      <c r="D3566" s="4" t="s">
        <v>10038</v>
      </c>
      <c r="E3566" s="5" t="n">
        <v>81775</v>
      </c>
      <c r="F3566" s="4" t="n">
        <v>9</v>
      </c>
      <c r="G3566" s="4" t="s">
        <v>14080</v>
      </c>
      <c r="H3566" s="4" t="n">
        <v>36.71154</v>
      </c>
      <c r="I3566" s="4" t="n">
        <v>-77.06277</v>
      </c>
      <c r="J3566" s="4" t="s">
        <v>14081</v>
      </c>
      <c r="K3566" s="6" t="str">
        <f aca="false">HYPERLINK("https://www.google.com/search?q=Blackwater+Regional+Library+Courtland+VA+library+website","Search")</f>
        <v>Search</v>
      </c>
      <c r="L3566" s="7"/>
      <c r="M3566" s="7"/>
    </row>
    <row r="3567" customFormat="false" ht="15" hidden="false" customHeight="true" outlineLevel="0" collapsed="false">
      <c r="A3567" s="4" t="s">
        <v>14054</v>
      </c>
      <c r="B3567" s="4" t="s">
        <v>14082</v>
      </c>
      <c r="C3567" s="4" t="s">
        <v>4504</v>
      </c>
      <c r="D3567" s="4" t="s">
        <v>4504</v>
      </c>
      <c r="E3567" s="5" t="n">
        <v>81564</v>
      </c>
      <c r="F3567" s="4" t="n">
        <v>5</v>
      </c>
      <c r="G3567" s="4" t="s">
        <v>14083</v>
      </c>
      <c r="H3567" s="4" t="n">
        <v>36.68908</v>
      </c>
      <c r="I3567" s="4" t="n">
        <v>-79.86616</v>
      </c>
      <c r="J3567" s="4" t="s">
        <v>14084</v>
      </c>
      <c r="K3567" s="6" t="str">
        <f aca="false">HYPERLINK("https://www.google.com/search?q=Blue+Ridge+Regional+Library+Martinsville+VA+library+website","Search")</f>
        <v>Search</v>
      </c>
      <c r="L3567" s="7"/>
      <c r="M3567" s="8" t="str">
        <f aca="false">HYPERLINK("https://brrl.overdrive.com","https://brrl.overdrive.com")</f>
        <v>https://brrl.overdrive.com</v>
      </c>
    </row>
    <row r="3568" customFormat="false" ht="15" hidden="false" customHeight="true" outlineLevel="0" collapsed="false">
      <c r="A3568" s="4" t="s">
        <v>14054</v>
      </c>
      <c r="B3568" s="4" t="s">
        <v>14085</v>
      </c>
      <c r="C3568" s="4" t="s">
        <v>14086</v>
      </c>
      <c r="D3568" s="4" t="s">
        <v>14087</v>
      </c>
      <c r="E3568" s="5" t="n">
        <v>33494</v>
      </c>
      <c r="F3568" s="4" t="n">
        <v>4</v>
      </c>
      <c r="G3568" s="4" t="s">
        <v>14088</v>
      </c>
      <c r="H3568" s="4" t="n">
        <v>37.32956</v>
      </c>
      <c r="I3568" s="4" t="n">
        <v>-79.86537</v>
      </c>
      <c r="J3568" s="4" t="s">
        <v>14089</v>
      </c>
      <c r="K3568" s="6" t="str">
        <f aca="false">HYPERLINK("https://www.google.com/search?q=Botetourt+County+Library+Roanoke+VA+library+website","Search")</f>
        <v>Search</v>
      </c>
      <c r="L3568" s="7"/>
      <c r="M3568" s="7"/>
    </row>
    <row r="3569" customFormat="false" ht="15" hidden="false" customHeight="true" outlineLevel="0" collapsed="false">
      <c r="A3569" s="4" t="s">
        <v>14054</v>
      </c>
      <c r="B3569" s="4" t="s">
        <v>1844</v>
      </c>
      <c r="C3569" s="4" t="s">
        <v>1845</v>
      </c>
      <c r="D3569" s="4" t="s">
        <v>1845</v>
      </c>
      <c r="E3569" s="5" t="n">
        <v>17018</v>
      </c>
      <c r="F3569" s="4" t="n">
        <v>2</v>
      </c>
      <c r="G3569" s="4" t="s">
        <v>14090</v>
      </c>
      <c r="H3569" s="4" t="n">
        <v>36.59569</v>
      </c>
      <c r="I3569" s="4" t="n">
        <v>-82.18558</v>
      </c>
      <c r="J3569" s="4" t="s">
        <v>14091</v>
      </c>
      <c r="K3569" s="6" t="str">
        <f aca="false">HYPERLINK("https://www.google.com/search?q=Bristol+Public+Library+Bristol+VA+library+website","Search")</f>
        <v>Search</v>
      </c>
      <c r="L3569" s="7"/>
      <c r="M3569" s="7"/>
    </row>
    <row r="3570" customFormat="false" ht="15" hidden="false" customHeight="true" outlineLevel="0" collapsed="false">
      <c r="A3570" s="4" t="s">
        <v>14054</v>
      </c>
      <c r="B3570" s="4" t="s">
        <v>14092</v>
      </c>
      <c r="C3570" s="4" t="s">
        <v>3459</v>
      </c>
      <c r="D3570" s="4" t="s">
        <v>3007</v>
      </c>
      <c r="E3570" s="5" t="n">
        <v>21295</v>
      </c>
      <c r="F3570" s="4" t="n">
        <v>1</v>
      </c>
      <c r="G3570" s="4" t="s">
        <v>14093</v>
      </c>
      <c r="H3570" s="4" t="n">
        <v>37.28287</v>
      </c>
      <c r="I3570" s="4" t="n">
        <v>-82.10803</v>
      </c>
      <c r="J3570" s="4" t="s">
        <v>14094</v>
      </c>
      <c r="K3570" s="6" t="str">
        <f aca="false">HYPERLINK("https://www.google.com/search?q=Buchanan+County+Public+Library+Grundy+VA+library+website","Search")</f>
        <v>Search</v>
      </c>
      <c r="L3570" s="7"/>
      <c r="M3570" s="7"/>
    </row>
    <row r="3571" customFormat="false" ht="15" hidden="false" customHeight="true" outlineLevel="0" collapsed="false">
      <c r="A3571" s="4" t="s">
        <v>14054</v>
      </c>
      <c r="B3571" s="4" t="s">
        <v>14095</v>
      </c>
      <c r="C3571" s="4" t="s">
        <v>14096</v>
      </c>
      <c r="D3571" s="4" t="s">
        <v>1428</v>
      </c>
      <c r="E3571" s="5" t="n">
        <v>55480</v>
      </c>
      <c r="F3571" s="4" t="n">
        <v>4</v>
      </c>
      <c r="G3571" s="4" t="s">
        <v>14097</v>
      </c>
      <c r="H3571" s="4" t="n">
        <v>37.27584</v>
      </c>
      <c r="I3571" s="4" t="n">
        <v>-79.10282</v>
      </c>
      <c r="J3571" s="4" t="s">
        <v>14098</v>
      </c>
      <c r="K3571" s="6" t="str">
        <f aca="false">HYPERLINK("https://www.google.com/search?q=Campbell+County+Public+Library+Rustburg+VA+library+website","Search")</f>
        <v>Search</v>
      </c>
      <c r="L3571" s="7"/>
      <c r="M3571" s="7"/>
    </row>
    <row r="3572" customFormat="false" ht="15" hidden="false" customHeight="true" outlineLevel="0" collapsed="false">
      <c r="A3572" s="4" t="s">
        <v>14054</v>
      </c>
      <c r="B3572" s="4" t="s">
        <v>14099</v>
      </c>
      <c r="C3572" s="4" t="s">
        <v>2008</v>
      </c>
      <c r="D3572" s="4" t="s">
        <v>6182</v>
      </c>
      <c r="E3572" s="5" t="n">
        <v>30318</v>
      </c>
      <c r="F3572" s="4" t="n">
        <v>4</v>
      </c>
      <c r="G3572" s="4" t="s">
        <v>14100</v>
      </c>
      <c r="H3572" s="4" t="n">
        <v>38.0245</v>
      </c>
      <c r="I3572" s="4" t="n">
        <v>-77.33964</v>
      </c>
      <c r="J3572" s="4" t="s">
        <v>14101</v>
      </c>
      <c r="K3572" s="6" t="str">
        <f aca="false">HYPERLINK("https://www.google.com/search?q=Caroline+County+Library+Milford+VA+library+website","Search")</f>
        <v>Search</v>
      </c>
      <c r="L3572" s="7"/>
      <c r="M3572" s="7"/>
    </row>
    <row r="3573" customFormat="false" ht="15" hidden="false" customHeight="true" outlineLevel="0" collapsed="false">
      <c r="A3573" s="4" t="s">
        <v>14054</v>
      </c>
      <c r="B3573" s="4" t="s">
        <v>14102</v>
      </c>
      <c r="C3573" s="4" t="s">
        <v>11777</v>
      </c>
      <c r="D3573" s="4" t="s">
        <v>14103</v>
      </c>
      <c r="E3573" s="5" t="n">
        <v>333831</v>
      </c>
      <c r="F3573" s="4" t="n">
        <v>10</v>
      </c>
      <c r="G3573" s="4" t="s">
        <v>14104</v>
      </c>
      <c r="H3573" s="4" t="n">
        <v>38.27135</v>
      </c>
      <c r="I3573" s="4" t="n">
        <v>-77.48085</v>
      </c>
      <c r="J3573" s="4" t="s">
        <v>14105</v>
      </c>
      <c r="K3573" s="6" t="str">
        <f aca="false">HYPERLINK("https://www.google.com/search?q=Central+Rappahannock+Regional+Library+Fredericksburg+VA+library+website","Search")</f>
        <v>Search</v>
      </c>
      <c r="L3573" s="7"/>
      <c r="M3573" s="8" t="str">
        <f aca="false">HYPERLINK("https://librarypoint.overdrive.com","https://librarypoint.overdrive.com")</f>
        <v>https://librarypoint.overdrive.com</v>
      </c>
    </row>
    <row r="3574" customFormat="false" ht="15" hidden="false" customHeight="true" outlineLevel="0" collapsed="false">
      <c r="A3574" s="4" t="s">
        <v>14054</v>
      </c>
      <c r="B3574" s="4" t="s">
        <v>14106</v>
      </c>
      <c r="C3574" s="4" t="s">
        <v>14107</v>
      </c>
      <c r="D3574" s="4" t="s">
        <v>14108</v>
      </c>
      <c r="E3574" s="5" t="n">
        <v>40034</v>
      </c>
      <c r="F3574" s="4" t="n">
        <v>2</v>
      </c>
      <c r="G3574" s="4" t="s">
        <v>14109</v>
      </c>
      <c r="H3574" s="4" t="n">
        <v>37.3043</v>
      </c>
      <c r="I3574" s="4" t="n">
        <v>-78.41263</v>
      </c>
      <c r="J3574" s="4" t="s">
        <v>14110</v>
      </c>
      <c r="K3574" s="6" t="str">
        <f aca="false">HYPERLINK("https://www.google.com/search?q=Central+Virginia+Regional+Library+Farmville+VA+library+website","Search")</f>
        <v>Search</v>
      </c>
      <c r="L3574" s="7"/>
      <c r="M3574" s="7"/>
    </row>
    <row r="3575" customFormat="false" ht="15" hidden="false" customHeight="true" outlineLevel="0" collapsed="false">
      <c r="A3575" s="4" t="s">
        <v>14054</v>
      </c>
      <c r="B3575" s="4" t="s">
        <v>14111</v>
      </c>
      <c r="C3575" s="4" t="s">
        <v>14112</v>
      </c>
      <c r="D3575" s="4" t="s">
        <v>2313</v>
      </c>
      <c r="E3575" s="5" t="n">
        <v>11928</v>
      </c>
      <c r="F3575" s="4" t="n">
        <v>4</v>
      </c>
      <c r="G3575" s="4" t="s">
        <v>14113</v>
      </c>
      <c r="H3575" s="4" t="n">
        <v>37.05565</v>
      </c>
      <c r="I3575" s="4" t="n">
        <v>-78.63776</v>
      </c>
      <c r="J3575" s="4" t="s">
        <v>14114</v>
      </c>
      <c r="K3575" s="6" t="str">
        <f aca="false">HYPERLINK("https://www.google.com/search?q=Charlotte+County+Library+Charlotte+Court+Hous+VA+library+website","Search")</f>
        <v>Search</v>
      </c>
      <c r="L3575" s="7"/>
      <c r="M3575" s="7"/>
    </row>
    <row r="3576" customFormat="false" ht="15" hidden="false" customHeight="true" outlineLevel="0" collapsed="false">
      <c r="A3576" s="4" t="s">
        <v>14054</v>
      </c>
      <c r="B3576" s="4" t="s">
        <v>14115</v>
      </c>
      <c r="C3576" s="4" t="s">
        <v>14116</v>
      </c>
      <c r="D3576" s="4" t="s">
        <v>14116</v>
      </c>
      <c r="E3576" s="5" t="n">
        <v>245745</v>
      </c>
      <c r="F3576" s="4" t="n">
        <v>7</v>
      </c>
      <c r="G3576" s="4" t="s">
        <v>14117</v>
      </c>
      <c r="H3576" s="4" t="n">
        <v>36.71433</v>
      </c>
      <c r="I3576" s="4" t="n">
        <v>-76.24712</v>
      </c>
      <c r="J3576" s="4" t="s">
        <v>14118</v>
      </c>
      <c r="K3576" s="6" t="str">
        <f aca="false">HYPERLINK("https://www.google.com/search?q=Chesapeake+Public+Library+Chesapeake+VA+library+website","Search")</f>
        <v>Search</v>
      </c>
      <c r="L3576" s="7"/>
      <c r="M3576" s="8" t="str">
        <f aca="false">HYPERLINK("https://chesapeake.overdrive.com","https://chesapeake.overdrive.com")</f>
        <v>https://chesapeake.overdrive.com</v>
      </c>
    </row>
    <row r="3577" customFormat="false" ht="15" hidden="false" customHeight="true" outlineLevel="0" collapsed="false">
      <c r="A3577" s="4" t="s">
        <v>14054</v>
      </c>
      <c r="B3577" s="4" t="s">
        <v>14119</v>
      </c>
      <c r="C3577" s="4" t="s">
        <v>6530</v>
      </c>
      <c r="D3577" s="4" t="s">
        <v>6530</v>
      </c>
      <c r="E3577" s="5" t="n">
        <v>350760</v>
      </c>
      <c r="F3577" s="4" t="n">
        <v>10</v>
      </c>
      <c r="G3577" s="4" t="s">
        <v>14120</v>
      </c>
      <c r="H3577" s="4" t="n">
        <v>37.38133</v>
      </c>
      <c r="I3577" s="4" t="n">
        <v>-77.5134</v>
      </c>
      <c r="J3577" s="4" t="s">
        <v>14121</v>
      </c>
      <c r="K3577" s="6" t="str">
        <f aca="false">HYPERLINK("https://www.google.com/search?q=Chesterfield+County+Public+Library+Chesterfield+VA+library+website","Search")</f>
        <v>Search</v>
      </c>
      <c r="L3577" s="7"/>
      <c r="M3577" s="7"/>
    </row>
    <row r="3578" customFormat="false" ht="15" hidden="false" customHeight="true" outlineLevel="0" collapsed="false">
      <c r="A3578" s="4" t="s">
        <v>14054</v>
      </c>
      <c r="B3578" s="4" t="s">
        <v>14122</v>
      </c>
      <c r="C3578" s="4" t="s">
        <v>14123</v>
      </c>
      <c r="D3578" s="4" t="s">
        <v>14123</v>
      </c>
      <c r="E3578" s="5" t="n">
        <v>17194</v>
      </c>
      <c r="F3578" s="4" t="n">
        <v>1</v>
      </c>
      <c r="G3578" s="4" t="s">
        <v>14124</v>
      </c>
      <c r="H3578" s="4" t="n">
        <v>37.26445</v>
      </c>
      <c r="I3578" s="4" t="n">
        <v>-77.39189</v>
      </c>
      <c r="J3578" s="4" t="s">
        <v>14125</v>
      </c>
      <c r="K3578" s="6" t="str">
        <f aca="false">HYPERLINK("https://www.google.com/search?q=Colonial+Heights+Public+Library+Colonial+Heights+VA+library+website","Search")</f>
        <v>Search</v>
      </c>
      <c r="L3578" s="7"/>
      <c r="M3578" s="7"/>
    </row>
    <row r="3579" customFormat="false" ht="15" hidden="false" customHeight="true" outlineLevel="0" collapsed="false">
      <c r="A3579" s="4" t="s">
        <v>14054</v>
      </c>
      <c r="B3579" s="4" t="s">
        <v>14126</v>
      </c>
      <c r="C3579" s="4" t="s">
        <v>14127</v>
      </c>
      <c r="D3579" s="4" t="s">
        <v>14127</v>
      </c>
      <c r="E3579" s="5" t="n">
        <v>51998</v>
      </c>
      <c r="F3579" s="4" t="n">
        <v>1</v>
      </c>
      <c r="G3579" s="4" t="s">
        <v>14128</v>
      </c>
      <c r="H3579" s="4" t="n">
        <v>38.46292</v>
      </c>
      <c r="I3579" s="4" t="n">
        <v>-78.00159</v>
      </c>
      <c r="J3579" s="4" t="s">
        <v>14129</v>
      </c>
      <c r="K3579" s="6" t="str">
        <f aca="false">HYPERLINK("https://www.google.com/search?q=Culpeper+County+Library+Culpeper+VA+library+website","Search")</f>
        <v>Search</v>
      </c>
      <c r="L3579" s="7"/>
      <c r="M3579" s="7"/>
    </row>
    <row r="3580" customFormat="false" ht="15" hidden="false" customHeight="true" outlineLevel="0" collapsed="false">
      <c r="A3580" s="4" t="s">
        <v>14054</v>
      </c>
      <c r="B3580" s="4" t="s">
        <v>3478</v>
      </c>
      <c r="C3580" s="4" t="s">
        <v>3479</v>
      </c>
      <c r="D3580" s="4" t="s">
        <v>3479</v>
      </c>
      <c r="E3580" s="5" t="n">
        <v>39932</v>
      </c>
      <c r="F3580" s="4" t="n">
        <v>1</v>
      </c>
      <c r="G3580" s="4" t="s">
        <v>14130</v>
      </c>
      <c r="H3580" s="4" t="n">
        <v>36.58605</v>
      </c>
      <c r="I3580" s="4" t="n">
        <v>-79.39288</v>
      </c>
      <c r="J3580" s="4" t="s">
        <v>14131</v>
      </c>
      <c r="K3580" s="6" t="str">
        <f aca="false">HYPERLINK("https://www.google.com/search?q=Danville+Public+Library+Danville+VA+library+website","Search")</f>
        <v>Search</v>
      </c>
      <c r="L3580" s="7"/>
      <c r="M3580" s="7"/>
    </row>
    <row r="3581" customFormat="false" ht="15" hidden="false" customHeight="true" outlineLevel="0" collapsed="false">
      <c r="A3581" s="4" t="s">
        <v>14054</v>
      </c>
      <c r="B3581" s="4" t="s">
        <v>14132</v>
      </c>
      <c r="C3581" s="4" t="s">
        <v>14133</v>
      </c>
      <c r="D3581" s="4" t="s">
        <v>14134</v>
      </c>
      <c r="E3581" s="5" t="n">
        <v>44371</v>
      </c>
      <c r="F3581" s="4" t="n">
        <v>4</v>
      </c>
      <c r="G3581" s="4" t="s">
        <v>14135</v>
      </c>
      <c r="H3581" s="4" t="n">
        <v>37.72044</v>
      </c>
      <c r="I3581" s="4" t="n">
        <v>-75.6622</v>
      </c>
      <c r="J3581" s="4" t="s">
        <v>14136</v>
      </c>
      <c r="K3581" s="6" t="str">
        <f aca="false">HYPERLINK("https://www.google.com/search?q=Eastern+Shore+Public+Library+Accomac+VA+library+website","Search")</f>
        <v>Search</v>
      </c>
      <c r="L3581" s="7"/>
      <c r="M3581" s="7"/>
    </row>
    <row r="3582" customFormat="false" ht="15" hidden="false" customHeight="true" outlineLevel="0" collapsed="false">
      <c r="A3582" s="4" t="s">
        <v>14054</v>
      </c>
      <c r="B3582" s="4" t="s">
        <v>14137</v>
      </c>
      <c r="C3582" s="4" t="s">
        <v>14138</v>
      </c>
      <c r="D3582" s="4" t="s">
        <v>5472</v>
      </c>
      <c r="E3582" s="5" t="n">
        <v>10765</v>
      </c>
      <c r="F3582" s="4" t="n">
        <v>1</v>
      </c>
      <c r="G3582" s="4" t="s">
        <v>14139</v>
      </c>
      <c r="H3582" s="4" t="n">
        <v>37.93014</v>
      </c>
      <c r="I3582" s="4" t="n">
        <v>-76.86218</v>
      </c>
      <c r="J3582" s="4" t="s">
        <v>14140</v>
      </c>
      <c r="K3582" s="6" t="str">
        <f aca="false">HYPERLINK("https://www.google.com/search?q=Essex+Public+Library+Tappahannock+VA+library+website","Search")</f>
        <v>Search</v>
      </c>
      <c r="L3582" s="7"/>
      <c r="M3582" s="7"/>
    </row>
    <row r="3583" customFormat="false" ht="15" hidden="false" customHeight="true" outlineLevel="0" collapsed="false">
      <c r="A3583" s="4" t="s">
        <v>14054</v>
      </c>
      <c r="B3583" s="4" t="s">
        <v>14141</v>
      </c>
      <c r="C3583" s="4" t="s">
        <v>14142</v>
      </c>
      <c r="D3583" s="4" t="s">
        <v>14142</v>
      </c>
      <c r="E3583" s="5" t="n">
        <v>1167471</v>
      </c>
      <c r="F3583" s="4" t="n">
        <v>23</v>
      </c>
      <c r="G3583" s="4" t="s">
        <v>14143</v>
      </c>
      <c r="H3583" s="4" t="n">
        <v>38.8541</v>
      </c>
      <c r="I3583" s="4" t="n">
        <v>-77.35655</v>
      </c>
      <c r="J3583" s="4" t="s">
        <v>14144</v>
      </c>
      <c r="K3583" s="6" t="str">
        <f aca="false">HYPERLINK("https://www.google.com/search?q=Fairfax+County+Public+Library+Fairfax+VA+library+website","Search")</f>
        <v>Search</v>
      </c>
      <c r="L3583" s="7"/>
      <c r="M3583" s="8" t="str">
        <f aca="false">HYPERLINK("https://fairfax.overdrive.com","https://fairfax.overdrive.com")</f>
        <v>https://fairfax.overdrive.com</v>
      </c>
    </row>
    <row r="3584" customFormat="false" ht="15" hidden="false" customHeight="true" outlineLevel="0" collapsed="false">
      <c r="A3584" s="4" t="s">
        <v>14054</v>
      </c>
      <c r="B3584" s="4" t="s">
        <v>14145</v>
      </c>
      <c r="C3584" s="4" t="s">
        <v>8180</v>
      </c>
      <c r="D3584" s="4" t="s">
        <v>14146</v>
      </c>
      <c r="E3584" s="5" t="n">
        <v>70580</v>
      </c>
      <c r="F3584" s="4" t="n">
        <v>3</v>
      </c>
      <c r="G3584" s="4" t="s">
        <v>14147</v>
      </c>
      <c r="H3584" s="4" t="n">
        <v>38.71443</v>
      </c>
      <c r="I3584" s="4" t="n">
        <v>-77.79551</v>
      </c>
      <c r="J3584" s="4" t="s">
        <v>14148</v>
      </c>
      <c r="K3584" s="6" t="str">
        <f aca="false">HYPERLINK("https://www.google.com/search?q=Fauquier+County+Public+Library+Warrenton+VA+library+website","Search")</f>
        <v>Search</v>
      </c>
      <c r="L3584" s="7"/>
      <c r="M3584" s="7"/>
    </row>
    <row r="3585" customFormat="false" ht="15" hidden="false" customHeight="true" outlineLevel="0" collapsed="false">
      <c r="A3585" s="4" t="s">
        <v>14054</v>
      </c>
      <c r="B3585" s="4" t="s">
        <v>14149</v>
      </c>
      <c r="C3585" s="4" t="s">
        <v>14150</v>
      </c>
      <c r="D3585" s="4" t="s">
        <v>14151</v>
      </c>
      <c r="E3585" s="5" t="n">
        <v>27038</v>
      </c>
      <c r="F3585" s="4" t="n">
        <v>1</v>
      </c>
      <c r="G3585" s="4" t="s">
        <v>14152</v>
      </c>
      <c r="H3585" s="4" t="n">
        <v>37.8657</v>
      </c>
      <c r="I3585" s="4" t="n">
        <v>-78.27715</v>
      </c>
      <c r="J3585" s="4" t="s">
        <v>14153</v>
      </c>
      <c r="K3585" s="6" t="str">
        <f aca="false">HYPERLINK("https://www.google.com/search?q=Fluvanna+County+Public+Library+Palmyra+VA+library+website","Search")</f>
        <v>Search</v>
      </c>
      <c r="L3585" s="7"/>
      <c r="M3585" s="7"/>
    </row>
    <row r="3586" customFormat="false" ht="15" hidden="false" customHeight="true" outlineLevel="0" collapsed="false">
      <c r="A3586" s="4" t="s">
        <v>14054</v>
      </c>
      <c r="B3586" s="4" t="s">
        <v>12621</v>
      </c>
      <c r="C3586" s="4" t="s">
        <v>7895</v>
      </c>
      <c r="D3586" s="4" t="s">
        <v>384</v>
      </c>
      <c r="E3586" s="5" t="n">
        <v>55782</v>
      </c>
      <c r="F3586" s="4" t="n">
        <v>2</v>
      </c>
      <c r="G3586" s="4" t="s">
        <v>14154</v>
      </c>
      <c r="H3586" s="4" t="n">
        <v>36.99784</v>
      </c>
      <c r="I3586" s="4" t="n">
        <v>-79.89201</v>
      </c>
      <c r="J3586" s="4" t="s">
        <v>14155</v>
      </c>
      <c r="K3586" s="6" t="str">
        <f aca="false">HYPERLINK("https://www.google.com/search?q=Franklin+County+Public+Library+Rocky+Mount+VA+library+website","Search")</f>
        <v>Search</v>
      </c>
      <c r="L3586" s="7"/>
      <c r="M3586" s="7"/>
    </row>
    <row r="3587" customFormat="false" ht="15" hidden="false" customHeight="true" outlineLevel="0" collapsed="false">
      <c r="A3587" s="4" t="s">
        <v>14054</v>
      </c>
      <c r="B3587" s="4" t="s">
        <v>14156</v>
      </c>
      <c r="C3587" s="4" t="s">
        <v>14157</v>
      </c>
      <c r="D3587" s="4" t="s">
        <v>491</v>
      </c>
      <c r="E3587" s="5" t="n">
        <v>35682</v>
      </c>
      <c r="F3587" s="4" t="n">
        <v>2</v>
      </c>
      <c r="G3587" s="4" t="s">
        <v>14158</v>
      </c>
      <c r="H3587" s="4" t="n">
        <v>36.65793</v>
      </c>
      <c r="I3587" s="4" t="n">
        <v>-80.92995</v>
      </c>
      <c r="J3587" s="4" t="s">
        <v>14159</v>
      </c>
      <c r="K3587" s="6" t="str">
        <f aca="false">HYPERLINK("https://www.google.com/search?q=Galax-Carroll+Regional+Library+Galax+VA+library+website","Search")</f>
        <v>Search</v>
      </c>
      <c r="L3587" s="7"/>
      <c r="M3587" s="7"/>
    </row>
    <row r="3588" customFormat="false" ht="15" hidden="false" customHeight="true" outlineLevel="0" collapsed="false">
      <c r="A3588" s="4" t="s">
        <v>14054</v>
      </c>
      <c r="B3588" s="4" t="s">
        <v>14160</v>
      </c>
      <c r="C3588" s="4" t="s">
        <v>5684</v>
      </c>
      <c r="D3588" s="4" t="s">
        <v>5684</v>
      </c>
      <c r="E3588" s="5" t="n">
        <v>37090</v>
      </c>
      <c r="F3588" s="4" t="n">
        <v>2</v>
      </c>
      <c r="G3588" s="4" t="s">
        <v>14161</v>
      </c>
      <c r="H3588" s="4" t="n">
        <v>37.409</v>
      </c>
      <c r="I3588" s="4" t="n">
        <v>-76.51868</v>
      </c>
      <c r="J3588" s="4" t="s">
        <v>14162</v>
      </c>
      <c r="K3588" s="6" t="str">
        <f aca="false">HYPERLINK("https://www.google.com/search?q=Gloucester+County+Public+Library+Gloucester+VA+library+website","Search")</f>
        <v>Search</v>
      </c>
      <c r="L3588" s="7"/>
      <c r="M3588" s="7"/>
    </row>
    <row r="3589" customFormat="false" ht="15" hidden="false" customHeight="true" outlineLevel="0" collapsed="false">
      <c r="A3589" s="4" t="s">
        <v>14054</v>
      </c>
      <c r="B3589" s="4" t="s">
        <v>14163</v>
      </c>
      <c r="C3589" s="4" t="s">
        <v>8023</v>
      </c>
      <c r="D3589" s="4" t="s">
        <v>8023</v>
      </c>
      <c r="E3589" s="5" t="n">
        <v>34329</v>
      </c>
      <c r="F3589" s="4" t="n">
        <v>2</v>
      </c>
      <c r="G3589" s="4" t="s">
        <v>14164</v>
      </c>
      <c r="H3589" s="4" t="n">
        <v>36.76383</v>
      </c>
      <c r="I3589" s="4" t="n">
        <v>-78.92848</v>
      </c>
      <c r="J3589" s="4" t="s">
        <v>14165</v>
      </c>
      <c r="K3589" s="6" t="str">
        <f aca="false">HYPERLINK("https://www.google.com/search?q=Halifax+County-South+Boston+Library+System+Halifax+VA+library+website","Search")</f>
        <v>Search</v>
      </c>
      <c r="L3589" s="7"/>
      <c r="M3589" s="7"/>
    </row>
    <row r="3590" customFormat="false" ht="15" hidden="false" customHeight="true" outlineLevel="0" collapsed="false">
      <c r="A3590" s="4" t="s">
        <v>14054</v>
      </c>
      <c r="B3590" s="4" t="s">
        <v>14166</v>
      </c>
      <c r="C3590" s="4" t="s">
        <v>8378</v>
      </c>
      <c r="D3590" s="4" t="s">
        <v>8378</v>
      </c>
      <c r="E3590" s="5" t="n">
        <v>135753</v>
      </c>
      <c r="F3590" s="4" t="n">
        <v>4</v>
      </c>
      <c r="G3590" s="4" t="s">
        <v>14167</v>
      </c>
      <c r="H3590" s="4" t="n">
        <v>37.02004</v>
      </c>
      <c r="I3590" s="4" t="n">
        <v>-76.35138</v>
      </c>
      <c r="J3590" s="4" t="s">
        <v>14168</v>
      </c>
      <c r="K3590" s="6" t="str">
        <f aca="false">HYPERLINK("https://www.google.com/search?q=Hampton+Public+Library+Hampton+VA+library+website","Search")</f>
        <v>Search</v>
      </c>
      <c r="L3590" s="7"/>
      <c r="M3590" s="7"/>
    </row>
    <row r="3591" customFormat="false" ht="15" hidden="false" customHeight="true" outlineLevel="0" collapsed="false">
      <c r="A3591" s="4" t="s">
        <v>14054</v>
      </c>
      <c r="B3591" s="4" t="s">
        <v>14169</v>
      </c>
      <c r="C3591" s="4" t="s">
        <v>1811</v>
      </c>
      <c r="D3591" s="4" t="s">
        <v>1811</v>
      </c>
      <c r="E3591" s="5" t="n">
        <v>131370</v>
      </c>
      <c r="F3591" s="4" t="n">
        <v>3</v>
      </c>
      <c r="G3591" s="4" t="s">
        <v>14170</v>
      </c>
      <c r="H3591" s="4" t="n">
        <v>39.1868</v>
      </c>
      <c r="I3591" s="4" t="n">
        <v>-78.16658</v>
      </c>
      <c r="J3591" s="4" t="s">
        <v>14171</v>
      </c>
      <c r="K3591" s="6" t="str">
        <f aca="false">HYPERLINK("https://www.google.com/search?q=Handley+Regional+Library+Winchester+VA+library+website","Search")</f>
        <v>Search</v>
      </c>
      <c r="L3591" s="7"/>
      <c r="M3591" s="7"/>
    </row>
    <row r="3592" customFormat="false" ht="15" hidden="false" customHeight="true" outlineLevel="0" collapsed="false">
      <c r="A3592" s="4" t="s">
        <v>14054</v>
      </c>
      <c r="B3592" s="4" t="s">
        <v>14172</v>
      </c>
      <c r="C3592" s="4" t="s">
        <v>14173</v>
      </c>
      <c r="D3592" s="4" t="s">
        <v>14173</v>
      </c>
      <c r="E3592" s="5" t="n">
        <v>328999</v>
      </c>
      <c r="F3592" s="4" t="n">
        <v>10</v>
      </c>
      <c r="G3592" s="4" t="s">
        <v>14174</v>
      </c>
      <c r="H3592" s="4" t="n">
        <v>37.6078</v>
      </c>
      <c r="I3592" s="4" t="n">
        <v>-77.56466</v>
      </c>
      <c r="J3592" s="4" t="s">
        <v>14175</v>
      </c>
      <c r="K3592" s="6" t="str">
        <f aca="false">HYPERLINK("https://www.google.com/search?q=Henrico+County+Public+Library+Henrico+VA+library+website","Search")</f>
        <v>Search</v>
      </c>
      <c r="L3592" s="7"/>
      <c r="M3592" s="8" t="str">
        <f aca="false">HYPERLINK("https://henrico.overdrive.com","https://henrico.overdrive.com")</f>
        <v>https://henrico.overdrive.com</v>
      </c>
    </row>
    <row r="3593" customFormat="false" ht="15" hidden="false" customHeight="true" outlineLevel="0" collapsed="false">
      <c r="A3593" s="4" t="s">
        <v>14054</v>
      </c>
      <c r="B3593" s="4" t="s">
        <v>14176</v>
      </c>
      <c r="C3593" s="4" t="s">
        <v>14177</v>
      </c>
      <c r="D3593" s="4" t="s">
        <v>14177</v>
      </c>
      <c r="E3593" s="5" t="n">
        <v>30082</v>
      </c>
      <c r="F3593" s="4" t="n">
        <v>2</v>
      </c>
      <c r="G3593" s="4" t="s">
        <v>14178</v>
      </c>
      <c r="H3593" s="4" t="n">
        <v>37.51441</v>
      </c>
      <c r="I3593" s="4" t="n">
        <v>-76.98678</v>
      </c>
      <c r="J3593" s="4" t="s">
        <v>14179</v>
      </c>
      <c r="K3593" s="6" t="str">
        <f aca="false">HYPERLINK("https://www.google.com/search?q=Heritage+Public+Library+New+Kent+VA+library+website","Search")</f>
        <v>Search</v>
      </c>
      <c r="L3593" s="7"/>
      <c r="M3593" s="7"/>
    </row>
    <row r="3594" customFormat="false" ht="15" hidden="false" customHeight="true" outlineLevel="0" collapsed="false">
      <c r="A3594" s="4" t="s">
        <v>14054</v>
      </c>
      <c r="B3594" s="4" t="s">
        <v>14180</v>
      </c>
      <c r="C3594" s="4" t="s">
        <v>14181</v>
      </c>
      <c r="D3594" s="4" t="s">
        <v>14181</v>
      </c>
      <c r="E3594" s="5" t="n">
        <v>15818</v>
      </c>
      <c r="F3594" s="4" t="n">
        <v>1</v>
      </c>
      <c r="G3594" s="4" t="s">
        <v>14182</v>
      </c>
      <c r="H3594" s="4" t="n">
        <v>37.354</v>
      </c>
      <c r="I3594" s="4" t="n">
        <v>-78.82901</v>
      </c>
      <c r="J3594" s="4" t="s">
        <v>14183</v>
      </c>
      <c r="K3594" s="6" t="str">
        <f aca="false">HYPERLINK("https://www.google.com/search?q=J.+Robert+Jamerson+Memorial+Library+Appomattox+VA+library+website","Search")</f>
        <v>Search</v>
      </c>
      <c r="L3594" s="7"/>
      <c r="M3594" s="7"/>
    </row>
    <row r="3595" customFormat="false" ht="15" hidden="false" customHeight="true" outlineLevel="0" collapsed="false">
      <c r="A3595" s="4" t="s">
        <v>14054</v>
      </c>
      <c r="B3595" s="4" t="s">
        <v>14184</v>
      </c>
      <c r="C3595" s="4" t="s">
        <v>14185</v>
      </c>
      <c r="D3595" s="4" t="s">
        <v>14185</v>
      </c>
      <c r="E3595" s="5" t="n">
        <v>13053</v>
      </c>
      <c r="F3595" s="4" t="n">
        <v>1</v>
      </c>
      <c r="G3595" s="4" t="s">
        <v>14186</v>
      </c>
      <c r="H3595" s="4" t="n">
        <v>37.33907</v>
      </c>
      <c r="I3595" s="4" t="n">
        <v>-77.97991</v>
      </c>
      <c r="J3595" s="4" t="s">
        <v>14187</v>
      </c>
      <c r="K3595" s="6" t="str">
        <f aca="false">HYPERLINK("https://www.google.com/search?q=James+L.+Hamner+Public+Library+Amelia+VA+library+website","Search")</f>
        <v>Search</v>
      </c>
      <c r="L3595" s="7"/>
      <c r="M3595" s="7"/>
    </row>
    <row r="3596" customFormat="false" ht="15" hidden="false" customHeight="true" outlineLevel="0" collapsed="false">
      <c r="A3596" s="4" t="s">
        <v>14054</v>
      </c>
      <c r="B3596" s="4" t="s">
        <v>14188</v>
      </c>
      <c r="C3596" s="4" t="s">
        <v>14189</v>
      </c>
      <c r="D3596" s="4" t="s">
        <v>14189</v>
      </c>
      <c r="E3596" s="5" t="n">
        <v>230414</v>
      </c>
      <c r="F3596" s="4" t="n">
        <v>8</v>
      </c>
      <c r="G3596" s="4" t="s">
        <v>14190</v>
      </c>
      <c r="H3596" s="4" t="n">
        <v>38.03122</v>
      </c>
      <c r="I3596" s="4" t="n">
        <v>-78.48</v>
      </c>
      <c r="J3596" s="4" t="s">
        <v>14191</v>
      </c>
      <c r="K3596" s="6" t="str">
        <f aca="false">HYPERLINK("https://www.google.com/search?q=Jefferson-Madison+Regional+Library+Charlottesville+VA+library+website","Search")</f>
        <v>Search</v>
      </c>
      <c r="L3596" s="7"/>
      <c r="M3596" s="7"/>
    </row>
    <row r="3597" customFormat="false" ht="15" hidden="false" customHeight="true" outlineLevel="0" collapsed="false">
      <c r="A3597" s="4" t="s">
        <v>14054</v>
      </c>
      <c r="B3597" s="4" t="s">
        <v>14192</v>
      </c>
      <c r="C3597" s="4" t="s">
        <v>14193</v>
      </c>
      <c r="D3597" s="4" t="s">
        <v>4923</v>
      </c>
      <c r="E3597" s="5" t="n">
        <v>10829</v>
      </c>
      <c r="F3597" s="4" t="n">
        <v>1</v>
      </c>
      <c r="G3597" s="4" t="s">
        <v>14194</v>
      </c>
      <c r="H3597" s="4" t="n">
        <v>37.71398</v>
      </c>
      <c r="I3597" s="4" t="n">
        <v>-76.38047</v>
      </c>
      <c r="J3597" s="4" t="s">
        <v>14195</v>
      </c>
      <c r="K3597" s="6" t="str">
        <f aca="false">HYPERLINK("https://www.google.com/search?q=Lancaster+Community+Library+Kilmarnock+VA+library+website","Search")</f>
        <v>Search</v>
      </c>
      <c r="L3597" s="7"/>
      <c r="M3597" s="7"/>
    </row>
    <row r="3598" customFormat="false" ht="15" hidden="false" customHeight="true" outlineLevel="0" collapsed="false">
      <c r="A3598" s="4" t="s">
        <v>14054</v>
      </c>
      <c r="B3598" s="4" t="s">
        <v>14196</v>
      </c>
      <c r="C3598" s="4" t="s">
        <v>14197</v>
      </c>
      <c r="D3598" s="4" t="s">
        <v>14197</v>
      </c>
      <c r="E3598" s="5" t="n">
        <v>26016</v>
      </c>
      <c r="F3598" s="4" t="n">
        <v>1</v>
      </c>
      <c r="G3598" s="4" t="s">
        <v>14198</v>
      </c>
      <c r="H3598" s="4" t="n">
        <v>38.26559</v>
      </c>
      <c r="I3598" s="4" t="n">
        <v>-77.17753</v>
      </c>
      <c r="J3598" s="4" t="s">
        <v>14199</v>
      </c>
      <c r="K3598" s="6" t="str">
        <f aca="false">HYPERLINK("https://www.google.com/search?q=Lewis+Egerton+Smoot+Memorial+Library+King+George+VA+library+website","Search")</f>
        <v>Search</v>
      </c>
      <c r="L3598" s="7"/>
      <c r="M3598" s="7"/>
    </row>
    <row r="3599" customFormat="false" ht="15" hidden="false" customHeight="true" outlineLevel="0" collapsed="false">
      <c r="A3599" s="4" t="s">
        <v>14054</v>
      </c>
      <c r="B3599" s="4" t="s">
        <v>14200</v>
      </c>
      <c r="C3599" s="4" t="s">
        <v>13029</v>
      </c>
      <c r="D3599" s="4" t="s">
        <v>13029</v>
      </c>
      <c r="E3599" s="5" t="n">
        <v>101632</v>
      </c>
      <c r="F3599" s="4" t="n">
        <v>9</v>
      </c>
      <c r="G3599" s="4" t="s">
        <v>14201</v>
      </c>
      <c r="H3599" s="4" t="n">
        <v>36.97599</v>
      </c>
      <c r="I3599" s="4" t="n">
        <v>-82.58407</v>
      </c>
      <c r="J3599" s="4" t="s">
        <v>14202</v>
      </c>
      <c r="K3599" s="6" t="str">
        <f aca="false">HYPERLINK("https://www.google.com/search?q=Lonesome+Pine+Regional+Library+Wise+VA+library+website","Search")</f>
        <v>Search</v>
      </c>
      <c r="L3599" s="7"/>
      <c r="M3599" s="8" t="str">
        <f aca="false">HYPERLINK("https://elprlibrary.overdrive.com","https://elprlibrary.overdrive.com")</f>
        <v>https://elprlibrary.overdrive.com</v>
      </c>
    </row>
    <row r="3600" customFormat="false" ht="15" hidden="false" customHeight="true" outlineLevel="0" collapsed="false">
      <c r="A3600" s="4" t="s">
        <v>14054</v>
      </c>
      <c r="B3600" s="4" t="s">
        <v>14203</v>
      </c>
      <c r="C3600" s="4" t="s">
        <v>2735</v>
      </c>
      <c r="D3600" s="4" t="s">
        <v>14204</v>
      </c>
      <c r="E3600" s="5" t="n">
        <v>413546</v>
      </c>
      <c r="F3600" s="4" t="n">
        <v>10</v>
      </c>
      <c r="G3600" s="4" t="s">
        <v>14205</v>
      </c>
      <c r="H3600" s="4" t="n">
        <v>39.11786</v>
      </c>
      <c r="I3600" s="4" t="n">
        <v>-77.56563</v>
      </c>
      <c r="J3600" s="4" t="s">
        <v>14206</v>
      </c>
      <c r="K3600" s="6" t="str">
        <f aca="false">HYPERLINK("https://www.google.com/search?q=Loudoun+County+Public+Library+Leesburg+VA+library+website","Search")</f>
        <v>Search</v>
      </c>
      <c r="L3600" s="7"/>
      <c r="M3600" s="8" t="str">
        <f aca="false">HYPERLINK("https://lcpl.overdrive.com","https://lcpl.overdrive.com")</f>
        <v>https://lcpl.overdrive.com</v>
      </c>
    </row>
    <row r="3601" customFormat="false" ht="15" hidden="false" customHeight="true" outlineLevel="0" collapsed="false">
      <c r="A3601" s="4" t="s">
        <v>14054</v>
      </c>
      <c r="B3601" s="4" t="s">
        <v>14207</v>
      </c>
      <c r="C3601" s="4" t="s">
        <v>14208</v>
      </c>
      <c r="D3601" s="4" t="s">
        <v>5801</v>
      </c>
      <c r="E3601" s="5" t="n">
        <v>12246</v>
      </c>
      <c r="F3601" s="4" t="n">
        <v>2</v>
      </c>
      <c r="G3601" s="4" t="s">
        <v>14209</v>
      </c>
      <c r="H3601" s="4" t="n">
        <v>36.96282</v>
      </c>
      <c r="I3601" s="4" t="n">
        <v>-78.12467</v>
      </c>
      <c r="J3601" s="4" t="s">
        <v>14210</v>
      </c>
      <c r="K3601" s="6" t="str">
        <f aca="false">HYPERLINK("https://www.google.com/search?q=Lunenburg+County+Public+Library+System%2C+Inc+Kenbridge+VA+library+website","Search")</f>
        <v>Search</v>
      </c>
      <c r="L3601" s="7"/>
      <c r="M3601" s="7"/>
    </row>
    <row r="3602" customFormat="false" ht="15" hidden="false" customHeight="true" outlineLevel="0" collapsed="false">
      <c r="A3602" s="4" t="s">
        <v>14054</v>
      </c>
      <c r="B3602" s="4" t="s">
        <v>14211</v>
      </c>
      <c r="C3602" s="4" t="s">
        <v>14212</v>
      </c>
      <c r="D3602" s="4" t="s">
        <v>14212</v>
      </c>
      <c r="E3602" s="5" t="n">
        <v>80783</v>
      </c>
      <c r="F3602" s="4" t="n">
        <v>2</v>
      </c>
      <c r="G3602" s="4" t="s">
        <v>14213</v>
      </c>
      <c r="H3602" s="4" t="n">
        <v>37.40403</v>
      </c>
      <c r="I3602" s="4" t="n">
        <v>-79.16701</v>
      </c>
      <c r="J3602" s="4" t="s">
        <v>14214</v>
      </c>
      <c r="K3602" s="6" t="str">
        <f aca="false">HYPERLINK("https://www.google.com/search?q=Lynchburg+Public+Library+Lynchburg+VA+library+website","Search")</f>
        <v>Search</v>
      </c>
      <c r="L3602" s="7"/>
      <c r="M3602" s="7"/>
    </row>
    <row r="3603" customFormat="false" ht="15" hidden="false" customHeight="true" outlineLevel="0" collapsed="false">
      <c r="A3603" s="4" t="s">
        <v>14054</v>
      </c>
      <c r="B3603" s="4" t="s">
        <v>14215</v>
      </c>
      <c r="C3603" s="4" t="s">
        <v>261</v>
      </c>
      <c r="D3603" s="4" t="s">
        <v>261</v>
      </c>
      <c r="E3603" s="5" t="n">
        <v>13251</v>
      </c>
      <c r="F3603" s="4" t="n">
        <v>1</v>
      </c>
      <c r="G3603" s="4" t="s">
        <v>14216</v>
      </c>
      <c r="H3603" s="4" t="n">
        <v>38.38355</v>
      </c>
      <c r="I3603" s="4" t="n">
        <v>-78.25448</v>
      </c>
      <c r="J3603" s="4" t="s">
        <v>14217</v>
      </c>
      <c r="K3603" s="6" t="str">
        <f aca="false">HYPERLINK("https://www.google.com/search?q=Madison+County+Library%2C+Inc.+Madison+VA+library+website","Search")</f>
        <v>Search</v>
      </c>
      <c r="L3603" s="7"/>
      <c r="M3603" s="7"/>
    </row>
    <row r="3604" customFormat="false" ht="15" hidden="false" customHeight="true" outlineLevel="0" collapsed="false">
      <c r="A3604" s="4" t="s">
        <v>14054</v>
      </c>
      <c r="B3604" s="4" t="s">
        <v>14218</v>
      </c>
      <c r="C3604" s="4" t="s">
        <v>14219</v>
      </c>
      <c r="D3604" s="4" t="s">
        <v>14219</v>
      </c>
      <c r="E3604" s="5" t="n">
        <v>16636</v>
      </c>
      <c r="F3604" s="4" t="n">
        <v>1</v>
      </c>
      <c r="G3604" s="4" t="s">
        <v>14220</v>
      </c>
      <c r="H3604" s="4" t="n">
        <v>38.76917</v>
      </c>
      <c r="I3604" s="4" t="n">
        <v>-77.42755</v>
      </c>
      <c r="J3604" s="4" t="s">
        <v>14221</v>
      </c>
      <c r="K3604" s="6" t="str">
        <f aca="false">HYPERLINK("https://www.google.com/search?q=Manassas+Park+City+Library+Manassas+Park+VA+library+website","Search")</f>
        <v>Search</v>
      </c>
      <c r="L3604" s="7"/>
      <c r="M3604" s="8" t="str">
        <f aca="false">HYPERLINK("https://manassasva.overdrive.com","https://manassasva.overdrive.com")</f>
        <v>https://manassasva.overdrive.com</v>
      </c>
    </row>
    <row r="3605" customFormat="false" ht="15" hidden="false" customHeight="true" outlineLevel="0" collapsed="false">
      <c r="A3605" s="4" t="s">
        <v>14054</v>
      </c>
      <c r="B3605" s="4" t="s">
        <v>14222</v>
      </c>
      <c r="C3605" s="4" t="s">
        <v>14223</v>
      </c>
      <c r="D3605" s="4" t="s">
        <v>14223</v>
      </c>
      <c r="E3605" s="5" t="n">
        <v>14331</v>
      </c>
      <c r="F3605" s="4" t="n">
        <v>1</v>
      </c>
      <c r="G3605" s="4" t="s">
        <v>14224</v>
      </c>
      <c r="H3605" s="4" t="n">
        <v>38.88597</v>
      </c>
      <c r="I3605" s="4" t="n">
        <v>-77.17482</v>
      </c>
      <c r="J3605" s="4" t="s">
        <v>14225</v>
      </c>
      <c r="K3605" s="6" t="str">
        <f aca="false">HYPERLINK("https://www.google.com/search?q=Mary+Riley+Styles+Public+Library+Falls+Church+VA+library+website","Search")</f>
        <v>Search</v>
      </c>
      <c r="L3605" s="7"/>
      <c r="M3605" s="8" t="str">
        <f aca="false">HYPERLINK("https://mrspl.overdrive.com","https://mrspl.overdrive.com")</f>
        <v>https://mrspl.overdrive.com</v>
      </c>
    </row>
    <row r="3606" customFormat="false" ht="15" hidden="false" customHeight="true" outlineLevel="0" collapsed="false">
      <c r="A3606" s="4" t="s">
        <v>14054</v>
      </c>
      <c r="B3606" s="4" t="s">
        <v>14226</v>
      </c>
      <c r="C3606" s="4" t="s">
        <v>14227</v>
      </c>
      <c r="D3606" s="4" t="s">
        <v>14227</v>
      </c>
      <c r="E3606" s="5" t="n">
        <v>160062</v>
      </c>
      <c r="F3606" s="4" t="n">
        <v>7</v>
      </c>
      <c r="G3606" s="4" t="s">
        <v>14228</v>
      </c>
      <c r="H3606" s="4" t="n">
        <v>38.44758</v>
      </c>
      <c r="I3606" s="4" t="n">
        <v>-78.86903</v>
      </c>
      <c r="J3606" s="4" t="s">
        <v>14229</v>
      </c>
      <c r="K3606" s="6" t="str">
        <f aca="false">HYPERLINK("https://www.google.com/search?q=Massanutten+Regional+Library+Harrisonburg+VA+library+website","Search")</f>
        <v>Search</v>
      </c>
      <c r="L3606" s="7"/>
      <c r="M3606" s="8" t="str">
        <f aca="false">HYPERLINK("https://mrl.overdrive.com","https://mrl.overdrive.com")</f>
        <v>https://mrl.overdrive.com</v>
      </c>
    </row>
    <row r="3607" customFormat="false" ht="15" hidden="false" customHeight="true" outlineLevel="0" collapsed="false">
      <c r="A3607" s="4" t="s">
        <v>14054</v>
      </c>
      <c r="B3607" s="4" t="s">
        <v>14230</v>
      </c>
      <c r="C3607" s="4" t="s">
        <v>14231</v>
      </c>
      <c r="D3607" s="4" t="s">
        <v>7938</v>
      </c>
      <c r="E3607" s="5" t="n">
        <v>30917</v>
      </c>
      <c r="F3607" s="4" t="n">
        <v>4</v>
      </c>
      <c r="G3607" s="4" t="s">
        <v>14232</v>
      </c>
      <c r="H3607" s="4" t="n">
        <v>36.66654</v>
      </c>
      <c r="I3607" s="4" t="n">
        <v>-78.38834</v>
      </c>
      <c r="J3607" s="4" t="s">
        <v>14233</v>
      </c>
      <c r="K3607" s="6" t="str">
        <f aca="false">HYPERLINK("https://www.google.com/search?q=Mecklenburg+County+Public+Library+Boydton+VA+library+website","Search")</f>
        <v>Search</v>
      </c>
      <c r="L3607" s="7"/>
      <c r="M3607" s="7"/>
    </row>
    <row r="3608" customFormat="false" ht="15" hidden="false" customHeight="true" outlineLevel="0" collapsed="false">
      <c r="A3608" s="4" t="s">
        <v>14054</v>
      </c>
      <c r="B3608" s="4" t="s">
        <v>14234</v>
      </c>
      <c r="C3608" s="4" t="s">
        <v>2699</v>
      </c>
      <c r="D3608" s="4" t="s">
        <v>2744</v>
      </c>
      <c r="E3608" s="5" t="n">
        <v>33289</v>
      </c>
      <c r="F3608" s="4" t="n">
        <v>2</v>
      </c>
      <c r="G3608" s="4" t="s">
        <v>14235</v>
      </c>
      <c r="H3608" s="4" t="n">
        <v>36.75771</v>
      </c>
      <c r="I3608" s="4" t="n">
        <v>-77.84809</v>
      </c>
      <c r="J3608" s="4" t="s">
        <v>14236</v>
      </c>
      <c r="K3608" s="6" t="str">
        <f aca="false">HYPERLINK("https://www.google.com/search?q=Meherrin+Regional+Library+Lawrenceville+VA+library+website","Search")</f>
        <v>Search</v>
      </c>
      <c r="L3608" s="7"/>
      <c r="M3608" s="7"/>
    </row>
    <row r="3609" customFormat="false" ht="15" hidden="false" customHeight="true" outlineLevel="0" collapsed="false">
      <c r="A3609" s="4" t="s">
        <v>14054</v>
      </c>
      <c r="B3609" s="4" t="s">
        <v>14237</v>
      </c>
      <c r="C3609" s="4" t="s">
        <v>14238</v>
      </c>
      <c r="D3609" s="4" t="s">
        <v>1792</v>
      </c>
      <c r="E3609" s="5" t="n">
        <v>10712</v>
      </c>
      <c r="F3609" s="4" t="n">
        <v>2</v>
      </c>
      <c r="G3609" s="4" t="s">
        <v>14239</v>
      </c>
      <c r="H3609" s="4" t="n">
        <v>37.63738</v>
      </c>
      <c r="I3609" s="4" t="n">
        <v>-76.57882</v>
      </c>
      <c r="J3609" s="4" t="s">
        <v>14240</v>
      </c>
      <c r="K3609" s="6" t="str">
        <f aca="false">HYPERLINK("https://www.google.com/search?q=Middlesex+County+Public+Library+Urbanna+VA+library+website","Search")</f>
        <v>Search</v>
      </c>
      <c r="L3609" s="7"/>
      <c r="M3609" s="7"/>
    </row>
    <row r="3610" customFormat="false" ht="15" hidden="false" customHeight="true" outlineLevel="0" collapsed="false">
      <c r="A3610" s="4" t="s">
        <v>14054</v>
      </c>
      <c r="B3610" s="4" t="s">
        <v>14241</v>
      </c>
      <c r="C3610" s="4" t="s">
        <v>14242</v>
      </c>
      <c r="D3610" s="4" t="s">
        <v>315</v>
      </c>
      <c r="E3610" s="5" t="n">
        <v>115634</v>
      </c>
      <c r="F3610" s="4" t="n">
        <v>4</v>
      </c>
      <c r="G3610" s="4" t="s">
        <v>14243</v>
      </c>
      <c r="H3610" s="4" t="n">
        <v>37.1294</v>
      </c>
      <c r="I3610" s="4" t="n">
        <v>-80.41405</v>
      </c>
      <c r="J3610" s="4" t="s">
        <v>14244</v>
      </c>
      <c r="K3610" s="6" t="str">
        <f aca="false">HYPERLINK("https://www.google.com/search?q=Montgomery-Floyd+Regional+Library+Christiansburg+VA+library+website","Search")</f>
        <v>Search</v>
      </c>
      <c r="L3610" s="7"/>
      <c r="M3610" s="7"/>
    </row>
    <row r="3611" customFormat="false" ht="15" hidden="false" customHeight="true" outlineLevel="0" collapsed="false">
      <c r="A3611" s="4" t="s">
        <v>14054</v>
      </c>
      <c r="B3611" s="4" t="s">
        <v>14245</v>
      </c>
      <c r="C3611" s="4" t="s">
        <v>14246</v>
      </c>
      <c r="D3611" s="4" t="s">
        <v>14246</v>
      </c>
      <c r="E3611" s="5" t="n">
        <v>181000</v>
      </c>
      <c r="F3611" s="4" t="n">
        <v>3</v>
      </c>
      <c r="G3611" s="4" t="s">
        <v>14247</v>
      </c>
      <c r="H3611" s="4" t="n">
        <v>37.08675</v>
      </c>
      <c r="I3611" s="4" t="n">
        <v>-76.47424</v>
      </c>
      <c r="J3611" s="4" t="s">
        <v>14248</v>
      </c>
      <c r="K3611" s="6" t="str">
        <f aca="false">HYPERLINK("https://www.google.com/search?q=Newport+News+Public+Library+System+Newport+News+VA+library+website","Search")</f>
        <v>Search</v>
      </c>
      <c r="L3611" s="7"/>
      <c r="M3611" s="8" t="str">
        <f aca="false">HYPERLINK("https://nnpls.overdrive.com","https://nnpls.overdrive.com")</f>
        <v>https://nnpls.overdrive.com</v>
      </c>
    </row>
    <row r="3612" customFormat="false" ht="15" hidden="false" customHeight="true" outlineLevel="0" collapsed="false">
      <c r="A3612" s="4" t="s">
        <v>14054</v>
      </c>
      <c r="B3612" s="4" t="s">
        <v>5902</v>
      </c>
      <c r="C3612" s="4" t="s">
        <v>5524</v>
      </c>
      <c r="D3612" s="4" t="s">
        <v>5524</v>
      </c>
      <c r="E3612" s="5" t="n">
        <v>245054</v>
      </c>
      <c r="F3612" s="4" t="n">
        <v>12</v>
      </c>
      <c r="G3612" s="4" t="s">
        <v>14249</v>
      </c>
      <c r="H3612" s="4" t="n">
        <v>36.86107</v>
      </c>
      <c r="I3612" s="4" t="n">
        <v>-76.22877</v>
      </c>
      <c r="J3612" s="4" t="s">
        <v>14250</v>
      </c>
      <c r="K3612" s="6" t="str">
        <f aca="false">HYPERLINK("https://www.google.com/search?q=Norfolk+Public+Library+Norfolk+VA+library+website","Search")</f>
        <v>Search</v>
      </c>
      <c r="L3612" s="7"/>
      <c r="M3612" s="8" t="str">
        <f aca="false">HYPERLINK("https://norfolk-va.overdrive.com","https://norfolk-va.overdrive.com")</f>
        <v>https://norfolk-va.overdrive.com</v>
      </c>
    </row>
    <row r="3613" customFormat="false" ht="15" hidden="false" customHeight="true" outlineLevel="0" collapsed="false">
      <c r="A3613" s="4" t="s">
        <v>14054</v>
      </c>
      <c r="B3613" s="4" t="s">
        <v>14251</v>
      </c>
      <c r="C3613" s="4" t="s">
        <v>14252</v>
      </c>
      <c r="D3613" s="4" t="s">
        <v>11478</v>
      </c>
      <c r="E3613" s="5" t="n">
        <v>11981</v>
      </c>
      <c r="F3613" s="4" t="n">
        <v>1</v>
      </c>
      <c r="G3613" s="4" t="s">
        <v>14253</v>
      </c>
      <c r="H3613" s="4" t="n">
        <v>37.91581</v>
      </c>
      <c r="I3613" s="4" t="n">
        <v>-76.46948</v>
      </c>
      <c r="J3613" s="4" t="s">
        <v>14254</v>
      </c>
      <c r="K3613" s="6" t="str">
        <f aca="false">HYPERLINK("https://www.google.com/search?q=Northumberland+Public+Library+Heathsville+VA+library+website","Search")</f>
        <v>Search</v>
      </c>
      <c r="L3613" s="7"/>
      <c r="M3613" s="7"/>
    </row>
    <row r="3614" customFormat="false" ht="15" hidden="false" customHeight="true" outlineLevel="0" collapsed="false">
      <c r="A3614" s="4" t="s">
        <v>14054</v>
      </c>
      <c r="B3614" s="4" t="s">
        <v>14255</v>
      </c>
      <c r="C3614" s="4" t="s">
        <v>14256</v>
      </c>
      <c r="D3614" s="4" t="s">
        <v>14257</v>
      </c>
      <c r="E3614" s="5" t="n">
        <v>15413</v>
      </c>
      <c r="F3614" s="4" t="n">
        <v>3</v>
      </c>
      <c r="G3614" s="4" t="s">
        <v>14258</v>
      </c>
      <c r="H3614" s="4" t="n">
        <v>37.1767</v>
      </c>
      <c r="I3614" s="4" t="n">
        <v>-78.12072</v>
      </c>
      <c r="J3614" s="4" t="s">
        <v>14259</v>
      </c>
      <c r="K3614" s="6" t="str">
        <f aca="false">HYPERLINK("https://www.google.com/search?q=Nottoway+County+Library+System+Crewe+VA+library+website","Search")</f>
        <v>Search</v>
      </c>
      <c r="L3614" s="7"/>
      <c r="M3614" s="7"/>
    </row>
    <row r="3615" customFormat="false" ht="15" hidden="false" customHeight="true" outlineLevel="0" collapsed="false">
      <c r="A3615" s="4" t="s">
        <v>14054</v>
      </c>
      <c r="B3615" s="4" t="s">
        <v>8093</v>
      </c>
      <c r="C3615" s="4" t="s">
        <v>885</v>
      </c>
      <c r="D3615" s="4" t="s">
        <v>885</v>
      </c>
      <c r="E3615" s="5" t="n">
        <v>35921</v>
      </c>
      <c r="F3615" s="4" t="n">
        <v>3</v>
      </c>
      <c r="G3615" s="4" t="s">
        <v>14260</v>
      </c>
      <c r="H3615" s="4" t="n">
        <v>38.24671</v>
      </c>
      <c r="I3615" s="4" t="n">
        <v>-78.1119</v>
      </c>
      <c r="J3615" s="4" t="s">
        <v>14261</v>
      </c>
      <c r="K3615" s="6" t="str">
        <f aca="false">HYPERLINK("https://www.google.com/search?q=Orange+County+Public+Library+Orange+VA+library+website","Search")</f>
        <v>Search</v>
      </c>
      <c r="L3615" s="7"/>
      <c r="M3615" s="7"/>
    </row>
    <row r="3616" customFormat="false" ht="15" hidden="false" customHeight="true" outlineLevel="0" collapsed="false">
      <c r="A3616" s="4" t="s">
        <v>14054</v>
      </c>
      <c r="B3616" s="4" t="s">
        <v>14262</v>
      </c>
      <c r="C3616" s="4" t="s">
        <v>5759</v>
      </c>
      <c r="D3616" s="4" t="s">
        <v>5759</v>
      </c>
      <c r="E3616" s="5" t="n">
        <v>155435</v>
      </c>
      <c r="F3616" s="4" t="n">
        <v>10</v>
      </c>
      <c r="G3616" s="4" t="s">
        <v>14263</v>
      </c>
      <c r="H3616" s="4" t="n">
        <v>37.76267</v>
      </c>
      <c r="I3616" s="4" t="n">
        <v>-77.36654</v>
      </c>
      <c r="J3616" s="4" t="s">
        <v>14264</v>
      </c>
      <c r="K3616" s="6" t="str">
        <f aca="false">HYPERLINK("https://www.google.com/search?q=Pamunkey+Regional+Library+Hanover+VA+library+website","Search")</f>
        <v>Search</v>
      </c>
      <c r="L3616" s="7"/>
      <c r="M3616" s="8" t="str">
        <f aca="false">HYPERLINK("https://prl.overdrive.com","https://prl.overdrive.com")</f>
        <v>https://prl.overdrive.com</v>
      </c>
    </row>
    <row r="3617" customFormat="false" ht="15" hidden="false" customHeight="true" outlineLevel="0" collapsed="false">
      <c r="A3617" s="4" t="s">
        <v>14054</v>
      </c>
      <c r="B3617" s="4" t="s">
        <v>14265</v>
      </c>
      <c r="C3617" s="4" t="s">
        <v>4568</v>
      </c>
      <c r="D3617" s="4" t="s">
        <v>4568</v>
      </c>
      <c r="E3617" s="5" t="n">
        <v>31430</v>
      </c>
      <c r="F3617" s="4" t="n">
        <v>1</v>
      </c>
      <c r="G3617" s="4" t="s">
        <v>14266</v>
      </c>
      <c r="H3617" s="4" t="n">
        <v>37.22714</v>
      </c>
      <c r="I3617" s="4" t="n">
        <v>-77.40726</v>
      </c>
      <c r="J3617" s="4" t="s">
        <v>14267</v>
      </c>
      <c r="K3617" s="6" t="str">
        <f aca="false">HYPERLINK("https://www.google.com/search?q=Petersburg+Public+Library+Petersburg+VA+library+website","Search")</f>
        <v>Search</v>
      </c>
      <c r="L3617" s="7"/>
      <c r="M3617" s="7"/>
    </row>
    <row r="3618" customFormat="false" ht="15" hidden="false" customHeight="true" outlineLevel="0" collapsed="false">
      <c r="A3618" s="4" t="s">
        <v>14054</v>
      </c>
      <c r="B3618" s="4" t="s">
        <v>14268</v>
      </c>
      <c r="C3618" s="4" t="s">
        <v>2740</v>
      </c>
      <c r="D3618" s="4" t="s">
        <v>14269</v>
      </c>
      <c r="E3618" s="5" t="n">
        <v>61002</v>
      </c>
      <c r="F3618" s="4" t="n">
        <v>5</v>
      </c>
      <c r="G3618" s="4" t="s">
        <v>14270</v>
      </c>
      <c r="H3618" s="4" t="n">
        <v>36.82841</v>
      </c>
      <c r="I3618" s="4" t="n">
        <v>-79.40031</v>
      </c>
      <c r="J3618" s="4" t="s">
        <v>14271</v>
      </c>
      <c r="K3618" s="6" t="str">
        <f aca="false">HYPERLINK("https://www.google.com/search?q=Pittsylvania+County+Public+Library+Chatham+VA+library+website","Search")</f>
        <v>Search</v>
      </c>
      <c r="L3618" s="7"/>
      <c r="M3618" s="7"/>
    </row>
    <row r="3619" customFormat="false" ht="15" hidden="false" customHeight="true" outlineLevel="0" collapsed="false">
      <c r="A3619" s="4" t="s">
        <v>14054</v>
      </c>
      <c r="B3619" s="4" t="s">
        <v>14272</v>
      </c>
      <c r="C3619" s="4" t="s">
        <v>14273</v>
      </c>
      <c r="D3619" s="4" t="s">
        <v>14273</v>
      </c>
      <c r="E3619" s="5" t="n">
        <v>12395</v>
      </c>
      <c r="F3619" s="4" t="n">
        <v>1</v>
      </c>
      <c r="G3619" s="4" t="s">
        <v>14274</v>
      </c>
      <c r="H3619" s="4" t="n">
        <v>37.12223</v>
      </c>
      <c r="I3619" s="4" t="n">
        <v>-76.39679</v>
      </c>
      <c r="J3619" s="4" t="s">
        <v>14275</v>
      </c>
      <c r="K3619" s="6" t="str">
        <f aca="false">HYPERLINK("https://www.google.com/search?q=Poquoson+Public+Library+Poquoson+VA+library+website","Search")</f>
        <v>Search</v>
      </c>
      <c r="L3619" s="7"/>
      <c r="M3619" s="7"/>
    </row>
    <row r="3620" customFormat="false" ht="15" hidden="false" customHeight="true" outlineLevel="0" collapsed="false">
      <c r="A3620" s="4" t="s">
        <v>14054</v>
      </c>
      <c r="B3620" s="4" t="s">
        <v>8402</v>
      </c>
      <c r="C3620" s="4" t="s">
        <v>8403</v>
      </c>
      <c r="D3620" s="4" t="s">
        <v>8403</v>
      </c>
      <c r="E3620" s="5" t="n">
        <v>94581</v>
      </c>
      <c r="F3620" s="4" t="n">
        <v>4</v>
      </c>
      <c r="G3620" s="4" t="s">
        <v>14276</v>
      </c>
      <c r="H3620" s="4" t="n">
        <v>36.83435</v>
      </c>
      <c r="I3620" s="4" t="n">
        <v>-76.30078</v>
      </c>
      <c r="J3620" s="4" t="s">
        <v>14277</v>
      </c>
      <c r="K3620" s="6" t="str">
        <f aca="false">HYPERLINK("https://www.google.com/search?q=Portsmouth+Public+Library+Portsmouth+VA+library+website","Search")</f>
        <v>Search</v>
      </c>
      <c r="L3620" s="7"/>
      <c r="M3620" s="7"/>
    </row>
    <row r="3621" customFormat="false" ht="15" hidden="false" customHeight="true" outlineLevel="0" collapsed="false">
      <c r="A3621" s="4" t="s">
        <v>14054</v>
      </c>
      <c r="B3621" s="4" t="s">
        <v>14278</v>
      </c>
      <c r="C3621" s="4" t="s">
        <v>14279</v>
      </c>
      <c r="D3621" s="4" t="s">
        <v>14279</v>
      </c>
      <c r="E3621" s="5" t="n">
        <v>29867</v>
      </c>
      <c r="F3621" s="4" t="n">
        <v>1</v>
      </c>
      <c r="G3621" s="4" t="s">
        <v>14280</v>
      </c>
      <c r="H3621" s="4" t="n">
        <v>37.54771</v>
      </c>
      <c r="I3621" s="4" t="n">
        <v>-77.92893</v>
      </c>
      <c r="J3621" s="4" t="s">
        <v>14281</v>
      </c>
      <c r="K3621" s="6" t="str">
        <f aca="false">HYPERLINK("https://www.google.com/search?q=Powhatan+County+Public+Library+Powhatan+VA+library+website","Search")</f>
        <v>Search</v>
      </c>
      <c r="L3621" s="7"/>
      <c r="M3621" s="7"/>
    </row>
    <row r="3622" customFormat="false" ht="15" hidden="false" customHeight="true" outlineLevel="0" collapsed="false">
      <c r="A3622" s="4" t="s">
        <v>14054</v>
      </c>
      <c r="B3622" s="4" t="s">
        <v>14282</v>
      </c>
      <c r="C3622" s="4" t="s">
        <v>14283</v>
      </c>
      <c r="D3622" s="4" t="s">
        <v>14283</v>
      </c>
      <c r="E3622" s="5" t="n">
        <v>507255</v>
      </c>
      <c r="F3622" s="4" t="n">
        <v>12</v>
      </c>
      <c r="G3622" s="4" t="s">
        <v>14284</v>
      </c>
      <c r="H3622" s="4" t="n">
        <v>38.67022</v>
      </c>
      <c r="I3622" s="4" t="n">
        <v>-77.3334</v>
      </c>
      <c r="J3622" s="4" t="s">
        <v>14285</v>
      </c>
      <c r="K3622" s="6" t="str">
        <f aca="false">HYPERLINK("https://www.google.com/search?q=Prince+William+Public+Libraries+Prince+William+VA+library+website","Search")</f>
        <v>Search</v>
      </c>
      <c r="L3622" s="7"/>
      <c r="M3622" s="8" t="str">
        <f aca="false">HYPERLINK("https://princewilliam.overdrive.com","https://princewilliam.overdrive.com")</f>
        <v>https://princewilliam.overdrive.com</v>
      </c>
    </row>
    <row r="3623" customFormat="false" ht="15" hidden="false" customHeight="true" outlineLevel="0" collapsed="false">
      <c r="A3623" s="4" t="s">
        <v>14054</v>
      </c>
      <c r="B3623" s="4" t="s">
        <v>14286</v>
      </c>
      <c r="C3623" s="4" t="s">
        <v>496</v>
      </c>
      <c r="D3623" s="4" t="s">
        <v>496</v>
      </c>
      <c r="E3623" s="5" t="n">
        <v>34097</v>
      </c>
      <c r="F3623" s="4" t="n">
        <v>2</v>
      </c>
      <c r="G3623" s="4" t="s">
        <v>14287</v>
      </c>
      <c r="H3623" s="4" t="n">
        <v>37.04895</v>
      </c>
      <c r="I3623" s="4" t="n">
        <v>-80.78138</v>
      </c>
      <c r="J3623" s="4" t="s">
        <v>14288</v>
      </c>
      <c r="K3623" s="6" t="str">
        <f aca="false">HYPERLINK("https://www.google.com/search?q=Pulaski+County+Library+System+Pulaski+VA+library+website","Search")</f>
        <v>Search</v>
      </c>
      <c r="L3623" s="7"/>
      <c r="M3623" s="7"/>
    </row>
    <row r="3624" customFormat="false" ht="15" hidden="false" customHeight="true" outlineLevel="0" collapsed="false">
      <c r="A3624" s="4" t="s">
        <v>14054</v>
      </c>
      <c r="B3624" s="4" t="s">
        <v>14289</v>
      </c>
      <c r="C3624" s="4" t="s">
        <v>14290</v>
      </c>
      <c r="D3624" s="4" t="s">
        <v>14290</v>
      </c>
      <c r="E3624" s="5" t="n">
        <v>18044</v>
      </c>
      <c r="F3624" s="4" t="n">
        <v>1</v>
      </c>
      <c r="G3624" s="4" t="s">
        <v>14291</v>
      </c>
      <c r="H3624" s="4" t="n">
        <v>37.13746</v>
      </c>
      <c r="I3624" s="4" t="n">
        <v>-80.56916</v>
      </c>
      <c r="J3624" s="4" t="s">
        <v>14292</v>
      </c>
      <c r="K3624" s="6" t="str">
        <f aca="false">HYPERLINK("https://www.google.com/search?q=Radford+Public+Library+Radford+VA+library+website","Search")</f>
        <v>Search</v>
      </c>
      <c r="L3624" s="7"/>
      <c r="M3624" s="7"/>
    </row>
    <row r="3625" customFormat="false" ht="15" hidden="false" customHeight="true" outlineLevel="0" collapsed="false">
      <c r="A3625" s="4" t="s">
        <v>14054</v>
      </c>
      <c r="B3625" s="4" t="s">
        <v>1347</v>
      </c>
      <c r="C3625" s="4" t="s">
        <v>1348</v>
      </c>
      <c r="D3625" s="4" t="s">
        <v>1348</v>
      </c>
      <c r="E3625" s="5" t="n">
        <v>226841</v>
      </c>
      <c r="F3625" s="4" t="n">
        <v>9</v>
      </c>
      <c r="G3625" s="4" t="s">
        <v>14293</v>
      </c>
      <c r="H3625" s="4" t="n">
        <v>37.54311</v>
      </c>
      <c r="I3625" s="4" t="n">
        <v>-77.44229</v>
      </c>
      <c r="J3625" s="4" t="s">
        <v>14294</v>
      </c>
      <c r="K3625" s="6" t="str">
        <f aca="false">HYPERLINK("https://www.google.com/search?q=Richmond+Public+Library+Richmond+VA+library+website","Search")</f>
        <v>Search</v>
      </c>
      <c r="L3625" s="7"/>
      <c r="M3625" s="7"/>
    </row>
    <row r="3626" customFormat="false" ht="15" hidden="false" customHeight="true" outlineLevel="0" collapsed="false">
      <c r="A3626" s="4" t="s">
        <v>14054</v>
      </c>
      <c r="B3626" s="4" t="s">
        <v>14295</v>
      </c>
      <c r="C3626" s="4" t="s">
        <v>14086</v>
      </c>
      <c r="D3626" s="4" t="s">
        <v>14086</v>
      </c>
      <c r="E3626" s="5" t="n">
        <v>99348</v>
      </c>
      <c r="F3626" s="4" t="n">
        <v>8</v>
      </c>
      <c r="G3626" s="4" t="s">
        <v>14296</v>
      </c>
      <c r="H3626" s="4" t="n">
        <v>37.26804</v>
      </c>
      <c r="I3626" s="4" t="n">
        <v>-79.94069</v>
      </c>
      <c r="J3626" s="4" t="s">
        <v>14297</v>
      </c>
      <c r="K3626" s="6" t="str">
        <f aca="false">HYPERLINK("https://www.google.com/search?q=Roanoke+City+Public+Library+Roanoke+VA+library+website","Search")</f>
        <v>Search</v>
      </c>
      <c r="L3626" s="7"/>
      <c r="M3626" s="7"/>
    </row>
    <row r="3627" customFormat="false" ht="15" hidden="false" customHeight="true" outlineLevel="0" collapsed="false">
      <c r="A3627" s="4" t="s">
        <v>14054</v>
      </c>
      <c r="B3627" s="4" t="s">
        <v>14298</v>
      </c>
      <c r="C3627" s="4" t="s">
        <v>14086</v>
      </c>
      <c r="D3627" s="4" t="s">
        <v>14086</v>
      </c>
      <c r="E3627" s="5" t="n">
        <v>93805</v>
      </c>
      <c r="F3627" s="4" t="n">
        <v>6</v>
      </c>
      <c r="G3627" s="4" t="s">
        <v>14299</v>
      </c>
      <c r="H3627" s="4" t="n">
        <v>37.20386</v>
      </c>
      <c r="I3627" s="4" t="n">
        <v>-80.00387</v>
      </c>
      <c r="J3627" s="4" t="s">
        <v>14300</v>
      </c>
      <c r="K3627" s="6" t="str">
        <f aca="false">HYPERLINK("https://www.google.com/search?q=Roanoke+County+Public+Library+Roanoke+VA+library+website","Search")</f>
        <v>Search</v>
      </c>
      <c r="L3627" s="7"/>
      <c r="M3627" s="7"/>
    </row>
    <row r="3628" customFormat="false" ht="15" hidden="false" customHeight="true" outlineLevel="0" collapsed="false">
      <c r="A3628" s="4" t="s">
        <v>14054</v>
      </c>
      <c r="B3628" s="4" t="s">
        <v>14301</v>
      </c>
      <c r="C3628" s="4" t="s">
        <v>5037</v>
      </c>
      <c r="D3628" s="4" t="s">
        <v>5037</v>
      </c>
      <c r="E3628" s="5" t="n">
        <v>40704</v>
      </c>
      <c r="F3628" s="4" t="n">
        <v>5</v>
      </c>
      <c r="G3628" s="4" t="s">
        <v>14302</v>
      </c>
      <c r="H3628" s="4" t="n">
        <v>37.78354</v>
      </c>
      <c r="I3628" s="4" t="n">
        <v>-79.44362</v>
      </c>
      <c r="J3628" s="4" t="s">
        <v>14303</v>
      </c>
      <c r="K3628" s="6" t="str">
        <f aca="false">HYPERLINK("https://www.google.com/search?q=Rockbridge+Regional+Library+Lexington+VA+library+website","Search")</f>
        <v>Search</v>
      </c>
      <c r="L3628" s="7"/>
      <c r="M3628" s="7"/>
    </row>
    <row r="3629" customFormat="false" ht="15" hidden="false" customHeight="true" outlineLevel="0" collapsed="false">
      <c r="A3629" s="4" t="s">
        <v>14054</v>
      </c>
      <c r="B3629" s="4" t="s">
        <v>5164</v>
      </c>
      <c r="C3629" s="4" t="s">
        <v>4459</v>
      </c>
      <c r="D3629" s="4" t="s">
        <v>370</v>
      </c>
      <c r="E3629" s="5" t="n">
        <v>26830</v>
      </c>
      <c r="F3629" s="4" t="n">
        <v>2</v>
      </c>
      <c r="G3629" s="4" t="s">
        <v>14304</v>
      </c>
      <c r="H3629" s="4" t="n">
        <v>36.90073</v>
      </c>
      <c r="I3629" s="4" t="n">
        <v>-82.08468</v>
      </c>
      <c r="J3629" s="4" t="s">
        <v>14305</v>
      </c>
      <c r="K3629" s="6" t="str">
        <f aca="false">HYPERLINK("https://www.google.com/search?q=Russell+County+Public+Library+Lebanon+VA+library+website","Search")</f>
        <v>Search</v>
      </c>
      <c r="L3629" s="7"/>
      <c r="M3629" s="7"/>
    </row>
    <row r="3630" customFormat="false" ht="15" hidden="false" customHeight="true" outlineLevel="0" collapsed="false">
      <c r="A3630" s="4" t="s">
        <v>14054</v>
      </c>
      <c r="B3630" s="4" t="s">
        <v>5977</v>
      </c>
      <c r="C3630" s="4" t="s">
        <v>4598</v>
      </c>
      <c r="D3630" s="4" t="s">
        <v>4598</v>
      </c>
      <c r="E3630" s="5" t="n">
        <v>25363</v>
      </c>
      <c r="F3630" s="4" t="n">
        <v>1</v>
      </c>
      <c r="G3630" s="4" t="s">
        <v>14306</v>
      </c>
      <c r="H3630" s="4" t="n">
        <v>37.29286</v>
      </c>
      <c r="I3630" s="4" t="n">
        <v>-80.05743</v>
      </c>
      <c r="J3630" s="4" t="s">
        <v>14307</v>
      </c>
      <c r="K3630" s="6" t="str">
        <f aca="false">HYPERLINK("https://www.google.com/search?q=Salem+Public+Library+Salem+VA+library+website","Search")</f>
        <v>Search</v>
      </c>
      <c r="L3630" s="7"/>
      <c r="M3630" s="7"/>
    </row>
    <row r="3631" customFormat="false" ht="15" hidden="false" customHeight="true" outlineLevel="0" collapsed="false">
      <c r="A3631" s="4" t="s">
        <v>14054</v>
      </c>
      <c r="B3631" s="4" t="s">
        <v>14308</v>
      </c>
      <c r="C3631" s="4" t="s">
        <v>14309</v>
      </c>
      <c r="D3631" s="4" t="s">
        <v>3012</v>
      </c>
      <c r="E3631" s="5" t="n">
        <v>39936</v>
      </c>
      <c r="F3631" s="4" t="n">
        <v>1</v>
      </c>
      <c r="G3631" s="4" t="s">
        <v>14310</v>
      </c>
      <c r="H3631" s="4" t="n">
        <v>38.90606</v>
      </c>
      <c r="I3631" s="4" t="n">
        <v>-78.1883</v>
      </c>
      <c r="J3631" s="4" t="s">
        <v>14311</v>
      </c>
      <c r="K3631" s="6" t="str">
        <f aca="false">HYPERLINK("https://www.google.com/search?q=Samuels+Public+Library+Front+Royal+VA+library+website","Search")</f>
        <v>Search</v>
      </c>
      <c r="L3631" s="7"/>
      <c r="M3631" s="7"/>
    </row>
    <row r="3632" customFormat="false" ht="15" hidden="false" customHeight="true" outlineLevel="0" collapsed="false">
      <c r="A3632" s="4" t="s">
        <v>14054</v>
      </c>
      <c r="B3632" s="4" t="s">
        <v>14312</v>
      </c>
      <c r="C3632" s="4" t="s">
        <v>13213</v>
      </c>
      <c r="D3632" s="4" t="s">
        <v>14313</v>
      </c>
      <c r="E3632" s="5" t="n">
        <v>42987</v>
      </c>
      <c r="F3632" s="4" t="n">
        <v>6</v>
      </c>
      <c r="G3632" s="4" t="s">
        <v>14314</v>
      </c>
      <c r="H3632" s="4" t="n">
        <v>38.82744</v>
      </c>
      <c r="I3632" s="4" t="n">
        <v>-78.57007</v>
      </c>
      <c r="J3632" s="4" t="s">
        <v>14315</v>
      </c>
      <c r="K3632" s="6" t="str">
        <f aca="false">HYPERLINK("https://www.google.com/search?q=Shenandoah+County+Library+Edinburg+VA+library+website","Search")</f>
        <v>Search</v>
      </c>
      <c r="L3632" s="7"/>
      <c r="M3632" s="7"/>
    </row>
    <row r="3633" customFormat="false" ht="15" hidden="false" customHeight="true" outlineLevel="0" collapsed="false">
      <c r="A3633" s="4" t="s">
        <v>14054</v>
      </c>
      <c r="B3633" s="4" t="s">
        <v>14316</v>
      </c>
      <c r="C3633" s="4" t="s">
        <v>572</v>
      </c>
      <c r="D3633" s="4" t="s">
        <v>14317</v>
      </c>
      <c r="E3633" s="5" t="n">
        <v>30075</v>
      </c>
      <c r="F3633" s="4" t="n">
        <v>3</v>
      </c>
      <c r="G3633" s="4" t="s">
        <v>14318</v>
      </c>
      <c r="H3633" s="4" t="n">
        <v>36.83145</v>
      </c>
      <c r="I3633" s="4" t="n">
        <v>-81.52096</v>
      </c>
      <c r="J3633" s="4" t="s">
        <v>14319</v>
      </c>
      <c r="K3633" s="6" t="str">
        <f aca="false">HYPERLINK("https://www.google.com/search?q=Smyth+County+Public+Library+Marion+VA+library+website","Search")</f>
        <v>Search</v>
      </c>
      <c r="L3633" s="7"/>
      <c r="M3633" s="7"/>
    </row>
    <row r="3634" customFormat="false" ht="15" hidden="false" customHeight="true" outlineLevel="0" collapsed="false">
      <c r="A3634" s="4" t="s">
        <v>14054</v>
      </c>
      <c r="B3634" s="4" t="s">
        <v>14320</v>
      </c>
      <c r="C3634" s="4" t="s">
        <v>14321</v>
      </c>
      <c r="D3634" s="4" t="s">
        <v>14321</v>
      </c>
      <c r="E3634" s="5" t="n">
        <v>24971</v>
      </c>
      <c r="F3634" s="4" t="n">
        <v>1</v>
      </c>
      <c r="G3634" s="4" t="s">
        <v>14322</v>
      </c>
      <c r="H3634" s="4" t="n">
        <v>38.15597</v>
      </c>
      <c r="I3634" s="4" t="n">
        <v>-79.07326</v>
      </c>
      <c r="J3634" s="4" t="s">
        <v>14323</v>
      </c>
      <c r="K3634" s="6" t="str">
        <f aca="false">HYPERLINK("https://www.google.com/search?q=Staunton+Public+Library+Staunton+VA+library+website","Search")</f>
        <v>Search</v>
      </c>
      <c r="L3634" s="7"/>
      <c r="M3634" s="7"/>
    </row>
    <row r="3635" customFormat="false" ht="15" hidden="false" customHeight="true" outlineLevel="0" collapsed="false">
      <c r="A3635" s="4" t="s">
        <v>14054</v>
      </c>
      <c r="B3635" s="4" t="s">
        <v>14324</v>
      </c>
      <c r="C3635" s="4" t="s">
        <v>5553</v>
      </c>
      <c r="D3635" s="4" t="s">
        <v>14325</v>
      </c>
      <c r="E3635" s="5" t="n">
        <v>93825</v>
      </c>
      <c r="F3635" s="4" t="n">
        <v>3</v>
      </c>
      <c r="G3635" s="4" t="s">
        <v>14326</v>
      </c>
      <c r="H3635" s="4" t="n">
        <v>36.72961</v>
      </c>
      <c r="I3635" s="4" t="n">
        <v>-76.5891</v>
      </c>
      <c r="J3635" s="4" t="s">
        <v>14327</v>
      </c>
      <c r="K3635" s="6" t="str">
        <f aca="false">HYPERLINK("https://www.google.com/search?q=Suffolk+Public+Library+System+Suffolk+VA+library+website","Search")</f>
        <v>Search</v>
      </c>
      <c r="L3635" s="7"/>
      <c r="M3635" s="8" t="str">
        <f aca="false">HYPERLINK("https://suffolklibraries.overdrive.com","https://suffolklibraries.overdrive.com")</f>
        <v>https://suffolklibraries.overdrive.com</v>
      </c>
    </row>
    <row r="3636" customFormat="false" ht="15" hidden="false" customHeight="true" outlineLevel="0" collapsed="false">
      <c r="A3636" s="4" t="s">
        <v>14054</v>
      </c>
      <c r="B3636" s="4" t="s">
        <v>14328</v>
      </c>
      <c r="C3636" s="4" t="s">
        <v>3572</v>
      </c>
      <c r="D3636" s="4" t="s">
        <v>3572</v>
      </c>
      <c r="E3636" s="5" t="n">
        <v>41332</v>
      </c>
      <c r="F3636" s="4" t="n">
        <v>4</v>
      </c>
      <c r="G3636" s="4" t="s">
        <v>14329</v>
      </c>
      <c r="H3636" s="4" t="n">
        <v>37.11612</v>
      </c>
      <c r="I3636" s="4" t="n">
        <v>-81.51884</v>
      </c>
      <c r="J3636" s="4" t="s">
        <v>14330</v>
      </c>
      <c r="K3636" s="6" t="str">
        <f aca="false">HYPERLINK("https://www.google.com/search?q=Tazewell+County+Public+Library+Tazewell+VA+library+website","Search")</f>
        <v>Search</v>
      </c>
      <c r="L3636" s="7"/>
      <c r="M3636" s="7"/>
    </row>
    <row r="3637" customFormat="false" ht="15" hidden="false" customHeight="true" outlineLevel="0" collapsed="false">
      <c r="A3637" s="4" t="s">
        <v>14054</v>
      </c>
      <c r="B3637" s="4" t="s">
        <v>14331</v>
      </c>
      <c r="C3637" s="4" t="s">
        <v>14332</v>
      </c>
      <c r="D3637" s="4" t="s">
        <v>14332</v>
      </c>
      <c r="E3637" s="5" t="n">
        <v>452643</v>
      </c>
      <c r="F3637" s="4" t="n">
        <v>10</v>
      </c>
      <c r="G3637" s="4" t="s">
        <v>14333</v>
      </c>
      <c r="H3637" s="4" t="n">
        <v>36.75058</v>
      </c>
      <c r="I3637" s="4" t="n">
        <v>-76.05554</v>
      </c>
      <c r="J3637" s="4" t="s">
        <v>14334</v>
      </c>
      <c r="K3637" s="6" t="str">
        <f aca="false">HYPERLINK("https://www.google.com/search?q=Virginia+Beach+Public+Library+Virginia+Beach+VA+library+website","Search")</f>
        <v>Search</v>
      </c>
      <c r="L3637" s="7"/>
      <c r="M3637" s="8" t="str">
        <f aca="false">HYPERLINK("https://vbpl.overdrive.com","https://vbpl.overdrive.com")</f>
        <v>https://vbpl.overdrive.com</v>
      </c>
    </row>
    <row r="3638" customFormat="false" ht="15" hidden="false" customHeight="true" outlineLevel="0" collapsed="false">
      <c r="A3638" s="4" t="s">
        <v>14054</v>
      </c>
      <c r="B3638" s="4" t="s">
        <v>439</v>
      </c>
      <c r="C3638" s="4" t="s">
        <v>14335</v>
      </c>
      <c r="D3638" s="4" t="s">
        <v>441</v>
      </c>
      <c r="E3638" s="5" t="n">
        <v>53417</v>
      </c>
      <c r="F3638" s="4" t="n">
        <v>5</v>
      </c>
      <c r="G3638" s="4" t="s">
        <v>14336</v>
      </c>
      <c r="H3638" s="4" t="n">
        <v>36.71289</v>
      </c>
      <c r="I3638" s="4" t="n">
        <v>-81.97327</v>
      </c>
      <c r="J3638" s="4" t="s">
        <v>14337</v>
      </c>
      <c r="K3638" s="6" t="str">
        <f aca="false">HYPERLINK("https://www.google.com/search?q=Washington+County+Public+Library+Abingdon+VA+library+website","Search")</f>
        <v>Search</v>
      </c>
      <c r="L3638" s="7"/>
      <c r="M3638" s="7"/>
    </row>
    <row r="3639" customFormat="false" ht="15" hidden="false" customHeight="true" outlineLevel="0" collapsed="false">
      <c r="A3639" s="4" t="s">
        <v>14054</v>
      </c>
      <c r="B3639" s="4" t="s">
        <v>14338</v>
      </c>
      <c r="C3639" s="4" t="s">
        <v>7766</v>
      </c>
      <c r="D3639" s="4" t="s">
        <v>7766</v>
      </c>
      <c r="E3639" s="5" t="n">
        <v>22183</v>
      </c>
      <c r="F3639" s="4" t="n">
        <v>1</v>
      </c>
      <c r="G3639" s="4" t="s">
        <v>14339</v>
      </c>
      <c r="H3639" s="4" t="n">
        <v>38.06204</v>
      </c>
      <c r="I3639" s="4" t="n">
        <v>-78.89378</v>
      </c>
      <c r="J3639" s="4" t="s">
        <v>14340</v>
      </c>
      <c r="K3639" s="6" t="str">
        <f aca="false">HYPERLINK("https://www.google.com/search?q=Waynesboro+Public+Library+Waynesboro+VA+library+website","Search")</f>
        <v>Search</v>
      </c>
      <c r="L3639" s="7"/>
      <c r="M3639" s="7"/>
    </row>
    <row r="3640" customFormat="false" ht="15" hidden="false" customHeight="true" outlineLevel="0" collapsed="false">
      <c r="A3640" s="4" t="s">
        <v>14054</v>
      </c>
      <c r="B3640" s="4" t="s">
        <v>14341</v>
      </c>
      <c r="C3640" s="4" t="s">
        <v>5204</v>
      </c>
      <c r="D3640" s="4" t="s">
        <v>5204</v>
      </c>
      <c r="E3640" s="5" t="n">
        <v>91290</v>
      </c>
      <c r="F3640" s="4" t="n">
        <v>2</v>
      </c>
      <c r="G3640" s="4" t="s">
        <v>14342</v>
      </c>
      <c r="H3640" s="4" t="n">
        <v>37.37819</v>
      </c>
      <c r="I3640" s="4" t="n">
        <v>-76.77119</v>
      </c>
      <c r="J3640" s="4" t="s">
        <v>14343</v>
      </c>
      <c r="K3640" s="6" t="str">
        <f aca="false">HYPERLINK("https://www.google.com/search?q=Williamsburg+Regional+Library+Williamsburg+VA+library+website","Search")</f>
        <v>Search</v>
      </c>
      <c r="L3640" s="7"/>
      <c r="M3640" s="8" t="str">
        <f aca="false">HYPERLINK("https://wrl.overdrive.com","https://wrl.overdrive.com")</f>
        <v>https://wrl.overdrive.com</v>
      </c>
    </row>
    <row r="3641" customFormat="false" ht="15" hidden="false" customHeight="true" outlineLevel="0" collapsed="false">
      <c r="A3641" s="4" t="s">
        <v>14054</v>
      </c>
      <c r="B3641" s="4" t="s">
        <v>14344</v>
      </c>
      <c r="C3641" s="4" t="s">
        <v>559</v>
      </c>
      <c r="D3641" s="4" t="s">
        <v>4945</v>
      </c>
      <c r="E3641" s="5" t="n">
        <v>43925</v>
      </c>
      <c r="F3641" s="4" t="n">
        <v>5</v>
      </c>
      <c r="G3641" s="4" t="s">
        <v>14345</v>
      </c>
      <c r="H3641" s="4" t="n">
        <v>36.621</v>
      </c>
      <c r="I3641" s="4" t="n">
        <v>-81.15213</v>
      </c>
      <c r="J3641" s="4" t="s">
        <v>14346</v>
      </c>
      <c r="K3641" s="6" t="str">
        <f aca="false">HYPERLINK("https://www.google.com/search?q=Wythe-Grayson+Regional+Library+Independence+VA+library+website","Search")</f>
        <v>Search</v>
      </c>
      <c r="L3641" s="7"/>
      <c r="M3641" s="7"/>
    </row>
    <row r="3642" customFormat="false" ht="15" hidden="false" customHeight="true" outlineLevel="0" collapsed="false">
      <c r="A3642" s="4" t="s">
        <v>14054</v>
      </c>
      <c r="B3642" s="4" t="s">
        <v>14347</v>
      </c>
      <c r="C3642" s="4" t="s">
        <v>4671</v>
      </c>
      <c r="D3642" s="4" t="s">
        <v>6292</v>
      </c>
      <c r="E3642" s="5" t="n">
        <v>69407</v>
      </c>
      <c r="F3642" s="4" t="n">
        <v>2</v>
      </c>
      <c r="G3642" s="4" t="s">
        <v>14348</v>
      </c>
      <c r="H3642" s="4" t="n">
        <v>37.11261</v>
      </c>
      <c r="I3642" s="4" t="n">
        <v>-76.44576</v>
      </c>
      <c r="J3642" s="4" t="s">
        <v>14349</v>
      </c>
      <c r="K3642" s="6" t="str">
        <f aca="false">HYPERLINK("https://www.google.com/search?q=York+County+Public+Library+Yorktown+VA+library+website","Search")</f>
        <v>Search</v>
      </c>
      <c r="L3642" s="7"/>
      <c r="M3642" s="7"/>
    </row>
    <row r="3643" customFormat="false" ht="15" hidden="false" customHeight="true" outlineLevel="0" collapsed="false">
      <c r="A3643" s="4" t="s">
        <v>14350</v>
      </c>
      <c r="B3643" s="4" t="s">
        <v>14351</v>
      </c>
      <c r="C3643" s="4" t="s">
        <v>14352</v>
      </c>
      <c r="D3643" s="4" t="s">
        <v>441</v>
      </c>
      <c r="E3643" s="5" t="n">
        <v>16261</v>
      </c>
      <c r="F3643" s="4" t="n">
        <v>2</v>
      </c>
      <c r="G3643" s="4" t="s">
        <v>14353</v>
      </c>
      <c r="H3643" s="4" t="n">
        <v>44.19728</v>
      </c>
      <c r="I3643" s="4" t="n">
        <v>-72.50113</v>
      </c>
      <c r="J3643" s="4" t="s">
        <v>14354</v>
      </c>
      <c r="K3643" s="6" t="str">
        <f aca="false">HYPERLINK("https://www.google.com/search?q=Aldrich+Public+Barre+VT+library+website","Search")</f>
        <v>Search</v>
      </c>
      <c r="L3643" s="7"/>
      <c r="M3643" s="7"/>
    </row>
    <row r="3644" customFormat="false" ht="15" hidden="false" customHeight="true" outlineLevel="0" collapsed="false">
      <c r="A3644" s="4" t="s">
        <v>14350</v>
      </c>
      <c r="B3644" s="4" t="s">
        <v>14355</v>
      </c>
      <c r="C3644" s="4" t="s">
        <v>14356</v>
      </c>
      <c r="D3644" s="4" t="s">
        <v>14356</v>
      </c>
      <c r="E3644" s="5" t="n">
        <v>16230</v>
      </c>
      <c r="F3644" s="4" t="n">
        <v>1</v>
      </c>
      <c r="G3644" s="4" t="s">
        <v>14357</v>
      </c>
      <c r="H3644" s="4" t="n">
        <v>42.87767</v>
      </c>
      <c r="I3644" s="4" t="n">
        <v>-73.19377</v>
      </c>
      <c r="J3644" s="4" t="s">
        <v>14358</v>
      </c>
      <c r="K3644" s="6" t="str">
        <f aca="false">HYPERLINK("https://www.google.com/search?q=Bennington+Free+Bennington+VT+library+website","Search")</f>
        <v>Search</v>
      </c>
      <c r="L3644" s="7"/>
      <c r="M3644" s="7"/>
    </row>
    <row r="3645" customFormat="false" ht="15" hidden="false" customHeight="true" outlineLevel="0" collapsed="false">
      <c r="A3645" s="4" t="s">
        <v>14350</v>
      </c>
      <c r="B3645" s="4" t="s">
        <v>14359</v>
      </c>
      <c r="C3645" s="4" t="s">
        <v>14360</v>
      </c>
      <c r="D3645" s="4" t="s">
        <v>1797</v>
      </c>
      <c r="E3645" s="5" t="n">
        <v>12187</v>
      </c>
      <c r="F3645" s="4" t="n">
        <v>1</v>
      </c>
      <c r="G3645" s="4" t="s">
        <v>14361</v>
      </c>
      <c r="H3645" s="4" t="n">
        <v>42.85545</v>
      </c>
      <c r="I3645" s="4" t="n">
        <v>-72.55969</v>
      </c>
      <c r="J3645" s="4" t="s">
        <v>14362</v>
      </c>
      <c r="K3645" s="6" t="str">
        <f aca="false">HYPERLINK("https://www.google.com/search?q=Brooks+Memorial+Brattleboro+VT+library+website","Search")</f>
        <v>Search</v>
      </c>
      <c r="L3645" s="7"/>
      <c r="M3645" s="7"/>
    </row>
    <row r="3646" customFormat="false" ht="15" hidden="false" customHeight="true" outlineLevel="0" collapsed="false">
      <c r="A3646" s="4" t="s">
        <v>14350</v>
      </c>
      <c r="B3646" s="4" t="s">
        <v>14363</v>
      </c>
      <c r="C3646" s="4" t="s">
        <v>14364</v>
      </c>
      <c r="D3646" s="4" t="s">
        <v>14365</v>
      </c>
      <c r="E3646" s="5" t="n">
        <v>10761</v>
      </c>
      <c r="F3646" s="4" t="n">
        <v>1</v>
      </c>
      <c r="G3646" s="4" t="s">
        <v>14366</v>
      </c>
      <c r="H3646" s="4" t="n">
        <v>44.49154</v>
      </c>
      <c r="I3646" s="4" t="n">
        <v>-73.11108</v>
      </c>
      <c r="J3646" s="4" t="s">
        <v>14367</v>
      </c>
      <c r="K3646" s="6" t="str">
        <f aca="false">HYPERLINK("https://www.google.com/search?q=Brownell+Essex+Junction+VT+library+website","Search")</f>
        <v>Search</v>
      </c>
      <c r="L3646" s="7"/>
      <c r="M3646" s="7"/>
    </row>
    <row r="3647" customFormat="false" ht="15" hidden="false" customHeight="true" outlineLevel="0" collapsed="false">
      <c r="A3647" s="4" t="s">
        <v>14350</v>
      </c>
      <c r="B3647" s="4" t="s">
        <v>14368</v>
      </c>
      <c r="C3647" s="4" t="s">
        <v>1868</v>
      </c>
      <c r="D3647" s="4" t="s">
        <v>14365</v>
      </c>
      <c r="E3647" s="5" t="n">
        <v>17547</v>
      </c>
      <c r="F3647" s="4" t="n">
        <v>1</v>
      </c>
      <c r="G3647" s="4" t="s">
        <v>14369</v>
      </c>
      <c r="H3647" s="4" t="n">
        <v>44.54412</v>
      </c>
      <c r="I3647" s="4" t="n">
        <v>-73.14897</v>
      </c>
      <c r="J3647" s="4" t="s">
        <v>14370</v>
      </c>
      <c r="K3647" s="6" t="str">
        <f aca="false">HYPERLINK("https://www.google.com/search?q=Burnham+Memorial+Colchester+VT+library+website","Search")</f>
        <v>Search</v>
      </c>
      <c r="L3647" s="7"/>
      <c r="M3647" s="7"/>
    </row>
    <row r="3648" customFormat="false" ht="15" hidden="false" customHeight="true" outlineLevel="0" collapsed="false">
      <c r="A3648" s="4" t="s">
        <v>14350</v>
      </c>
      <c r="B3648" s="4" t="s">
        <v>14371</v>
      </c>
      <c r="C3648" s="4" t="s">
        <v>8247</v>
      </c>
      <c r="D3648" s="4" t="s">
        <v>14365</v>
      </c>
      <c r="E3648" s="5" t="n">
        <v>10332</v>
      </c>
      <c r="F3648" s="4" t="n">
        <v>1</v>
      </c>
      <c r="G3648" s="4" t="s">
        <v>14372</v>
      </c>
      <c r="H3648" s="4" t="n">
        <v>44.43897</v>
      </c>
      <c r="I3648" s="4" t="n">
        <v>-73.07412</v>
      </c>
      <c r="J3648" s="4" t="s">
        <v>14373</v>
      </c>
      <c r="K3648" s="6" t="str">
        <f aca="false">HYPERLINK("https://www.google.com/search?q=Dorothy+Alling+Memorial+Williston+VT+library+website","Search")</f>
        <v>Search</v>
      </c>
      <c r="L3648" s="7"/>
      <c r="M3648" s="7"/>
    </row>
    <row r="3649" customFormat="false" ht="15" hidden="false" customHeight="true" outlineLevel="0" collapsed="false">
      <c r="A3649" s="4" t="s">
        <v>14350</v>
      </c>
      <c r="B3649" s="4" t="s">
        <v>14374</v>
      </c>
      <c r="C3649" s="4" t="s">
        <v>5472</v>
      </c>
      <c r="D3649" s="4" t="s">
        <v>14365</v>
      </c>
      <c r="E3649" s="5" t="n">
        <v>11090</v>
      </c>
      <c r="F3649" s="4" t="n">
        <v>1</v>
      </c>
      <c r="G3649" s="4" t="s">
        <v>14375</v>
      </c>
      <c r="H3649" s="4" t="n">
        <v>44.51177</v>
      </c>
      <c r="I3649" s="4" t="n">
        <v>-73.05913</v>
      </c>
      <c r="J3649" s="4" t="s">
        <v>14376</v>
      </c>
      <c r="K3649" s="6" t="str">
        <f aca="false">HYPERLINK("https://www.google.com/search?q=Essex+Free+Essex+VT+library+website","Search")</f>
        <v>Search</v>
      </c>
      <c r="L3649" s="7"/>
      <c r="M3649" s="7"/>
    </row>
    <row r="3650" customFormat="false" ht="15" hidden="false" customHeight="true" outlineLevel="0" collapsed="false">
      <c r="A3650" s="4" t="s">
        <v>14350</v>
      </c>
      <c r="B3650" s="4" t="s">
        <v>14377</v>
      </c>
      <c r="C3650" s="4" t="s">
        <v>2903</v>
      </c>
      <c r="D3650" s="4" t="s">
        <v>14365</v>
      </c>
      <c r="E3650" s="5" t="n">
        <v>44703</v>
      </c>
      <c r="F3650" s="4" t="n">
        <v>2</v>
      </c>
      <c r="G3650" s="4" t="s">
        <v>14378</v>
      </c>
      <c r="H3650" s="4" t="n">
        <v>44.47714</v>
      </c>
      <c r="I3650" s="4" t="n">
        <v>-73.21053</v>
      </c>
      <c r="J3650" s="4" t="s">
        <v>14379</v>
      </c>
      <c r="K3650" s="6" t="str">
        <f aca="false">HYPERLINK("https://www.google.com/search?q=Fletcher+Free+Burlington+VT+library+website","Search")</f>
        <v>Search</v>
      </c>
      <c r="L3650" s="7"/>
      <c r="M3650" s="7"/>
    </row>
    <row r="3651" customFormat="false" ht="15" hidden="false" customHeight="true" outlineLevel="0" collapsed="false">
      <c r="A3651" s="4" t="s">
        <v>14350</v>
      </c>
      <c r="B3651" s="4" t="s">
        <v>14380</v>
      </c>
      <c r="C3651" s="4" t="s">
        <v>14381</v>
      </c>
      <c r="D3651" s="4" t="s">
        <v>441</v>
      </c>
      <c r="E3651" s="5" t="n">
        <v>17732</v>
      </c>
      <c r="F3651" s="4" t="n">
        <v>1</v>
      </c>
      <c r="G3651" s="4" t="s">
        <v>14382</v>
      </c>
      <c r="H3651" s="4" t="n">
        <v>44.26144</v>
      </c>
      <c r="I3651" s="4" t="n">
        <v>-72.57391</v>
      </c>
      <c r="J3651" s="4" t="s">
        <v>14383</v>
      </c>
      <c r="K3651" s="6" t="str">
        <f aca="false">HYPERLINK("https://www.google.com/search?q=Kellogg-Hubbard+Montpelier+VT+library+website","Search")</f>
        <v>Search</v>
      </c>
      <c r="L3651" s="7"/>
      <c r="M3651" s="7"/>
    </row>
    <row r="3652" customFormat="false" ht="15" hidden="false" customHeight="true" outlineLevel="0" collapsed="false">
      <c r="A3652" s="4" t="s">
        <v>14350</v>
      </c>
      <c r="B3652" s="4" t="s">
        <v>14384</v>
      </c>
      <c r="C3652" s="4" t="s">
        <v>2535</v>
      </c>
      <c r="D3652" s="4" t="s">
        <v>14365</v>
      </c>
      <c r="E3652" s="5" t="n">
        <v>10688</v>
      </c>
      <c r="F3652" s="4" t="n">
        <v>1</v>
      </c>
      <c r="G3652" s="4" t="s">
        <v>14385</v>
      </c>
      <c r="H3652" s="4" t="n">
        <v>44.6196</v>
      </c>
      <c r="I3652" s="4" t="n">
        <v>-73.12391</v>
      </c>
      <c r="J3652" s="4" t="s">
        <v>14386</v>
      </c>
      <c r="K3652" s="6" t="str">
        <f aca="false">HYPERLINK("https://www.google.com/search?q=Milton+Public+Milton+VT+library+website","Search")</f>
        <v>Search</v>
      </c>
      <c r="L3652" s="7"/>
      <c r="M3652" s="7"/>
    </row>
    <row r="3653" customFormat="false" ht="15" hidden="false" customHeight="true" outlineLevel="0" collapsed="false">
      <c r="A3653" s="4" t="s">
        <v>14350</v>
      </c>
      <c r="B3653" s="4" t="s">
        <v>14387</v>
      </c>
      <c r="C3653" s="4" t="s">
        <v>14388</v>
      </c>
      <c r="D3653" s="4" t="s">
        <v>14388</v>
      </c>
      <c r="E3653" s="5" t="n">
        <v>22158</v>
      </c>
      <c r="F3653" s="4" t="n">
        <v>1</v>
      </c>
      <c r="G3653" s="4" t="s">
        <v>14389</v>
      </c>
      <c r="H3653" s="4" t="n">
        <v>43.60715</v>
      </c>
      <c r="I3653" s="4" t="n">
        <v>-72.97559</v>
      </c>
      <c r="J3653" s="4" t="s">
        <v>14390</v>
      </c>
      <c r="K3653" s="6" t="str">
        <f aca="false">HYPERLINK("https://www.google.com/search?q=Rutland+Free+Rutland+VT+library+website","Search")</f>
        <v>Search</v>
      </c>
      <c r="L3653" s="7"/>
      <c r="M3653" s="7"/>
    </row>
    <row r="3654" customFormat="false" ht="15" hidden="false" customHeight="true" outlineLevel="0" collapsed="false">
      <c r="A3654" s="4" t="s">
        <v>14350</v>
      </c>
      <c r="B3654" s="4" t="s">
        <v>14391</v>
      </c>
      <c r="C3654" s="4" t="s">
        <v>14392</v>
      </c>
      <c r="D3654" s="4" t="s">
        <v>14365</v>
      </c>
      <c r="E3654" s="5" t="n">
        <v>20042</v>
      </c>
      <c r="F3654" s="4" t="n">
        <v>1</v>
      </c>
      <c r="G3654" s="4" t="s">
        <v>14393</v>
      </c>
      <c r="H3654" s="4" t="n">
        <v>44.45472</v>
      </c>
      <c r="I3654" s="4" t="n">
        <v>-73.17897</v>
      </c>
      <c r="J3654" s="4" t="s">
        <v>14394</v>
      </c>
      <c r="K3654" s="6" t="str">
        <f aca="false">HYPERLINK("https://www.google.com/search?q=South+Burlington+S.+Burlington+VT+library+website","Search")</f>
        <v>Search</v>
      </c>
      <c r="L3654" s="7"/>
      <c r="M3654" s="7"/>
    </row>
    <row r="3655" customFormat="false" ht="15" hidden="false" customHeight="true" outlineLevel="0" collapsed="false">
      <c r="A3655" s="4" t="s">
        <v>14350</v>
      </c>
      <c r="B3655" s="4" t="s">
        <v>14395</v>
      </c>
      <c r="C3655" s="4" t="s">
        <v>14396</v>
      </c>
      <c r="D3655" s="4" t="s">
        <v>384</v>
      </c>
      <c r="E3655" s="5" t="n">
        <v>13354</v>
      </c>
      <c r="F3655" s="4" t="n">
        <v>1</v>
      </c>
      <c r="G3655" s="4" t="s">
        <v>14397</v>
      </c>
      <c r="H3655" s="4" t="n">
        <v>44.81288</v>
      </c>
      <c r="I3655" s="4" t="n">
        <v>-73.0819</v>
      </c>
      <c r="J3655" s="4" t="s">
        <v>14398</v>
      </c>
      <c r="K3655" s="6" t="str">
        <f aca="false">HYPERLINK("https://www.google.com/search?q=St.+Albans+Free+St.+Albans+VT+library+website","Search")</f>
        <v>Search</v>
      </c>
      <c r="L3655" s="7"/>
      <c r="M3655" s="7"/>
    </row>
    <row r="3656" customFormat="false" ht="15" hidden="false" customHeight="true" outlineLevel="0" collapsed="false">
      <c r="A3656" s="4" t="s">
        <v>14399</v>
      </c>
      <c r="B3656" s="4" t="s">
        <v>14400</v>
      </c>
      <c r="C3656" s="4" t="s">
        <v>14401</v>
      </c>
      <c r="D3656" s="4" t="s">
        <v>14402</v>
      </c>
      <c r="E3656" s="5" t="n">
        <v>17880</v>
      </c>
      <c r="F3656" s="4" t="n">
        <v>1</v>
      </c>
      <c r="G3656" s="4" t="s">
        <v>14403</v>
      </c>
      <c r="H3656" s="4" t="n">
        <v>48.51429</v>
      </c>
      <c r="I3656" s="4" t="n">
        <v>-122.61656</v>
      </c>
      <c r="J3656" s="4" t="s">
        <v>14404</v>
      </c>
      <c r="K3656" s="6" t="str">
        <f aca="false">HYPERLINK("https://www.google.com/search?q=Anacortes+Public+Library+Anacortes+WA+library+website","Search")</f>
        <v>Search</v>
      </c>
      <c r="L3656" s="7"/>
      <c r="M3656" s="7"/>
    </row>
    <row r="3657" customFormat="false" ht="15" hidden="false" customHeight="true" outlineLevel="0" collapsed="false">
      <c r="A3657" s="4" t="s">
        <v>14399</v>
      </c>
      <c r="B3657" s="4" t="s">
        <v>14405</v>
      </c>
      <c r="C3657" s="4" t="s">
        <v>6538</v>
      </c>
      <c r="D3657" s="4" t="s">
        <v>14406</v>
      </c>
      <c r="E3657" s="5" t="n">
        <v>22600</v>
      </c>
      <c r="F3657" s="4" t="n">
        <v>3</v>
      </c>
      <c r="G3657" s="4" t="s">
        <v>14407</v>
      </c>
      <c r="H3657" s="4" t="n">
        <v>46.41266</v>
      </c>
      <c r="I3657" s="4" t="n">
        <v>-117.04389</v>
      </c>
      <c r="J3657" s="4" t="s">
        <v>14408</v>
      </c>
      <c r="K3657" s="6" t="str">
        <f aca="false">HYPERLINK("https://www.google.com/search?q=Asotin+County+Library+Clarkston+WA+library+website","Search")</f>
        <v>Search</v>
      </c>
      <c r="L3657" s="7"/>
      <c r="M3657" s="7"/>
    </row>
    <row r="3658" customFormat="false" ht="15" hidden="false" customHeight="true" outlineLevel="0" collapsed="false">
      <c r="A3658" s="4" t="s">
        <v>14399</v>
      </c>
      <c r="B3658" s="4" t="s">
        <v>5522</v>
      </c>
      <c r="C3658" s="4" t="s">
        <v>5523</v>
      </c>
      <c r="D3658" s="4" t="s">
        <v>14409</v>
      </c>
      <c r="E3658" s="5" t="n">
        <v>93910</v>
      </c>
      <c r="F3658" s="4" t="n">
        <v>3</v>
      </c>
      <c r="G3658" s="4" t="s">
        <v>14410</v>
      </c>
      <c r="H3658" s="4" t="n">
        <v>48.75391</v>
      </c>
      <c r="I3658" s="4" t="n">
        <v>-122.47887</v>
      </c>
      <c r="J3658" s="4" t="s">
        <v>14411</v>
      </c>
      <c r="K3658" s="6" t="str">
        <f aca="false">HYPERLINK("https://www.google.com/search?q=Bellingham+Public+Library+Bellingham+WA+library+website","Search")</f>
        <v>Search</v>
      </c>
      <c r="L3658" s="7"/>
      <c r="M3658" s="7"/>
    </row>
    <row r="3659" customFormat="false" ht="15" hidden="false" customHeight="true" outlineLevel="0" collapsed="false">
      <c r="A3659" s="4" t="s">
        <v>14399</v>
      </c>
      <c r="B3659" s="4" t="s">
        <v>14412</v>
      </c>
      <c r="C3659" s="4" t="s">
        <v>14413</v>
      </c>
      <c r="D3659" s="4" t="s">
        <v>501</v>
      </c>
      <c r="E3659" s="5" t="n">
        <v>27250</v>
      </c>
      <c r="F3659" s="4" t="n">
        <v>1</v>
      </c>
      <c r="G3659" s="4" t="s">
        <v>14414</v>
      </c>
      <c r="H3659" s="4" t="n">
        <v>45.58687</v>
      </c>
      <c r="I3659" s="4" t="n">
        <v>-122.40219</v>
      </c>
      <c r="J3659" s="4" t="s">
        <v>14415</v>
      </c>
      <c r="K3659" s="6" t="str">
        <f aca="false">HYPERLINK("https://www.google.com/search?q=Camas+Public+Library+Camas+WA+library+website","Search")</f>
        <v>Search</v>
      </c>
      <c r="L3659" s="7"/>
      <c r="M3659" s="7"/>
    </row>
    <row r="3660" customFormat="false" ht="15" hidden="false" customHeight="true" outlineLevel="0" collapsed="false">
      <c r="A3660" s="4" t="s">
        <v>14399</v>
      </c>
      <c r="B3660" s="4" t="s">
        <v>14416</v>
      </c>
      <c r="C3660" s="4" t="s">
        <v>14417</v>
      </c>
      <c r="D3660" s="4" t="s">
        <v>14402</v>
      </c>
      <c r="E3660" s="5" t="n">
        <v>29338</v>
      </c>
      <c r="F3660" s="4" t="n">
        <v>1</v>
      </c>
      <c r="G3660" s="4" t="s">
        <v>14418</v>
      </c>
      <c r="H3660" s="4" t="n">
        <v>48.50324</v>
      </c>
      <c r="I3660" s="4" t="n">
        <v>-122.24134</v>
      </c>
      <c r="J3660" s="4" t="s">
        <v>14419</v>
      </c>
      <c r="K3660" s="6" t="str">
        <f aca="false">HYPERLINK("https://www.google.com/search?q=Central+Skagit+Library+District+Sedro-Woolley+WA+library+website","Search")</f>
        <v>Search</v>
      </c>
      <c r="L3660" s="7"/>
      <c r="M3660" s="7"/>
    </row>
    <row r="3661" customFormat="false" ht="15" hidden="false" customHeight="true" outlineLevel="0" collapsed="false">
      <c r="A3661" s="4" t="s">
        <v>14399</v>
      </c>
      <c r="B3661" s="4" t="s">
        <v>14420</v>
      </c>
      <c r="C3661" s="4" t="s">
        <v>14421</v>
      </c>
      <c r="D3661" s="4" t="s">
        <v>14422</v>
      </c>
      <c r="E3661" s="5" t="n">
        <v>20940</v>
      </c>
      <c r="F3661" s="4" t="n">
        <v>1</v>
      </c>
      <c r="G3661" s="4" t="s">
        <v>14423</v>
      </c>
      <c r="H3661" s="4" t="n">
        <v>46.99404</v>
      </c>
      <c r="I3661" s="4" t="n">
        <v>-120.5445</v>
      </c>
      <c r="J3661" s="4" t="s">
        <v>14424</v>
      </c>
      <c r="K3661" s="6" t="str">
        <f aca="false">HYPERLINK("https://www.google.com/search?q=Ellensburg+Public+Library+Ellensburg+WA+library+website","Search")</f>
        <v>Search</v>
      </c>
      <c r="L3661" s="7"/>
      <c r="M3661" s="7"/>
    </row>
    <row r="3662" customFormat="false" ht="15" hidden="false" customHeight="true" outlineLevel="0" collapsed="false">
      <c r="A3662" s="4" t="s">
        <v>14399</v>
      </c>
      <c r="B3662" s="4" t="s">
        <v>14425</v>
      </c>
      <c r="C3662" s="4" t="s">
        <v>5643</v>
      </c>
      <c r="D3662" s="4" t="s">
        <v>14426</v>
      </c>
      <c r="E3662" s="5" t="n">
        <v>113300</v>
      </c>
      <c r="F3662" s="4" t="n">
        <v>2</v>
      </c>
      <c r="G3662" s="4" t="s">
        <v>14427</v>
      </c>
      <c r="H3662" s="4" t="n">
        <v>47.98168</v>
      </c>
      <c r="I3662" s="4" t="n">
        <v>-122.21</v>
      </c>
      <c r="J3662" s="4" t="s">
        <v>14428</v>
      </c>
      <c r="K3662" s="6" t="str">
        <f aca="false">HYPERLINK("https://www.google.com/search?q=Everett+Public+Library+Everett+WA+library+website","Search")</f>
        <v>Search</v>
      </c>
      <c r="L3662" s="7"/>
      <c r="M3662" s="7"/>
    </row>
    <row r="3663" customFormat="false" ht="15" hidden="false" customHeight="true" outlineLevel="0" collapsed="false">
      <c r="A3663" s="4" t="s">
        <v>14399</v>
      </c>
      <c r="B3663" s="4" t="s">
        <v>14429</v>
      </c>
      <c r="C3663" s="4" t="s">
        <v>14430</v>
      </c>
      <c r="D3663" s="4" t="s">
        <v>501</v>
      </c>
      <c r="E3663" s="5" t="n">
        <v>536603</v>
      </c>
      <c r="F3663" s="4" t="n">
        <v>15</v>
      </c>
      <c r="G3663" s="4" t="s">
        <v>14431</v>
      </c>
      <c r="H3663" s="4" t="n">
        <v>45.63045</v>
      </c>
      <c r="I3663" s="4" t="n">
        <v>-122.66104</v>
      </c>
      <c r="J3663" s="4" t="s">
        <v>14432</v>
      </c>
      <c r="K3663" s="6" t="str">
        <f aca="false">HYPERLINK("https://www.google.com/search?q=Fort+Vancouver+Regional+Library+District+Vancouver+WA+library+website","Search")</f>
        <v>Search</v>
      </c>
      <c r="L3663" s="7"/>
      <c r="M3663" s="8" t="str">
        <f aca="false">HYPERLINK("https://fortvancouver.overdrive.com","https://fortvancouver.overdrive.com")</f>
        <v>https://fortvancouver.overdrive.com</v>
      </c>
    </row>
    <row r="3664" customFormat="false" ht="15" hidden="false" customHeight="true" outlineLevel="0" collapsed="false">
      <c r="A3664" s="4" t="s">
        <v>14399</v>
      </c>
      <c r="B3664" s="4" t="s">
        <v>14433</v>
      </c>
      <c r="C3664" s="4" t="s">
        <v>14434</v>
      </c>
      <c r="D3664" s="4" t="s">
        <v>14435</v>
      </c>
      <c r="E3664" s="5" t="n">
        <v>11020</v>
      </c>
      <c r="F3664" s="4" t="n">
        <v>1</v>
      </c>
      <c r="G3664" s="4" t="s">
        <v>14436</v>
      </c>
      <c r="H3664" s="4" t="n">
        <v>46.25601</v>
      </c>
      <c r="I3664" s="4" t="n">
        <v>-119.90767</v>
      </c>
      <c r="J3664" s="4" t="s">
        <v>14437</v>
      </c>
      <c r="K3664" s="6" t="str">
        <f aca="false">HYPERLINK("https://www.google.com/search?q=Grandview+Library+Grandview+WA+library+website","Search")</f>
        <v>Search</v>
      </c>
      <c r="L3664" s="7"/>
      <c r="M3664" s="7"/>
    </row>
    <row r="3665" customFormat="false" ht="15" hidden="false" customHeight="true" outlineLevel="0" collapsed="false">
      <c r="A3665" s="4" t="s">
        <v>14399</v>
      </c>
      <c r="B3665" s="4" t="s">
        <v>14438</v>
      </c>
      <c r="C3665" s="4" t="s">
        <v>14439</v>
      </c>
      <c r="D3665" s="4" t="s">
        <v>98</v>
      </c>
      <c r="E3665" s="5" t="n">
        <v>23060</v>
      </c>
      <c r="F3665" s="4" t="n">
        <v>1</v>
      </c>
      <c r="G3665" s="4" t="s">
        <v>14440</v>
      </c>
      <c r="H3665" s="4" t="n">
        <v>48.03274</v>
      </c>
      <c r="I3665" s="4" t="n">
        <v>-122.77167</v>
      </c>
      <c r="J3665" s="4" t="s">
        <v>14441</v>
      </c>
      <c r="K3665" s="6" t="str">
        <f aca="false">HYPERLINK("https://www.google.com/search?q=Jefferson+County+Rural+Library+District+Port+Hadlock+WA+library+website","Search")</f>
        <v>Search</v>
      </c>
      <c r="L3665" s="7"/>
      <c r="M3665" s="7"/>
    </row>
    <row r="3666" customFormat="false" ht="15" hidden="false" customHeight="true" outlineLevel="0" collapsed="false">
      <c r="A3666" s="4" t="s">
        <v>14399</v>
      </c>
      <c r="B3666" s="4" t="s">
        <v>14442</v>
      </c>
      <c r="C3666" s="4" t="s">
        <v>14443</v>
      </c>
      <c r="D3666" s="4" t="s">
        <v>14444</v>
      </c>
      <c r="E3666" s="5" t="n">
        <v>12720</v>
      </c>
      <c r="F3666" s="4" t="n">
        <v>1</v>
      </c>
      <c r="G3666" s="4" t="s">
        <v>14445</v>
      </c>
      <c r="H3666" s="4" t="n">
        <v>46.14012</v>
      </c>
      <c r="I3666" s="4" t="n">
        <v>-122.90157</v>
      </c>
      <c r="J3666" s="4" t="s">
        <v>14446</v>
      </c>
      <c r="K3666" s="6" t="str">
        <f aca="false">HYPERLINK("https://www.google.com/search?q=Kelso+Public+Library+Kelso+WA+library+website","Search")</f>
        <v>Search</v>
      </c>
      <c r="L3666" s="7"/>
      <c r="M3666" s="7"/>
    </row>
    <row r="3667" customFormat="false" ht="15" hidden="false" customHeight="true" outlineLevel="0" collapsed="false">
      <c r="A3667" s="4" t="s">
        <v>14399</v>
      </c>
      <c r="B3667" s="4" t="s">
        <v>14447</v>
      </c>
      <c r="C3667" s="4" t="s">
        <v>14448</v>
      </c>
      <c r="D3667" s="4" t="s">
        <v>14449</v>
      </c>
      <c r="E3667" s="5" t="n">
        <v>1581815</v>
      </c>
      <c r="F3667" s="4" t="n">
        <v>49</v>
      </c>
      <c r="G3667" s="4" t="s">
        <v>14450</v>
      </c>
      <c r="H3667" s="4" t="n">
        <v>47.53999</v>
      </c>
      <c r="I3667" s="4" t="n">
        <v>-122.0506</v>
      </c>
      <c r="J3667" s="4" t="s">
        <v>14451</v>
      </c>
      <c r="K3667" s="6" t="str">
        <f aca="false">HYPERLINK("https://www.google.com/search?q=King+County+Library+System+Issaquah+WA+library+website","Search")</f>
        <v>Search</v>
      </c>
      <c r="L3667" s="7"/>
      <c r="M3667" s="8" t="str">
        <f aca="false">HYPERLINK("https://kcls.overdrive.com","https://kcls.overdrive.com")</f>
        <v>https://kcls.overdrive.com</v>
      </c>
    </row>
    <row r="3668" customFormat="false" ht="15" hidden="false" customHeight="true" outlineLevel="0" collapsed="false">
      <c r="A3668" s="4" t="s">
        <v>14399</v>
      </c>
      <c r="B3668" s="4" t="s">
        <v>14452</v>
      </c>
      <c r="C3668" s="4" t="s">
        <v>14453</v>
      </c>
      <c r="D3668" s="4" t="s">
        <v>14454</v>
      </c>
      <c r="E3668" s="5" t="n">
        <v>280900</v>
      </c>
      <c r="F3668" s="4" t="n">
        <v>9</v>
      </c>
      <c r="G3668" s="4" t="s">
        <v>14455</v>
      </c>
      <c r="H3668" s="4" t="n">
        <v>47.59557</v>
      </c>
      <c r="I3668" s="4" t="n">
        <v>-122.6249</v>
      </c>
      <c r="J3668" s="4" t="s">
        <v>14456</v>
      </c>
      <c r="K3668" s="6" t="str">
        <f aca="false">HYPERLINK("https://www.google.com/search?q=Kitsap+Regional+Library+Bremerton+WA+library+website","Search")</f>
        <v>Search</v>
      </c>
      <c r="L3668" s="7"/>
      <c r="M3668" s="8" t="str">
        <f aca="false">HYPERLINK("https://krl.overdrive.com","https://krl.overdrive.com")</f>
        <v>https://krl.overdrive.com</v>
      </c>
    </row>
    <row r="3669" customFormat="false" ht="15" hidden="false" customHeight="true" outlineLevel="0" collapsed="false">
      <c r="A3669" s="4" t="s">
        <v>14399</v>
      </c>
      <c r="B3669" s="4" t="s">
        <v>14457</v>
      </c>
      <c r="C3669" s="4" t="s">
        <v>14458</v>
      </c>
      <c r="D3669" s="4" t="s">
        <v>14459</v>
      </c>
      <c r="E3669" s="5" t="n">
        <v>12870</v>
      </c>
      <c r="F3669" s="4" t="n">
        <v>1</v>
      </c>
      <c r="G3669" s="4" t="s">
        <v>14460</v>
      </c>
      <c r="H3669" s="4" t="n">
        <v>47.67132</v>
      </c>
      <c r="I3669" s="4" t="n">
        <v>-117.09404</v>
      </c>
      <c r="J3669" s="4" t="s">
        <v>14461</v>
      </c>
      <c r="K3669" s="6" t="str">
        <f aca="false">HYPERLINK("https://www.google.com/search?q=Liberty+Lake+Municipal+Library+Liberty+Lake+WA+library+website","Search")</f>
        <v>Search</v>
      </c>
      <c r="L3669" s="7"/>
      <c r="M3669" s="7"/>
    </row>
    <row r="3670" customFormat="false" ht="15" hidden="false" customHeight="true" outlineLevel="0" collapsed="false">
      <c r="A3670" s="4" t="s">
        <v>14399</v>
      </c>
      <c r="B3670" s="4" t="s">
        <v>13495</v>
      </c>
      <c r="C3670" s="4" t="s">
        <v>13496</v>
      </c>
      <c r="D3670" s="4" t="s">
        <v>14444</v>
      </c>
      <c r="E3670" s="5" t="n">
        <v>54270</v>
      </c>
      <c r="F3670" s="4" t="n">
        <v>1</v>
      </c>
      <c r="G3670" s="4" t="s">
        <v>14462</v>
      </c>
      <c r="H3670" s="4" t="n">
        <v>46.14025</v>
      </c>
      <c r="I3670" s="4" t="n">
        <v>-122.93839</v>
      </c>
      <c r="J3670" s="4" t="s">
        <v>14463</v>
      </c>
      <c r="K3670" s="6" t="str">
        <f aca="false">HYPERLINK("https://www.google.com/search?q=Longview+Public+Library+Longview+WA+library+website","Search")</f>
        <v>Search</v>
      </c>
      <c r="L3670" s="7"/>
      <c r="M3670" s="7"/>
    </row>
    <row r="3671" customFormat="false" ht="15" hidden="false" customHeight="true" outlineLevel="0" collapsed="false">
      <c r="A3671" s="4" t="s">
        <v>14399</v>
      </c>
      <c r="B3671" s="4" t="s">
        <v>14464</v>
      </c>
      <c r="C3671" s="4" t="s">
        <v>14465</v>
      </c>
      <c r="D3671" s="4" t="s">
        <v>477</v>
      </c>
      <c r="E3671" s="5" t="n">
        <v>266623</v>
      </c>
      <c r="F3671" s="4" t="n">
        <v>12</v>
      </c>
      <c r="G3671" s="4" t="s">
        <v>14466</v>
      </c>
      <c r="H3671" s="4" t="n">
        <v>46.20436</v>
      </c>
      <c r="I3671" s="4" t="n">
        <v>-119.12298</v>
      </c>
      <c r="J3671" s="4" t="s">
        <v>14467</v>
      </c>
      <c r="K3671" s="6" t="str">
        <f aca="false">HYPERLINK("https://www.google.com/search?q=Mid-Columbia+Libraries+Kennewick+WA+library+website","Search")</f>
        <v>Search</v>
      </c>
      <c r="L3671" s="7"/>
      <c r="M3671" s="8" t="str">
        <f aca="false">HYPERLINK("https://midcolumbialibraries.overdrive.com","https://midcolumbialibraries.overdrive.com")</f>
        <v>https://midcolumbialibraries.overdrive.com</v>
      </c>
    </row>
    <row r="3672" customFormat="false" ht="15" hidden="false" customHeight="true" outlineLevel="0" collapsed="false">
      <c r="A3672" s="4" t="s">
        <v>14399</v>
      </c>
      <c r="B3672" s="4" t="s">
        <v>14468</v>
      </c>
      <c r="C3672" s="4" t="s">
        <v>3392</v>
      </c>
      <c r="D3672" s="4" t="s">
        <v>14402</v>
      </c>
      <c r="E3672" s="5" t="n">
        <v>35500</v>
      </c>
      <c r="F3672" s="4" t="n">
        <v>1</v>
      </c>
      <c r="G3672" s="4" t="s">
        <v>14469</v>
      </c>
      <c r="H3672" s="4" t="n">
        <v>48.41575</v>
      </c>
      <c r="I3672" s="4" t="n">
        <v>-122.33832</v>
      </c>
      <c r="J3672" s="4" t="s">
        <v>14470</v>
      </c>
      <c r="K3672" s="6" t="str">
        <f aca="false">HYPERLINK("https://www.google.com/search?q=Mount+Vernon+City+Library+Mount+Vernon+WA+library+website","Search")</f>
        <v>Search</v>
      </c>
      <c r="L3672" s="7"/>
      <c r="M3672" s="7"/>
    </row>
    <row r="3673" customFormat="false" ht="15" hidden="false" customHeight="true" outlineLevel="0" collapsed="false">
      <c r="A3673" s="4" t="s">
        <v>14399</v>
      </c>
      <c r="B3673" s="4" t="s">
        <v>14471</v>
      </c>
      <c r="C3673" s="4" t="s">
        <v>14472</v>
      </c>
      <c r="D3673" s="4" t="s">
        <v>14473</v>
      </c>
      <c r="E3673" s="5" t="n">
        <v>274095</v>
      </c>
      <c r="F3673" s="4" t="n">
        <v>30</v>
      </c>
      <c r="G3673" s="4" t="s">
        <v>14474</v>
      </c>
      <c r="H3673" s="4" t="n">
        <v>47.42573</v>
      </c>
      <c r="I3673" s="4" t="n">
        <v>-120.31082</v>
      </c>
      <c r="J3673" s="4" t="s">
        <v>14475</v>
      </c>
      <c r="K3673" s="6" t="str">
        <f aca="false">HYPERLINK("https://www.google.com/search?q=North+Central+Regional+Library+Wenatchee+WA+library+website","Search")</f>
        <v>Search</v>
      </c>
      <c r="L3673" s="7"/>
      <c r="M3673" s="7"/>
    </row>
    <row r="3674" customFormat="false" ht="15" hidden="false" customHeight="true" outlineLevel="0" collapsed="false">
      <c r="A3674" s="4" t="s">
        <v>14399</v>
      </c>
      <c r="B3674" s="4" t="s">
        <v>14476</v>
      </c>
      <c r="C3674" s="4" t="s">
        <v>14477</v>
      </c>
      <c r="D3674" s="4" t="s">
        <v>14478</v>
      </c>
      <c r="E3674" s="5" t="n">
        <v>77625</v>
      </c>
      <c r="F3674" s="4" t="n">
        <v>4</v>
      </c>
      <c r="G3674" s="4" t="s">
        <v>14479</v>
      </c>
      <c r="H3674" s="4" t="n">
        <v>48.10611</v>
      </c>
      <c r="I3674" s="4" t="n">
        <v>-123.43836</v>
      </c>
      <c r="J3674" s="4" t="s">
        <v>14480</v>
      </c>
      <c r="K3674" s="6" t="str">
        <f aca="false">HYPERLINK("https://www.google.com/search?q=North+Olympic+Library+System+Port+Angeles+WA+library+website","Search")</f>
        <v>Search</v>
      </c>
      <c r="L3674" s="7"/>
      <c r="M3674" s="7"/>
    </row>
    <row r="3675" customFormat="false" ht="15" hidden="false" customHeight="true" outlineLevel="0" collapsed="false">
      <c r="A3675" s="4" t="s">
        <v>14399</v>
      </c>
      <c r="B3675" s="4" t="s">
        <v>14481</v>
      </c>
      <c r="C3675" s="4" t="s">
        <v>647</v>
      </c>
      <c r="D3675" s="4" t="s">
        <v>14482</v>
      </c>
      <c r="E3675" s="5" t="n">
        <v>13625</v>
      </c>
      <c r="F3675" s="4" t="n">
        <v>4</v>
      </c>
      <c r="G3675" s="4" t="s">
        <v>14483</v>
      </c>
      <c r="H3675" s="4" t="n">
        <v>48.18066</v>
      </c>
      <c r="I3675" s="4" t="n">
        <v>-117.044</v>
      </c>
      <c r="J3675" s="4" t="s">
        <v>14484</v>
      </c>
      <c r="K3675" s="6" t="str">
        <f aca="false">HYPERLINK("https://www.google.com/search?q=Pend+Oreille+County+Library+District+Newport+WA+library+website","Search")</f>
        <v>Search</v>
      </c>
      <c r="L3675" s="7"/>
      <c r="M3675" s="7"/>
    </row>
    <row r="3676" customFormat="false" ht="15" hidden="false" customHeight="true" outlineLevel="0" collapsed="false">
      <c r="A3676" s="4" t="s">
        <v>14399</v>
      </c>
      <c r="B3676" s="4" t="s">
        <v>14485</v>
      </c>
      <c r="C3676" s="4" t="s">
        <v>14486</v>
      </c>
      <c r="D3676" s="4" t="s">
        <v>14487</v>
      </c>
      <c r="E3676" s="5" t="n">
        <v>655040</v>
      </c>
      <c r="F3676" s="4" t="n">
        <v>20</v>
      </c>
      <c r="G3676" s="4" t="s">
        <v>14488</v>
      </c>
      <c r="H3676" s="4" t="n">
        <v>47.15486</v>
      </c>
      <c r="I3676" s="4" t="n">
        <v>-122.38703</v>
      </c>
      <c r="J3676" s="4" t="s">
        <v>14489</v>
      </c>
      <c r="K3676" s="6" t="str">
        <f aca="false">HYPERLINK("https://www.google.com/search?q=Pierce+County+Library+System+Tacoma+WA+library+website","Search")</f>
        <v>Search</v>
      </c>
      <c r="L3676" s="7"/>
      <c r="M3676" s="8" t="str">
        <f aca="false">HYPERLINK("https://piercecounty.overdrive.com","https://piercecounty.overdrive.com")</f>
        <v>https://piercecounty.overdrive.com</v>
      </c>
    </row>
    <row r="3677" customFormat="false" ht="15" hidden="false" customHeight="true" outlineLevel="0" collapsed="false">
      <c r="A3677" s="4" t="s">
        <v>14399</v>
      </c>
      <c r="B3677" s="4" t="s">
        <v>14490</v>
      </c>
      <c r="C3677" s="4" t="s">
        <v>14491</v>
      </c>
      <c r="D3677" s="4" t="s">
        <v>98</v>
      </c>
      <c r="E3677" s="5" t="n">
        <v>10290</v>
      </c>
      <c r="F3677" s="4" t="n">
        <v>1</v>
      </c>
      <c r="G3677" s="4" t="s">
        <v>14492</v>
      </c>
      <c r="H3677" s="4" t="n">
        <v>48.11629</v>
      </c>
      <c r="I3677" s="4" t="n">
        <v>-122.76341</v>
      </c>
      <c r="J3677" s="4" t="s">
        <v>14493</v>
      </c>
      <c r="K3677" s="6" t="str">
        <f aca="false">HYPERLINK("https://www.google.com/search?q=Port+Townsend+Public+Library+Port+Townsend+WA+library+website","Search")</f>
        <v>Search</v>
      </c>
      <c r="L3677" s="7"/>
      <c r="M3677" s="7"/>
    </row>
    <row r="3678" customFormat="false" ht="15" hidden="false" customHeight="true" outlineLevel="0" collapsed="false">
      <c r="A3678" s="4" t="s">
        <v>14399</v>
      </c>
      <c r="B3678" s="4" t="s">
        <v>14494</v>
      </c>
      <c r="C3678" s="4" t="s">
        <v>14495</v>
      </c>
      <c r="D3678" s="4" t="s">
        <v>6128</v>
      </c>
      <c r="E3678" s="5" t="n">
        <v>32790</v>
      </c>
      <c r="F3678" s="4" t="n">
        <v>1</v>
      </c>
      <c r="G3678" s="4" t="s">
        <v>14496</v>
      </c>
      <c r="H3678" s="4" t="n">
        <v>46.73078</v>
      </c>
      <c r="I3678" s="4" t="n">
        <v>-117.18079</v>
      </c>
      <c r="J3678" s="4" t="s">
        <v>14497</v>
      </c>
      <c r="K3678" s="6" t="str">
        <f aca="false">HYPERLINK("https://www.google.com/search?q=Pullman+%28Neill%29+Public+Library+Pullman+WA+library+website","Search")</f>
        <v>Search</v>
      </c>
      <c r="L3678" s="7"/>
      <c r="M3678" s="7"/>
    </row>
    <row r="3679" customFormat="false" ht="15" hidden="false" customHeight="true" outlineLevel="0" collapsed="false">
      <c r="A3679" s="4" t="s">
        <v>14399</v>
      </c>
      <c r="B3679" s="4" t="s">
        <v>14498</v>
      </c>
      <c r="C3679" s="4" t="s">
        <v>14499</v>
      </c>
      <c r="D3679" s="4" t="s">
        <v>14487</v>
      </c>
      <c r="E3679" s="5" t="n">
        <v>43260</v>
      </c>
      <c r="F3679" s="4" t="n">
        <v>1</v>
      </c>
      <c r="G3679" s="4" t="s">
        <v>14500</v>
      </c>
      <c r="H3679" s="4" t="n">
        <v>47.18971</v>
      </c>
      <c r="I3679" s="4" t="n">
        <v>-122.29373</v>
      </c>
      <c r="J3679" s="4" t="s">
        <v>14501</v>
      </c>
      <c r="K3679" s="6" t="str">
        <f aca="false">HYPERLINK("https://www.google.com/search?q=Puyallup+Public+Library+Puyallup+WA+library+website","Search")</f>
        <v>Search</v>
      </c>
      <c r="L3679" s="7"/>
      <c r="M3679" s="7"/>
    </row>
    <row r="3680" customFormat="false" ht="15" hidden="false" customHeight="true" outlineLevel="0" collapsed="false">
      <c r="A3680" s="4" t="s">
        <v>14399</v>
      </c>
      <c r="B3680" s="4" t="s">
        <v>14502</v>
      </c>
      <c r="C3680" s="4" t="s">
        <v>5379</v>
      </c>
      <c r="D3680" s="4" t="s">
        <v>477</v>
      </c>
      <c r="E3680" s="5" t="n">
        <v>62220</v>
      </c>
      <c r="F3680" s="4" t="n">
        <v>1</v>
      </c>
      <c r="G3680" s="4" t="s">
        <v>14503</v>
      </c>
      <c r="H3680" s="4" t="n">
        <v>46.27995</v>
      </c>
      <c r="I3680" s="4" t="n">
        <v>-119.27805</v>
      </c>
      <c r="J3680" s="4" t="s">
        <v>14504</v>
      </c>
      <c r="K3680" s="6" t="str">
        <f aca="false">HYPERLINK("https://www.google.com/search?q=Richland+Public+Library+Richland+WA+library+website","Search")</f>
        <v>Search</v>
      </c>
      <c r="L3680" s="7"/>
      <c r="M3680" s="8" t="str">
        <f aca="false">HYPERLINK("https://myrl.overdrive.com","https://myrl.overdrive.com")</f>
        <v>https://myrl.overdrive.com</v>
      </c>
    </row>
    <row r="3681" customFormat="false" ht="15" hidden="false" customHeight="true" outlineLevel="0" collapsed="false">
      <c r="A3681" s="4" t="s">
        <v>14399</v>
      </c>
      <c r="B3681" s="4" t="s">
        <v>14505</v>
      </c>
      <c r="C3681" s="4" t="s">
        <v>14506</v>
      </c>
      <c r="D3681" s="4" t="s">
        <v>14449</v>
      </c>
      <c r="E3681" s="5" t="n">
        <v>762500</v>
      </c>
      <c r="F3681" s="4" t="n">
        <v>27</v>
      </c>
      <c r="G3681" s="4" t="s">
        <v>14507</v>
      </c>
      <c r="H3681" s="4" t="n">
        <v>47.60638</v>
      </c>
      <c r="I3681" s="4" t="n">
        <v>-122.33315</v>
      </c>
      <c r="J3681" s="4" t="s">
        <v>14508</v>
      </c>
      <c r="K3681" s="6" t="str">
        <f aca="false">HYPERLINK("https://www.google.com/search?q=Seattle+Public+Library+Seattle+WA+library+website","Search")</f>
        <v>Search</v>
      </c>
      <c r="L3681" s="7"/>
      <c r="M3681" s="8" t="str">
        <f aca="false">HYPERLINK("https://spl.overdrive.com","https://spl.overdrive.com")</f>
        <v>https://spl.overdrive.com</v>
      </c>
    </row>
    <row r="3682" customFormat="false" ht="15" hidden="false" customHeight="true" outlineLevel="0" collapsed="false">
      <c r="A3682" s="4" t="s">
        <v>14399</v>
      </c>
      <c r="B3682" s="4" t="s">
        <v>14509</v>
      </c>
      <c r="C3682" s="4" t="s">
        <v>1576</v>
      </c>
      <c r="D3682" s="4" t="s">
        <v>14426</v>
      </c>
      <c r="E3682" s="5" t="n">
        <v>800969</v>
      </c>
      <c r="F3682" s="4" t="n">
        <v>23</v>
      </c>
      <c r="G3682" s="4" t="s">
        <v>14510</v>
      </c>
      <c r="H3682" s="4" t="n">
        <v>48.06284</v>
      </c>
      <c r="I3682" s="4" t="n">
        <v>-122.18534</v>
      </c>
      <c r="J3682" s="4" t="s">
        <v>14511</v>
      </c>
      <c r="K3682" s="6" t="str">
        <f aca="false">HYPERLINK("https://www.google.com/search?q=Sno-Isle+Libraries+Marysville+WA+library+website","Search")</f>
        <v>Search</v>
      </c>
      <c r="L3682" s="7"/>
      <c r="M3682" s="8" t="str">
        <f aca="false">HYPERLINK("https://sno-isle.overdrive.com","https://sno-isle.overdrive.com")</f>
        <v>https://sno-isle.overdrive.com</v>
      </c>
    </row>
    <row r="3683" customFormat="false" ht="15" hidden="false" customHeight="true" outlineLevel="0" collapsed="false">
      <c r="A3683" s="4" t="s">
        <v>14399</v>
      </c>
      <c r="B3683" s="4" t="s">
        <v>14512</v>
      </c>
      <c r="C3683" s="4" t="s">
        <v>14459</v>
      </c>
      <c r="D3683" s="4" t="s">
        <v>14459</v>
      </c>
      <c r="E3683" s="5" t="n">
        <v>306930</v>
      </c>
      <c r="F3683" s="4" t="n">
        <v>11</v>
      </c>
      <c r="G3683" s="4" t="s">
        <v>14513</v>
      </c>
      <c r="H3683" s="4" t="n">
        <v>47.69639</v>
      </c>
      <c r="I3683" s="4" t="n">
        <v>-117.28281</v>
      </c>
      <c r="J3683" s="4" t="s">
        <v>14514</v>
      </c>
      <c r="K3683" s="6" t="str">
        <f aca="false">HYPERLINK("https://www.google.com/search?q=Spokane+County+Library+District+Spokane+WA+library+website","Search")</f>
        <v>Search</v>
      </c>
      <c r="L3683" s="7"/>
      <c r="M3683" s="8" t="str">
        <f aca="false">HYPERLINK("https://scld.overdrive.com","https://scld.overdrive.com")</f>
        <v>https://scld.overdrive.com</v>
      </c>
    </row>
    <row r="3684" customFormat="false" ht="15" hidden="false" customHeight="true" outlineLevel="0" collapsed="false">
      <c r="A3684" s="4" t="s">
        <v>14399</v>
      </c>
      <c r="B3684" s="4" t="s">
        <v>14515</v>
      </c>
      <c r="C3684" s="4" t="s">
        <v>14459</v>
      </c>
      <c r="D3684" s="4" t="s">
        <v>14459</v>
      </c>
      <c r="E3684" s="5" t="n">
        <v>230900</v>
      </c>
      <c r="F3684" s="4" t="n">
        <v>6</v>
      </c>
      <c r="G3684" s="4" t="s">
        <v>14516</v>
      </c>
      <c r="H3684" s="4" t="n">
        <v>47.65923</v>
      </c>
      <c r="I3684" s="4" t="n">
        <v>-117.42524</v>
      </c>
      <c r="J3684" s="4" t="s">
        <v>14517</v>
      </c>
      <c r="K3684" s="6" t="str">
        <f aca="false">HYPERLINK("https://www.google.com/search?q=Spokane+Public+Library+Spokane+WA+library+website","Search")</f>
        <v>Search</v>
      </c>
      <c r="L3684" s="7"/>
      <c r="M3684" s="7"/>
    </row>
    <row r="3685" customFormat="false" ht="15" hidden="false" customHeight="true" outlineLevel="0" collapsed="false">
      <c r="A3685" s="4" t="s">
        <v>14399</v>
      </c>
      <c r="B3685" s="4" t="s">
        <v>14518</v>
      </c>
      <c r="C3685" s="4" t="s">
        <v>14519</v>
      </c>
      <c r="D3685" s="4" t="s">
        <v>14520</v>
      </c>
      <c r="E3685" s="5" t="n">
        <v>47050</v>
      </c>
      <c r="F3685" s="4" t="n">
        <v>7</v>
      </c>
      <c r="G3685" s="4" t="s">
        <v>14521</v>
      </c>
      <c r="H3685" s="4" t="n">
        <v>48.06258</v>
      </c>
      <c r="I3685" s="4" t="n">
        <v>-117.63324</v>
      </c>
      <c r="J3685" s="4" t="s">
        <v>14522</v>
      </c>
      <c r="K3685" s="6" t="str">
        <f aca="false">HYPERLINK("https://www.google.com/search?q=Stevens+County+Rural+Library+District+Loon+Lake+WA+library+website","Search")</f>
        <v>Search</v>
      </c>
      <c r="L3685" s="7"/>
      <c r="M3685" s="7"/>
    </row>
    <row r="3686" customFormat="false" ht="15" hidden="false" customHeight="true" outlineLevel="0" collapsed="false">
      <c r="A3686" s="4" t="s">
        <v>14399</v>
      </c>
      <c r="B3686" s="4" t="s">
        <v>14523</v>
      </c>
      <c r="C3686" s="4" t="s">
        <v>14486</v>
      </c>
      <c r="D3686" s="4" t="s">
        <v>14487</v>
      </c>
      <c r="E3686" s="5" t="n">
        <v>220800</v>
      </c>
      <c r="F3686" s="4" t="n">
        <v>8</v>
      </c>
      <c r="G3686" s="4" t="s">
        <v>14524</v>
      </c>
      <c r="H3686" s="4" t="n">
        <v>47.25235</v>
      </c>
      <c r="I3686" s="4" t="n">
        <v>-122.44439</v>
      </c>
      <c r="J3686" s="4" t="s">
        <v>14525</v>
      </c>
      <c r="K3686" s="6" t="str">
        <f aca="false">HYPERLINK("https://www.google.com/search?q=Tacoma+Public+Library+Tacoma+WA+library+website","Search")</f>
        <v>Search</v>
      </c>
      <c r="L3686" s="7"/>
      <c r="M3686" s="8" t="str">
        <f aca="false">HYPERLINK("https://tacoma.overdrive.com","https://tacoma.overdrive.com")</f>
        <v>https://tacoma.overdrive.com</v>
      </c>
    </row>
    <row r="3687" customFormat="false" ht="15" hidden="false" customHeight="true" outlineLevel="0" collapsed="false">
      <c r="A3687" s="4" t="s">
        <v>14399</v>
      </c>
      <c r="B3687" s="4" t="s">
        <v>14526</v>
      </c>
      <c r="C3687" s="4" t="s">
        <v>14527</v>
      </c>
      <c r="D3687" s="4" t="s">
        <v>14528</v>
      </c>
      <c r="E3687" s="5" t="n">
        <v>538900</v>
      </c>
      <c r="F3687" s="4" t="n">
        <v>29</v>
      </c>
      <c r="G3687" s="4" t="s">
        <v>14529</v>
      </c>
      <c r="H3687" s="4" t="n">
        <v>46.9807</v>
      </c>
      <c r="I3687" s="4" t="n">
        <v>-122.90947</v>
      </c>
      <c r="J3687" s="4" t="s">
        <v>14530</v>
      </c>
      <c r="K3687" s="6" t="str">
        <f aca="false">HYPERLINK("https://www.google.com/search?q=Timberland+Regional+Library+Tumwater+WA+library+website","Search")</f>
        <v>Search</v>
      </c>
      <c r="L3687" s="7"/>
      <c r="M3687" s="8" t="str">
        <f aca="false">HYPERLINK("https://timberland.overdrive.com","https://timberland.overdrive.com")</f>
        <v>https://timberland.overdrive.com</v>
      </c>
    </row>
    <row r="3688" customFormat="false" ht="15" hidden="false" customHeight="true" outlineLevel="0" collapsed="false">
      <c r="A3688" s="4" t="s">
        <v>14399</v>
      </c>
      <c r="B3688" s="4" t="s">
        <v>14531</v>
      </c>
      <c r="C3688" s="4" t="s">
        <v>14532</v>
      </c>
      <c r="D3688" s="4" t="s">
        <v>14532</v>
      </c>
      <c r="E3688" s="5" t="n">
        <v>27425</v>
      </c>
      <c r="F3688" s="4" t="n">
        <v>4</v>
      </c>
      <c r="G3688" s="4" t="s">
        <v>14533</v>
      </c>
      <c r="H3688" s="4" t="n">
        <v>46.05783</v>
      </c>
      <c r="I3688" s="4" t="n">
        <v>-118.36372</v>
      </c>
      <c r="J3688" s="4" t="s">
        <v>14534</v>
      </c>
      <c r="K3688" s="6" t="str">
        <f aca="false">HYPERLINK("https://www.google.com/search?q=Walla+Walla+County+Rural+Library+District+Walla+Walla+WA+library+website","Search")</f>
        <v>Search</v>
      </c>
      <c r="L3688" s="7"/>
      <c r="M3688" s="7"/>
    </row>
    <row r="3689" customFormat="false" ht="15" hidden="false" customHeight="true" outlineLevel="0" collapsed="false">
      <c r="A3689" s="4" t="s">
        <v>14399</v>
      </c>
      <c r="B3689" s="4" t="s">
        <v>14535</v>
      </c>
      <c r="C3689" s="4" t="s">
        <v>14532</v>
      </c>
      <c r="D3689" s="4" t="s">
        <v>14532</v>
      </c>
      <c r="E3689" s="5" t="n">
        <v>34020</v>
      </c>
      <c r="F3689" s="4" t="n">
        <v>1</v>
      </c>
      <c r="G3689" s="4" t="s">
        <v>14536</v>
      </c>
      <c r="H3689" s="4" t="n">
        <v>46.0675</v>
      </c>
      <c r="I3689" s="4" t="n">
        <v>-118.33449</v>
      </c>
      <c r="J3689" s="4" t="s">
        <v>14537</v>
      </c>
      <c r="K3689" s="6" t="str">
        <f aca="false">HYPERLINK("https://www.google.com/search?q=Walla+Walla+Public+Library+Walla+Walla+WA+library+website","Search")</f>
        <v>Search</v>
      </c>
      <c r="L3689" s="7"/>
      <c r="M3689" s="7"/>
    </row>
    <row r="3690" customFormat="false" ht="15" hidden="false" customHeight="true" outlineLevel="0" collapsed="false">
      <c r="A3690" s="4" t="s">
        <v>14399</v>
      </c>
      <c r="B3690" s="4" t="s">
        <v>14538</v>
      </c>
      <c r="C3690" s="4" t="s">
        <v>5523</v>
      </c>
      <c r="D3690" s="4" t="s">
        <v>14409</v>
      </c>
      <c r="E3690" s="5" t="n">
        <v>137740</v>
      </c>
      <c r="F3690" s="4" t="n">
        <v>12</v>
      </c>
      <c r="G3690" s="4" t="s">
        <v>14539</v>
      </c>
      <c r="H3690" s="4" t="n">
        <v>48.83037</v>
      </c>
      <c r="I3690" s="4" t="n">
        <v>-122.53862</v>
      </c>
      <c r="J3690" s="4" t="s">
        <v>14540</v>
      </c>
      <c r="K3690" s="6" t="str">
        <f aca="false">HYPERLINK("https://www.google.com/search?q=Whatcom+County+Library+System+Bellingham+WA+library+website","Search")</f>
        <v>Search</v>
      </c>
      <c r="L3690" s="7"/>
      <c r="M3690" s="7"/>
    </row>
    <row r="3691" customFormat="false" ht="15" hidden="false" customHeight="true" outlineLevel="0" collapsed="false">
      <c r="A3691" s="4" t="s">
        <v>14399</v>
      </c>
      <c r="B3691" s="4" t="s">
        <v>14541</v>
      </c>
      <c r="C3691" s="4" t="s">
        <v>5292</v>
      </c>
      <c r="D3691" s="4" t="s">
        <v>6128</v>
      </c>
      <c r="E3691" s="5" t="n">
        <v>15010</v>
      </c>
      <c r="F3691" s="4" t="n">
        <v>14</v>
      </c>
      <c r="G3691" s="4" t="s">
        <v>14542</v>
      </c>
      <c r="H3691" s="4" t="n">
        <v>46.88081</v>
      </c>
      <c r="I3691" s="4" t="n">
        <v>-117.36481</v>
      </c>
      <c r="J3691" s="4" t="s">
        <v>14543</v>
      </c>
      <c r="K3691" s="6" t="str">
        <f aca="false">HYPERLINK("https://www.google.com/search?q=Whitman+County+Library+Colfax+WA+library+website","Search")</f>
        <v>Search</v>
      </c>
      <c r="L3691" s="7"/>
      <c r="M3691" s="7"/>
    </row>
    <row r="3692" customFormat="false" ht="15" hidden="false" customHeight="true" outlineLevel="0" collapsed="false">
      <c r="A3692" s="4" t="s">
        <v>14399</v>
      </c>
      <c r="B3692" s="4" t="s">
        <v>14544</v>
      </c>
      <c r="C3692" s="4" t="s">
        <v>14435</v>
      </c>
      <c r="D3692" s="4" t="s">
        <v>14435</v>
      </c>
      <c r="E3692" s="5" t="n">
        <v>248930</v>
      </c>
      <c r="F3692" s="4" t="n">
        <v>16</v>
      </c>
      <c r="G3692" s="4" t="s">
        <v>14545</v>
      </c>
      <c r="H3692" s="4" t="n">
        <v>46.60455</v>
      </c>
      <c r="I3692" s="4" t="n">
        <v>-120.50396</v>
      </c>
      <c r="J3692" s="4" t="s">
        <v>14546</v>
      </c>
      <c r="K3692" s="6" t="str">
        <f aca="false">HYPERLINK("https://www.google.com/search?q=Yakima+Valley+Regional+Library+Yakima+WA+library+website","Search")</f>
        <v>Search</v>
      </c>
      <c r="L3692" s="7"/>
      <c r="M3692" s="8" t="str">
        <f aca="false">HYPERLINK("https://yvl.overdrive.com","https://yvl.overdrive.com")</f>
        <v>https://yvl.overdrive.com</v>
      </c>
    </row>
    <row r="3693" customFormat="false" ht="15" hidden="false" customHeight="true" outlineLevel="0" collapsed="false">
      <c r="A3693" s="4" t="s">
        <v>14547</v>
      </c>
      <c r="B3693" s="4" t="s">
        <v>14548</v>
      </c>
      <c r="C3693" s="4" t="s">
        <v>1749</v>
      </c>
      <c r="D3693" s="4" t="s">
        <v>1749</v>
      </c>
      <c r="E3693" s="5" t="n">
        <v>17619</v>
      </c>
      <c r="F3693" s="4" t="n">
        <v>1</v>
      </c>
      <c r="G3693" s="4" t="s">
        <v>14549</v>
      </c>
      <c r="H3693" s="4" t="n">
        <v>43.96616</v>
      </c>
      <c r="I3693" s="4" t="n">
        <v>-89.8216</v>
      </c>
      <c r="J3693" s="4" t="s">
        <v>14550</v>
      </c>
      <c r="K3693" s="6" t="str">
        <f aca="false">HYPERLINK("https://www.google.com/search?q=Adams+County+Library+Adams+WI+library+website","Search")</f>
        <v>Search</v>
      </c>
      <c r="L3693" s="7"/>
      <c r="M3693" s="7"/>
    </row>
    <row r="3694" customFormat="false" ht="15" hidden="false" customHeight="true" outlineLevel="0" collapsed="false">
      <c r="A3694" s="4" t="s">
        <v>14547</v>
      </c>
      <c r="B3694" s="4" t="s">
        <v>2875</v>
      </c>
      <c r="C3694" s="4" t="s">
        <v>2876</v>
      </c>
      <c r="D3694" s="4" t="s">
        <v>14551</v>
      </c>
      <c r="E3694" s="5" t="n">
        <v>14203</v>
      </c>
      <c r="F3694" s="4" t="n">
        <v>1</v>
      </c>
      <c r="G3694" s="4" t="s">
        <v>14552</v>
      </c>
      <c r="H3694" s="4" t="n">
        <v>44.80639</v>
      </c>
      <c r="I3694" s="4" t="n">
        <v>-91.433</v>
      </c>
      <c r="J3694" s="4" t="s">
        <v>14553</v>
      </c>
      <c r="K3694" s="6" t="str">
        <f aca="false">HYPERLINK("https://www.google.com/search?q=Altoona+Public+Library+Altoona+WI+library+website","Search")</f>
        <v>Search</v>
      </c>
      <c r="L3694" s="7"/>
      <c r="M3694" s="7"/>
    </row>
    <row r="3695" customFormat="false" ht="15" hidden="false" customHeight="true" outlineLevel="0" collapsed="false">
      <c r="A3695" s="4" t="s">
        <v>14547</v>
      </c>
      <c r="B3695" s="4" t="s">
        <v>14554</v>
      </c>
      <c r="C3695" s="4" t="s">
        <v>14555</v>
      </c>
      <c r="D3695" s="4" t="s">
        <v>2523</v>
      </c>
      <c r="E3695" s="5" t="n">
        <v>11090</v>
      </c>
      <c r="F3695" s="4" t="n">
        <v>1</v>
      </c>
      <c r="G3695" s="4" t="s">
        <v>14556</v>
      </c>
      <c r="H3695" s="4" t="n">
        <v>45.30293</v>
      </c>
      <c r="I3695" s="4" t="n">
        <v>-92.3663</v>
      </c>
      <c r="J3695" s="4" t="s">
        <v>14557</v>
      </c>
      <c r="K3695" s="6" t="str">
        <f aca="false">HYPERLINK("https://www.google.com/search?q=Amery+Public+Library+Amery+WI+library+website","Search")</f>
        <v>Search</v>
      </c>
      <c r="L3695" s="7"/>
      <c r="M3695" s="7"/>
    </row>
    <row r="3696" customFormat="false" ht="15" hidden="false" customHeight="true" outlineLevel="0" collapsed="false">
      <c r="A3696" s="4" t="s">
        <v>14547</v>
      </c>
      <c r="B3696" s="4" t="s">
        <v>14558</v>
      </c>
      <c r="C3696" s="4" t="s">
        <v>14559</v>
      </c>
      <c r="D3696" s="4" t="s">
        <v>14560</v>
      </c>
      <c r="E3696" s="5" t="n">
        <v>19457</v>
      </c>
      <c r="F3696" s="4" t="n">
        <v>3</v>
      </c>
      <c r="G3696" s="4" t="s">
        <v>14561</v>
      </c>
      <c r="H3696" s="4" t="n">
        <v>45.14134</v>
      </c>
      <c r="I3696" s="4" t="n">
        <v>-89.15418</v>
      </c>
      <c r="J3696" s="4" t="s">
        <v>14562</v>
      </c>
      <c r="K3696" s="6" t="str">
        <f aca="false">HYPERLINK("https://www.google.com/search?q=Antigo+Public+Library+Antigo+WI+library+website","Search")</f>
        <v>Search</v>
      </c>
      <c r="L3696" s="7"/>
      <c r="M3696" s="7"/>
    </row>
    <row r="3697" customFormat="false" ht="15" hidden="false" customHeight="true" outlineLevel="0" collapsed="false">
      <c r="A3697" s="4" t="s">
        <v>14547</v>
      </c>
      <c r="B3697" s="4" t="s">
        <v>14563</v>
      </c>
      <c r="C3697" s="4" t="s">
        <v>14564</v>
      </c>
      <c r="D3697" s="4" t="s">
        <v>14565</v>
      </c>
      <c r="E3697" s="5" t="n">
        <v>104962</v>
      </c>
      <c r="F3697" s="4" t="n">
        <v>1</v>
      </c>
      <c r="G3697" s="4" t="s">
        <v>14566</v>
      </c>
      <c r="H3697" s="4" t="n">
        <v>44.26374</v>
      </c>
      <c r="I3697" s="4" t="n">
        <v>-88.40599</v>
      </c>
      <c r="J3697" s="4" t="s">
        <v>14567</v>
      </c>
      <c r="K3697" s="6" t="str">
        <f aca="false">HYPERLINK("https://www.google.com/search?q=Appleton+Public+Library+Appleton+WI+library+website","Search")</f>
        <v>Search</v>
      </c>
      <c r="L3697" s="7"/>
      <c r="M3697" s="7"/>
    </row>
    <row r="3698" customFormat="false" ht="15" hidden="false" customHeight="true" outlineLevel="0" collapsed="false">
      <c r="A3698" s="4" t="s">
        <v>14547</v>
      </c>
      <c r="B3698" s="4" t="s">
        <v>14568</v>
      </c>
      <c r="C3698" s="4" t="s">
        <v>14569</v>
      </c>
      <c r="D3698" s="4" t="s">
        <v>14570</v>
      </c>
      <c r="E3698" s="5" t="n">
        <v>15421</v>
      </c>
      <c r="F3698" s="4" t="n">
        <v>1</v>
      </c>
      <c r="G3698" s="4" t="s">
        <v>14571</v>
      </c>
      <c r="H3698" s="4" t="n">
        <v>42.63304</v>
      </c>
      <c r="I3698" s="4" t="n">
        <v>-88.64345</v>
      </c>
      <c r="J3698" s="4" t="s">
        <v>14572</v>
      </c>
      <c r="K3698" s="6" t="str">
        <f aca="false">HYPERLINK("https://www.google.com/search?q=Aram+Public+Library+Delavan+WI+library+website","Search")</f>
        <v>Search</v>
      </c>
      <c r="L3698" s="7"/>
      <c r="M3698" s="7"/>
    </row>
    <row r="3699" customFormat="false" ht="15" hidden="false" customHeight="true" outlineLevel="0" collapsed="false">
      <c r="A3699" s="4" t="s">
        <v>14547</v>
      </c>
      <c r="B3699" s="4" t="s">
        <v>14573</v>
      </c>
      <c r="C3699" s="4" t="s">
        <v>14574</v>
      </c>
      <c r="D3699" s="4" t="s">
        <v>14575</v>
      </c>
      <c r="E3699" s="5" t="n">
        <v>21206</v>
      </c>
      <c r="F3699" s="4" t="n">
        <v>1</v>
      </c>
      <c r="G3699" s="4" t="s">
        <v>14576</v>
      </c>
      <c r="H3699" s="4" t="n">
        <v>43.47095</v>
      </c>
      <c r="I3699" s="4" t="n">
        <v>-89.74561</v>
      </c>
      <c r="J3699" s="4" t="s">
        <v>14577</v>
      </c>
      <c r="K3699" s="6" t="str">
        <f aca="false">HYPERLINK("https://www.google.com/search?q=Baraboo+Public+Library+Baraboo+WI+library+website","Search")</f>
        <v>Search</v>
      </c>
      <c r="L3699" s="7"/>
      <c r="M3699" s="7"/>
    </row>
    <row r="3700" customFormat="false" ht="15" hidden="false" customHeight="true" outlineLevel="0" collapsed="false">
      <c r="A3700" s="4" t="s">
        <v>14547</v>
      </c>
      <c r="B3700" s="4" t="s">
        <v>14578</v>
      </c>
      <c r="C3700" s="4" t="s">
        <v>14579</v>
      </c>
      <c r="D3700" s="4" t="s">
        <v>2777</v>
      </c>
      <c r="E3700" s="5" t="n">
        <v>29311</v>
      </c>
      <c r="F3700" s="4" t="n">
        <v>1</v>
      </c>
      <c r="G3700" s="4" t="s">
        <v>14580</v>
      </c>
      <c r="H3700" s="4" t="n">
        <v>43.45917</v>
      </c>
      <c r="I3700" s="4" t="n">
        <v>-88.83693</v>
      </c>
      <c r="J3700" s="4" t="s">
        <v>14581</v>
      </c>
      <c r="K3700" s="6" t="str">
        <f aca="false">HYPERLINK("https://www.google.com/search?q=Beaver+Dam+Community+Library+Beaver+Dam+WI+library+website","Search")</f>
        <v>Search</v>
      </c>
      <c r="L3700" s="7"/>
      <c r="M3700" s="7"/>
    </row>
    <row r="3701" customFormat="false" ht="15" hidden="false" customHeight="true" outlineLevel="0" collapsed="false">
      <c r="A3701" s="4" t="s">
        <v>14547</v>
      </c>
      <c r="B3701" s="4" t="s">
        <v>14582</v>
      </c>
      <c r="C3701" s="4" t="s">
        <v>14583</v>
      </c>
      <c r="D3701" s="4" t="s">
        <v>14584</v>
      </c>
      <c r="E3701" s="5" t="n">
        <v>45877</v>
      </c>
      <c r="F3701" s="4" t="n">
        <v>1</v>
      </c>
      <c r="G3701" s="4" t="s">
        <v>14585</v>
      </c>
      <c r="H3701" s="4" t="n">
        <v>42.51909</v>
      </c>
      <c r="I3701" s="4" t="n">
        <v>-89.03135</v>
      </c>
      <c r="J3701" s="4" t="s">
        <v>14586</v>
      </c>
      <c r="K3701" s="6" t="str">
        <f aca="false">HYPERLINK("https://www.google.com/search?q=Beloit+Public+Library+Beloit+WI+library+website","Search")</f>
        <v>Search</v>
      </c>
      <c r="L3701" s="7"/>
      <c r="M3701" s="7"/>
    </row>
    <row r="3702" customFormat="false" ht="15" hidden="false" customHeight="true" outlineLevel="0" collapsed="false">
      <c r="A3702" s="4" t="s">
        <v>14547</v>
      </c>
      <c r="B3702" s="4" t="s">
        <v>14587</v>
      </c>
      <c r="C3702" s="4" t="s">
        <v>14588</v>
      </c>
      <c r="D3702" s="4" t="s">
        <v>389</v>
      </c>
      <c r="E3702" s="5" t="n">
        <v>20405</v>
      </c>
      <c r="F3702" s="4" t="n">
        <v>1</v>
      </c>
      <c r="G3702" s="4" t="s">
        <v>14589</v>
      </c>
      <c r="H3702" s="4" t="n">
        <v>44.29414</v>
      </c>
      <c r="I3702" s="4" t="n">
        <v>-90.85056</v>
      </c>
      <c r="J3702" s="4" t="s">
        <v>14590</v>
      </c>
      <c r="K3702" s="6" t="str">
        <f aca="false">HYPERLINK("https://www.google.com/search?q=Black+River+Falls+Public+Library+Black+River+Falls+WI+library+website","Search")</f>
        <v>Search</v>
      </c>
      <c r="L3702" s="7"/>
      <c r="M3702" s="7"/>
    </row>
    <row r="3703" customFormat="false" ht="15" hidden="false" customHeight="true" outlineLevel="0" collapsed="false">
      <c r="A3703" s="4" t="s">
        <v>14547</v>
      </c>
      <c r="B3703" s="4" t="s">
        <v>14591</v>
      </c>
      <c r="C3703" s="4" t="s">
        <v>14592</v>
      </c>
      <c r="D3703" s="4" t="s">
        <v>5379</v>
      </c>
      <c r="E3703" s="5" t="n">
        <v>15083</v>
      </c>
      <c r="F3703" s="4" t="n">
        <v>1</v>
      </c>
      <c r="G3703" s="4" t="s">
        <v>14593</v>
      </c>
      <c r="H3703" s="4" t="n">
        <v>43.33761</v>
      </c>
      <c r="I3703" s="4" t="n">
        <v>-90.3853</v>
      </c>
      <c r="J3703" s="4" t="s">
        <v>14594</v>
      </c>
      <c r="K3703" s="6" t="str">
        <f aca="false">HYPERLINK("https://www.google.com/search?q=Brewer+Public+Library+Richland+Center+WI+library+website","Search")</f>
        <v>Search</v>
      </c>
      <c r="L3703" s="7"/>
      <c r="M3703" s="7"/>
    </row>
    <row r="3704" customFormat="false" ht="15" hidden="false" customHeight="true" outlineLevel="0" collapsed="false">
      <c r="A3704" s="4" t="s">
        <v>14547</v>
      </c>
      <c r="B3704" s="4" t="s">
        <v>14595</v>
      </c>
      <c r="C3704" s="4" t="s">
        <v>14596</v>
      </c>
      <c r="D3704" s="4" t="s">
        <v>14597</v>
      </c>
      <c r="E3704" s="5" t="n">
        <v>10043</v>
      </c>
      <c r="F3704" s="4" t="n">
        <v>1</v>
      </c>
      <c r="G3704" s="4" t="s">
        <v>14598</v>
      </c>
      <c r="H3704" s="4" t="n">
        <v>44.17949</v>
      </c>
      <c r="I3704" s="4" t="n">
        <v>-88.06422</v>
      </c>
      <c r="J3704" s="4" t="s">
        <v>14599</v>
      </c>
      <c r="K3704" s="6" t="str">
        <f aca="false">HYPERLINK("https://www.google.com/search?q=Brillion+Public+Library+Brillion+WI+library+website","Search")</f>
        <v>Search</v>
      </c>
      <c r="L3704" s="7"/>
      <c r="M3704" s="7"/>
    </row>
    <row r="3705" customFormat="false" ht="15" hidden="false" customHeight="true" outlineLevel="0" collapsed="false">
      <c r="A3705" s="4" t="s">
        <v>14547</v>
      </c>
      <c r="B3705" s="4" t="s">
        <v>14600</v>
      </c>
      <c r="C3705" s="4" t="s">
        <v>1849</v>
      </c>
      <c r="D3705" s="4" t="s">
        <v>14601</v>
      </c>
      <c r="E3705" s="5" t="n">
        <v>45849</v>
      </c>
      <c r="F3705" s="4" t="n">
        <v>1</v>
      </c>
      <c r="G3705" s="4" t="s">
        <v>14602</v>
      </c>
      <c r="H3705" s="4" t="n">
        <v>43.0553</v>
      </c>
      <c r="I3705" s="4" t="n">
        <v>-88.12616</v>
      </c>
      <c r="J3705" s="4" t="s">
        <v>14603</v>
      </c>
      <c r="K3705" s="6" t="str">
        <f aca="false">HYPERLINK("https://www.google.com/search?q=Brookfield+Public+Library+Brookfield+WI+library+website","Search")</f>
        <v>Search</v>
      </c>
      <c r="L3705" s="7"/>
      <c r="M3705" s="7"/>
    </row>
    <row r="3706" customFormat="false" ht="15" hidden="false" customHeight="true" outlineLevel="0" collapsed="false">
      <c r="A3706" s="4" t="s">
        <v>14547</v>
      </c>
      <c r="B3706" s="4" t="s">
        <v>14604</v>
      </c>
      <c r="C3706" s="4" t="s">
        <v>14605</v>
      </c>
      <c r="D3706" s="4" t="s">
        <v>4282</v>
      </c>
      <c r="E3706" s="5" t="n">
        <v>270984</v>
      </c>
      <c r="F3706" s="4" t="n">
        <v>9</v>
      </c>
      <c r="G3706" s="4" t="s">
        <v>14606</v>
      </c>
      <c r="H3706" s="4" t="n">
        <v>44.51453</v>
      </c>
      <c r="I3706" s="4" t="n">
        <v>-88.00984</v>
      </c>
      <c r="J3706" s="4" t="s">
        <v>14607</v>
      </c>
      <c r="K3706" s="6" t="str">
        <f aca="false">HYPERLINK("https://www.google.com/search?q=Brown+County+Library+Green+Bay+WI+library+website","Search")</f>
        <v>Search</v>
      </c>
      <c r="L3706" s="7"/>
      <c r="M3706" s="7"/>
    </row>
    <row r="3707" customFormat="false" ht="15" hidden="false" customHeight="true" outlineLevel="0" collapsed="false">
      <c r="A3707" s="4" t="s">
        <v>14547</v>
      </c>
      <c r="B3707" s="4" t="s">
        <v>14608</v>
      </c>
      <c r="C3707" s="4" t="s">
        <v>14609</v>
      </c>
      <c r="D3707" s="4" t="s">
        <v>14610</v>
      </c>
      <c r="E3707" s="5" t="n">
        <v>13028</v>
      </c>
      <c r="F3707" s="4" t="n">
        <v>1</v>
      </c>
      <c r="G3707" s="4" t="s">
        <v>14611</v>
      </c>
      <c r="H3707" s="4" t="n">
        <v>43.1783</v>
      </c>
      <c r="I3707" s="4" t="n">
        <v>-87.96467</v>
      </c>
      <c r="J3707" s="4" t="s">
        <v>14612</v>
      </c>
      <c r="K3707" s="6" t="str">
        <f aca="false">HYPERLINK("https://www.google.com/search?q=Brown+Deer+Public+Library+Brown+Deer+WI+library+website","Search")</f>
        <v>Search</v>
      </c>
      <c r="L3707" s="7"/>
      <c r="M3707" s="7"/>
    </row>
    <row r="3708" customFormat="false" ht="15" hidden="false" customHeight="true" outlineLevel="0" collapsed="false">
      <c r="A3708" s="4" t="s">
        <v>14547</v>
      </c>
      <c r="B3708" s="4" t="s">
        <v>2902</v>
      </c>
      <c r="C3708" s="4" t="s">
        <v>2903</v>
      </c>
      <c r="D3708" s="4" t="s">
        <v>14613</v>
      </c>
      <c r="E3708" s="5" t="n">
        <v>19465</v>
      </c>
      <c r="F3708" s="4" t="n">
        <v>1</v>
      </c>
      <c r="G3708" s="4" t="s">
        <v>14614</v>
      </c>
      <c r="H3708" s="4" t="n">
        <v>42.67827</v>
      </c>
      <c r="I3708" s="4" t="n">
        <v>-88.2758</v>
      </c>
      <c r="J3708" s="4" t="s">
        <v>14615</v>
      </c>
      <c r="K3708" s="6" t="str">
        <f aca="false">HYPERLINK("https://www.google.com/search?q=Burlington+Public+Library+Burlington+WI+library+website","Search")</f>
        <v>Search</v>
      </c>
      <c r="L3708" s="7"/>
      <c r="M3708" s="7"/>
    </row>
    <row r="3709" customFormat="false" ht="15" hidden="false" customHeight="true" outlineLevel="0" collapsed="false">
      <c r="A3709" s="4" t="s">
        <v>14547</v>
      </c>
      <c r="B3709" s="4" t="s">
        <v>14616</v>
      </c>
      <c r="C3709" s="4" t="s">
        <v>14617</v>
      </c>
      <c r="D3709" s="4" t="s">
        <v>14618</v>
      </c>
      <c r="E3709" s="5" t="n">
        <v>23733</v>
      </c>
      <c r="F3709" s="4" t="n">
        <v>1</v>
      </c>
      <c r="G3709" s="4" t="s">
        <v>14619</v>
      </c>
      <c r="H3709" s="4" t="n">
        <v>45.12274</v>
      </c>
      <c r="I3709" s="4" t="n">
        <v>-92.53651</v>
      </c>
      <c r="J3709" s="4" t="s">
        <v>14620</v>
      </c>
      <c r="K3709" s="6" t="str">
        <f aca="false">HYPERLINK("https://www.google.com/search?q=Carleton+A.+Friday+Memorial+Library+New+Richmond+WI+library+website","Search")</f>
        <v>Search</v>
      </c>
      <c r="L3709" s="7"/>
      <c r="M3709" s="7"/>
    </row>
    <row r="3710" customFormat="false" ht="15" hidden="false" customHeight="true" outlineLevel="0" collapsed="false">
      <c r="A3710" s="4" t="s">
        <v>14547</v>
      </c>
      <c r="B3710" s="4" t="s">
        <v>14621</v>
      </c>
      <c r="C3710" s="4" t="s">
        <v>14622</v>
      </c>
      <c r="D3710" s="4" t="s">
        <v>14623</v>
      </c>
      <c r="E3710" s="5" t="n">
        <v>20451</v>
      </c>
      <c r="F3710" s="4" t="n">
        <v>1</v>
      </c>
      <c r="G3710" s="4" t="s">
        <v>14624</v>
      </c>
      <c r="H3710" s="4" t="n">
        <v>43.29716</v>
      </c>
      <c r="I3710" s="4" t="n">
        <v>-87.98926</v>
      </c>
      <c r="J3710" s="4" t="s">
        <v>14625</v>
      </c>
      <c r="K3710" s="6" t="str">
        <f aca="false">HYPERLINK("https://www.google.com/search?q=Cedarburg+Public+Library+Cedarburg+WI+library+website","Search")</f>
        <v>Search</v>
      </c>
      <c r="L3710" s="7"/>
      <c r="M3710" s="7"/>
    </row>
    <row r="3711" customFormat="false" ht="15" hidden="false" customHeight="true" outlineLevel="0" collapsed="false">
      <c r="A3711" s="4" t="s">
        <v>14547</v>
      </c>
      <c r="B3711" s="4" t="s">
        <v>14626</v>
      </c>
      <c r="C3711" s="4" t="s">
        <v>134</v>
      </c>
      <c r="D3711" s="4" t="s">
        <v>14597</v>
      </c>
      <c r="E3711" s="5" t="n">
        <v>20861</v>
      </c>
      <c r="F3711" s="4" t="n">
        <v>1</v>
      </c>
      <c r="G3711" s="4" t="s">
        <v>14627</v>
      </c>
      <c r="H3711" s="4" t="n">
        <v>44.02929</v>
      </c>
      <c r="I3711" s="4" t="n">
        <v>-88.15818</v>
      </c>
      <c r="J3711" s="4" t="s">
        <v>14628</v>
      </c>
      <c r="K3711" s="6" t="str">
        <f aca="false">HYPERLINK("https://www.google.com/search?q=Chilton+Public+Library+Chilton+WI+library+website","Search")</f>
        <v>Search</v>
      </c>
      <c r="L3711" s="7"/>
      <c r="M3711" s="7"/>
    </row>
    <row r="3712" customFormat="false" ht="15" hidden="false" customHeight="true" outlineLevel="0" collapsed="false">
      <c r="A3712" s="4" t="s">
        <v>14547</v>
      </c>
      <c r="B3712" s="4" t="s">
        <v>14629</v>
      </c>
      <c r="C3712" s="4" t="s">
        <v>14630</v>
      </c>
      <c r="D3712" s="4" t="s">
        <v>7036</v>
      </c>
      <c r="E3712" s="5" t="n">
        <v>40771</v>
      </c>
      <c r="F3712" s="4" t="n">
        <v>1</v>
      </c>
      <c r="G3712" s="4" t="s">
        <v>14631</v>
      </c>
      <c r="H3712" s="4" t="n">
        <v>44.93542</v>
      </c>
      <c r="I3712" s="4" t="n">
        <v>-91.39391</v>
      </c>
      <c r="J3712" s="4" t="s">
        <v>14632</v>
      </c>
      <c r="K3712" s="6" t="str">
        <f aca="false">HYPERLINK("https://www.google.com/search?q=Chippewa+Falls+Public+Library+Chippewa+Falls+WI+library+website","Search")</f>
        <v>Search</v>
      </c>
      <c r="L3712" s="7"/>
      <c r="M3712" s="7"/>
    </row>
    <row r="3713" customFormat="false" ht="15" hidden="false" customHeight="true" outlineLevel="0" collapsed="false">
      <c r="A3713" s="4" t="s">
        <v>14547</v>
      </c>
      <c r="B3713" s="4" t="s">
        <v>10375</v>
      </c>
      <c r="C3713" s="4" t="s">
        <v>4598</v>
      </c>
      <c r="D3713" s="4" t="s">
        <v>14633</v>
      </c>
      <c r="E3713" s="5" t="n">
        <v>32517</v>
      </c>
      <c r="F3713" s="4" t="n">
        <v>2</v>
      </c>
      <c r="G3713" s="4" t="s">
        <v>14634</v>
      </c>
      <c r="H3713" s="4" t="n">
        <v>42.54652</v>
      </c>
      <c r="I3713" s="4" t="n">
        <v>-88.10599</v>
      </c>
      <c r="J3713" s="4" t="s">
        <v>14635</v>
      </c>
      <c r="K3713" s="6" t="str">
        <f aca="false">HYPERLINK("https://www.google.com/search?q=Community+Library+Salem+WI+library+website","Search")</f>
        <v>Search</v>
      </c>
      <c r="L3713" s="7"/>
      <c r="M3713" s="7"/>
    </row>
    <row r="3714" customFormat="false" ht="15" hidden="false" customHeight="true" outlineLevel="0" collapsed="false">
      <c r="A3714" s="4" t="s">
        <v>14547</v>
      </c>
      <c r="B3714" s="4" t="s">
        <v>14636</v>
      </c>
      <c r="C3714" s="4" t="s">
        <v>14637</v>
      </c>
      <c r="D3714" s="4" t="s">
        <v>14610</v>
      </c>
      <c r="E3714" s="5" t="n">
        <v>18184</v>
      </c>
      <c r="F3714" s="4" t="n">
        <v>1</v>
      </c>
      <c r="G3714" s="4" t="s">
        <v>14638</v>
      </c>
      <c r="H3714" s="4" t="n">
        <v>42.95675</v>
      </c>
      <c r="I3714" s="4" t="n">
        <v>-87.8621</v>
      </c>
      <c r="J3714" s="4" t="s">
        <v>14639</v>
      </c>
      <c r="K3714" s="6" t="str">
        <f aca="false">HYPERLINK("https://www.google.com/search?q=Cudahy+Family+Library+Cudahy+WI+library+website","Search")</f>
        <v>Search</v>
      </c>
      <c r="L3714" s="7"/>
      <c r="M3714" s="7"/>
    </row>
    <row r="3715" customFormat="false" ht="15" hidden="false" customHeight="true" outlineLevel="0" collapsed="false">
      <c r="A3715" s="4" t="s">
        <v>14547</v>
      </c>
      <c r="B3715" s="4" t="s">
        <v>14640</v>
      </c>
      <c r="C3715" s="4" t="s">
        <v>14641</v>
      </c>
      <c r="D3715" s="4" t="s">
        <v>14642</v>
      </c>
      <c r="E3715" s="5" t="n">
        <v>20080</v>
      </c>
      <c r="F3715" s="4" t="n">
        <v>1</v>
      </c>
      <c r="G3715" s="4" t="s">
        <v>14643</v>
      </c>
      <c r="H3715" s="4" t="n">
        <v>43.24702</v>
      </c>
      <c r="I3715" s="4" t="n">
        <v>-89.34236</v>
      </c>
      <c r="J3715" s="4" t="s">
        <v>14644</v>
      </c>
      <c r="K3715" s="6" t="str">
        <f aca="false">HYPERLINK("https://www.google.com/search?q=Deforest+Area+Public+Library+Deforest+WI+library+website","Search")</f>
        <v>Search</v>
      </c>
      <c r="L3715" s="7"/>
      <c r="M3715" s="7"/>
    </row>
    <row r="3716" customFormat="false" ht="15" hidden="false" customHeight="true" outlineLevel="0" collapsed="false">
      <c r="A3716" s="4" t="s">
        <v>14547</v>
      </c>
      <c r="B3716" s="4" t="s">
        <v>14645</v>
      </c>
      <c r="C3716" s="4" t="s">
        <v>14646</v>
      </c>
      <c r="D3716" s="4" t="s">
        <v>14601</v>
      </c>
      <c r="E3716" s="5" t="n">
        <v>20912</v>
      </c>
      <c r="F3716" s="4" t="n">
        <v>1</v>
      </c>
      <c r="G3716" s="4" t="s">
        <v>14647</v>
      </c>
      <c r="H3716" s="4" t="n">
        <v>43.05915</v>
      </c>
      <c r="I3716" s="4" t="n">
        <v>-88.40418</v>
      </c>
      <c r="J3716" s="4" t="s">
        <v>14648</v>
      </c>
      <c r="K3716" s="6" t="str">
        <f aca="false">HYPERLINK("https://www.google.com/search?q=Delafield+Public+Library+Delafield+WI+library+website","Search")</f>
        <v>Search</v>
      </c>
      <c r="L3716" s="7"/>
      <c r="M3716" s="7"/>
    </row>
    <row r="3717" customFormat="false" ht="15" hidden="false" customHeight="true" outlineLevel="0" collapsed="false">
      <c r="A3717" s="4" t="s">
        <v>14547</v>
      </c>
      <c r="B3717" s="4" t="s">
        <v>14649</v>
      </c>
      <c r="C3717" s="4" t="s">
        <v>14650</v>
      </c>
      <c r="D3717" s="4" t="s">
        <v>14651</v>
      </c>
      <c r="E3717" s="5" t="n">
        <v>11590</v>
      </c>
      <c r="F3717" s="4" t="n">
        <v>1</v>
      </c>
      <c r="G3717" s="4" t="s">
        <v>14652</v>
      </c>
      <c r="H3717" s="4" t="n">
        <v>42.95931</v>
      </c>
      <c r="I3717" s="4" t="n">
        <v>-90.13037</v>
      </c>
      <c r="J3717" s="4" t="s">
        <v>14653</v>
      </c>
      <c r="K3717" s="6" t="str">
        <f aca="false">HYPERLINK("https://www.google.com/search?q=Dodgeville+Public+Library+Dodgeville+WI+library+website","Search")</f>
        <v>Search</v>
      </c>
      <c r="L3717" s="7"/>
      <c r="M3717" s="7"/>
    </row>
    <row r="3718" customFormat="false" ht="15" hidden="false" customHeight="true" outlineLevel="0" collapsed="false">
      <c r="A3718" s="4" t="s">
        <v>14547</v>
      </c>
      <c r="B3718" s="4" t="s">
        <v>14654</v>
      </c>
      <c r="C3718" s="4" t="s">
        <v>14655</v>
      </c>
      <c r="D3718" s="4" t="s">
        <v>14656</v>
      </c>
      <c r="E3718" s="5" t="n">
        <v>30328</v>
      </c>
      <c r="F3718" s="4" t="n">
        <v>8</v>
      </c>
      <c r="G3718" s="4" t="s">
        <v>14657</v>
      </c>
      <c r="H3718" s="4" t="n">
        <v>44.8338</v>
      </c>
      <c r="I3718" s="4" t="n">
        <v>-87.3742</v>
      </c>
      <c r="J3718" s="4" t="s">
        <v>14658</v>
      </c>
      <c r="K3718" s="6" t="str">
        <f aca="false">HYPERLINK("https://www.google.com/search?q=Door+County+Library+Sturgeon+Bay+WI+library+website","Search")</f>
        <v>Search</v>
      </c>
      <c r="L3718" s="7"/>
      <c r="M3718" s="7"/>
    </row>
    <row r="3719" customFormat="false" ht="15" hidden="false" customHeight="true" outlineLevel="0" collapsed="false">
      <c r="A3719" s="4" t="s">
        <v>14547</v>
      </c>
      <c r="B3719" s="4" t="s">
        <v>14659</v>
      </c>
      <c r="C3719" s="4" t="s">
        <v>14660</v>
      </c>
      <c r="D3719" s="4" t="s">
        <v>98</v>
      </c>
      <c r="E3719" s="5" t="n">
        <v>22805</v>
      </c>
      <c r="F3719" s="4" t="n">
        <v>1</v>
      </c>
      <c r="G3719" s="4" t="s">
        <v>14661</v>
      </c>
      <c r="H3719" s="4" t="n">
        <v>42.92636</v>
      </c>
      <c r="I3719" s="4" t="n">
        <v>-88.83571</v>
      </c>
      <c r="J3719" s="4" t="s">
        <v>14662</v>
      </c>
      <c r="K3719" s="6" t="str">
        <f aca="false">HYPERLINK("https://www.google.com/search?q=Dwight+Foster+Public+Library+Fort+Atkinson+WI+library+website","Search")</f>
        <v>Search</v>
      </c>
      <c r="L3719" s="7"/>
      <c r="M3719" s="7"/>
    </row>
    <row r="3720" customFormat="false" ht="15" hidden="false" customHeight="true" outlineLevel="0" collapsed="false">
      <c r="A3720" s="4" t="s">
        <v>14547</v>
      </c>
      <c r="B3720" s="4" t="s">
        <v>14663</v>
      </c>
      <c r="C3720" s="4" t="s">
        <v>14664</v>
      </c>
      <c r="D3720" s="4" t="s">
        <v>14642</v>
      </c>
      <c r="E3720" s="5" t="n">
        <v>13451</v>
      </c>
      <c r="F3720" s="4" t="n">
        <v>1</v>
      </c>
      <c r="G3720" s="4" t="s">
        <v>14665</v>
      </c>
      <c r="H3720" s="4" t="n">
        <v>43.01345</v>
      </c>
      <c r="I3720" s="4" t="n">
        <v>-89.28742</v>
      </c>
      <c r="J3720" s="4" t="s">
        <v>14666</v>
      </c>
      <c r="K3720" s="6" t="str">
        <f aca="false">HYPERLINK("https://www.google.com/search?q=E.D.+Locke+Public+Library+Mcfarland+WI+library+website","Search")</f>
        <v>Search</v>
      </c>
      <c r="L3720" s="7"/>
      <c r="M3720" s="7"/>
    </row>
    <row r="3721" customFormat="false" ht="15" hidden="false" customHeight="true" outlineLevel="0" collapsed="false">
      <c r="A3721" s="4" t="s">
        <v>14547</v>
      </c>
      <c r="B3721" s="4" t="s">
        <v>14667</v>
      </c>
      <c r="C3721" s="4" t="s">
        <v>14668</v>
      </c>
      <c r="D3721" s="4" t="s">
        <v>3434</v>
      </c>
      <c r="E3721" s="5" t="n">
        <v>24013</v>
      </c>
      <c r="F3721" s="4" t="n">
        <v>1</v>
      </c>
      <c r="G3721" s="4" t="s">
        <v>14669</v>
      </c>
      <c r="H3721" s="4" t="n">
        <v>44.20299</v>
      </c>
      <c r="I3721" s="4" t="n">
        <v>-88.44661</v>
      </c>
      <c r="J3721" s="4" t="s">
        <v>14670</v>
      </c>
      <c r="K3721" s="6" t="str">
        <f aca="false">HYPERLINK("https://www.google.com/search?q=Elisha+D.+Smith+Public+Library+Menasha+WI+library+website","Search")</f>
        <v>Search</v>
      </c>
      <c r="L3721" s="7"/>
      <c r="M3721" s="7"/>
    </row>
    <row r="3722" customFormat="false" ht="15" hidden="false" customHeight="true" outlineLevel="0" collapsed="false">
      <c r="A3722" s="4" t="s">
        <v>14547</v>
      </c>
      <c r="B3722" s="4" t="s">
        <v>14671</v>
      </c>
      <c r="C3722" s="4" t="s">
        <v>6073</v>
      </c>
      <c r="D3722" s="4" t="s">
        <v>10722</v>
      </c>
      <c r="E3722" s="5" t="n">
        <v>29102</v>
      </c>
      <c r="F3722" s="4" t="n">
        <v>1</v>
      </c>
      <c r="G3722" s="4" t="s">
        <v>14672</v>
      </c>
      <c r="H3722" s="4" t="n">
        <v>44.66617</v>
      </c>
      <c r="I3722" s="4" t="n">
        <v>-90.17225</v>
      </c>
      <c r="J3722" s="4" t="s">
        <v>14673</v>
      </c>
      <c r="K3722" s="6" t="str">
        <f aca="false">HYPERLINK("https://www.google.com/search?q=Everett+Roehl+Marshfield+Public+Library+Marshfield+WI+library+website","Search")</f>
        <v>Search</v>
      </c>
      <c r="L3722" s="7"/>
      <c r="M3722" s="7"/>
    </row>
    <row r="3723" customFormat="false" ht="15" hidden="false" customHeight="true" outlineLevel="0" collapsed="false">
      <c r="A3723" s="4" t="s">
        <v>14547</v>
      </c>
      <c r="B3723" s="4" t="s">
        <v>5657</v>
      </c>
      <c r="C3723" s="4" t="s">
        <v>5658</v>
      </c>
      <c r="D3723" s="4" t="s">
        <v>14642</v>
      </c>
      <c r="E3723" s="5" t="n">
        <v>33788</v>
      </c>
      <c r="F3723" s="4" t="n">
        <v>1</v>
      </c>
      <c r="G3723" s="4" t="s">
        <v>14674</v>
      </c>
      <c r="H3723" s="4" t="n">
        <v>43.00127</v>
      </c>
      <c r="I3723" s="4" t="n">
        <v>-89.42489</v>
      </c>
      <c r="J3723" s="4" t="s">
        <v>14675</v>
      </c>
      <c r="K3723" s="6" t="str">
        <f aca="false">HYPERLINK("https://www.google.com/search?q=Fitchburg+Public+Library+Fitchburg+WI+library+website","Search")</f>
        <v>Search</v>
      </c>
      <c r="L3723" s="7"/>
      <c r="M3723" s="7"/>
    </row>
    <row r="3724" customFormat="false" ht="15" hidden="false" customHeight="true" outlineLevel="0" collapsed="false">
      <c r="A3724" s="4" t="s">
        <v>14547</v>
      </c>
      <c r="B3724" s="4" t="s">
        <v>14676</v>
      </c>
      <c r="C3724" s="4" t="s">
        <v>14677</v>
      </c>
      <c r="D3724" s="4" t="s">
        <v>14677</v>
      </c>
      <c r="E3724" s="5" t="n">
        <v>70435</v>
      </c>
      <c r="F3724" s="4" t="n">
        <v>2</v>
      </c>
      <c r="G3724" s="4" t="s">
        <v>14678</v>
      </c>
      <c r="H3724" s="4" t="n">
        <v>43.7778</v>
      </c>
      <c r="I3724" s="4" t="n">
        <v>-88.44539</v>
      </c>
      <c r="J3724" s="4" t="s">
        <v>14679</v>
      </c>
      <c r="K3724" s="6" t="str">
        <f aca="false">HYPERLINK("https://www.google.com/search?q=Fond+Du+Lac+Public+Library+Fond+Du+Lac+WI+library+website","Search")</f>
        <v>Search</v>
      </c>
      <c r="L3724" s="7"/>
      <c r="M3724" s="7"/>
    </row>
    <row r="3725" customFormat="false" ht="15" hidden="false" customHeight="true" outlineLevel="0" collapsed="false">
      <c r="A3725" s="4" t="s">
        <v>14547</v>
      </c>
      <c r="B3725" s="4" t="s">
        <v>14680</v>
      </c>
      <c r="C3725" s="4" t="s">
        <v>5835</v>
      </c>
      <c r="D3725" s="4" t="s">
        <v>5179</v>
      </c>
      <c r="E3725" s="5" t="n">
        <v>14350</v>
      </c>
      <c r="F3725" s="4" t="n">
        <v>1</v>
      </c>
      <c r="G3725" s="4" t="s">
        <v>14681</v>
      </c>
      <c r="H3725" s="4" t="n">
        <v>45.14286</v>
      </c>
      <c r="I3725" s="4" t="n">
        <v>-90.34845</v>
      </c>
      <c r="J3725" s="4" t="s">
        <v>14682</v>
      </c>
      <c r="K3725" s="6" t="str">
        <f aca="false">HYPERLINK("https://www.google.com/search?q=Frances+L.+Simek+Memorial+Library+Medford+Medford+WI+library+website","Search")</f>
        <v>Search</v>
      </c>
      <c r="L3725" s="7"/>
      <c r="M3725" s="7"/>
    </row>
    <row r="3726" customFormat="false" ht="15" hidden="false" customHeight="true" outlineLevel="0" collapsed="false">
      <c r="A3726" s="4" t="s">
        <v>14547</v>
      </c>
      <c r="B3726" s="4" t="s">
        <v>14683</v>
      </c>
      <c r="C3726" s="4" t="s">
        <v>14684</v>
      </c>
      <c r="D3726" s="4" t="s">
        <v>14623</v>
      </c>
      <c r="E3726" s="5" t="n">
        <v>28795</v>
      </c>
      <c r="F3726" s="4" t="n">
        <v>1</v>
      </c>
      <c r="G3726" s="4" t="s">
        <v>14685</v>
      </c>
      <c r="H3726" s="4" t="n">
        <v>43.22409</v>
      </c>
      <c r="I3726" s="4" t="n">
        <v>-87.98414</v>
      </c>
      <c r="J3726" s="4" t="s">
        <v>14686</v>
      </c>
      <c r="K3726" s="6" t="str">
        <f aca="false">HYPERLINK("https://www.google.com/search?q=Frank+L.+Weyenberg+Library+Mequon+WI+library+website","Search")</f>
        <v>Search</v>
      </c>
      <c r="L3726" s="7"/>
      <c r="M3726" s="7"/>
    </row>
    <row r="3727" customFormat="false" ht="15" hidden="false" customHeight="true" outlineLevel="0" collapsed="false">
      <c r="A3727" s="4" t="s">
        <v>14547</v>
      </c>
      <c r="B3727" s="4" t="s">
        <v>5673</v>
      </c>
      <c r="C3727" s="4" t="s">
        <v>384</v>
      </c>
      <c r="D3727" s="4" t="s">
        <v>14610</v>
      </c>
      <c r="E3727" s="5" t="n">
        <v>35896</v>
      </c>
      <c r="F3727" s="4" t="n">
        <v>1</v>
      </c>
      <c r="G3727" s="4" t="s">
        <v>14687</v>
      </c>
      <c r="H3727" s="4" t="n">
        <v>42.90162</v>
      </c>
      <c r="I3727" s="4" t="n">
        <v>-88.02803</v>
      </c>
      <c r="J3727" s="4" t="s">
        <v>14688</v>
      </c>
      <c r="K3727" s="6" t="str">
        <f aca="false">HYPERLINK("https://www.google.com/search?q=Franklin+Public+Library+Franklin+WI+library+website","Search")</f>
        <v>Search</v>
      </c>
      <c r="L3727" s="7"/>
      <c r="M3727" s="7"/>
    </row>
    <row r="3728" customFormat="false" ht="15" hidden="false" customHeight="true" outlineLevel="0" collapsed="false">
      <c r="A3728" s="4" t="s">
        <v>14547</v>
      </c>
      <c r="B3728" s="4" t="s">
        <v>12629</v>
      </c>
      <c r="C3728" s="4" t="s">
        <v>10451</v>
      </c>
      <c r="D3728" s="4" t="s">
        <v>441</v>
      </c>
      <c r="E3728" s="5" t="n">
        <v>35219</v>
      </c>
      <c r="F3728" s="4" t="n">
        <v>1</v>
      </c>
      <c r="G3728" s="4" t="s">
        <v>14689</v>
      </c>
      <c r="H3728" s="4" t="n">
        <v>43.22022</v>
      </c>
      <c r="I3728" s="4" t="n">
        <v>-88.11966</v>
      </c>
      <c r="J3728" s="4" t="s">
        <v>14690</v>
      </c>
      <c r="K3728" s="6" t="str">
        <f aca="false">HYPERLINK("https://www.google.com/search?q=Germantown+Community+Library+Germantown+WI+library+website","Search")</f>
        <v>Search</v>
      </c>
      <c r="L3728" s="7"/>
      <c r="M3728" s="7"/>
    </row>
    <row r="3729" customFormat="false" ht="15" hidden="false" customHeight="true" outlineLevel="0" collapsed="false">
      <c r="A3729" s="4" t="s">
        <v>14547</v>
      </c>
      <c r="B3729" s="4" t="s">
        <v>14691</v>
      </c>
      <c r="C3729" s="4" t="s">
        <v>14692</v>
      </c>
      <c r="D3729" s="4" t="s">
        <v>14613</v>
      </c>
      <c r="E3729" s="5" t="n">
        <v>11472</v>
      </c>
      <c r="F3729" s="4" t="n">
        <v>1</v>
      </c>
      <c r="G3729" s="4" t="s">
        <v>14693</v>
      </c>
      <c r="H3729" s="4" t="n">
        <v>42.68482</v>
      </c>
      <c r="I3729" s="4" t="n">
        <v>-88.05182</v>
      </c>
      <c r="J3729" s="4" t="s">
        <v>14694</v>
      </c>
      <c r="K3729" s="6" t="str">
        <f aca="false">HYPERLINK("https://www.google.com/search?q=Graham+Public+Library+Union+Grove+WI+library+website","Search")</f>
        <v>Search</v>
      </c>
      <c r="L3729" s="7"/>
      <c r="M3729" s="7"/>
    </row>
    <row r="3730" customFormat="false" ht="15" hidden="false" customHeight="true" outlineLevel="0" collapsed="false">
      <c r="A3730" s="4" t="s">
        <v>14547</v>
      </c>
      <c r="B3730" s="4" t="s">
        <v>14695</v>
      </c>
      <c r="C3730" s="4" t="s">
        <v>14696</v>
      </c>
      <c r="D3730" s="4" t="s">
        <v>14610</v>
      </c>
      <c r="E3730" s="5" t="n">
        <v>14869</v>
      </c>
      <c r="F3730" s="4" t="n">
        <v>1</v>
      </c>
      <c r="G3730" s="4" t="s">
        <v>14697</v>
      </c>
      <c r="H3730" s="4" t="n">
        <v>42.94104</v>
      </c>
      <c r="I3730" s="4" t="n">
        <v>-87.99606</v>
      </c>
      <c r="J3730" s="4" t="s">
        <v>14698</v>
      </c>
      <c r="K3730" s="6" t="str">
        <f aca="false">HYPERLINK("https://www.google.com/search?q=Greendale+Public+Library+Greendale+WI+library+website","Search")</f>
        <v>Search</v>
      </c>
      <c r="L3730" s="7"/>
      <c r="M3730" s="7"/>
    </row>
    <row r="3731" customFormat="false" ht="15" hidden="false" customHeight="true" outlineLevel="0" collapsed="false">
      <c r="A3731" s="4" t="s">
        <v>14547</v>
      </c>
      <c r="B3731" s="4" t="s">
        <v>5695</v>
      </c>
      <c r="C3731" s="4" t="s">
        <v>4380</v>
      </c>
      <c r="D3731" s="4" t="s">
        <v>14610</v>
      </c>
      <c r="E3731" s="5" t="n">
        <v>37809</v>
      </c>
      <c r="F3731" s="4" t="n">
        <v>1</v>
      </c>
      <c r="G3731" s="4" t="s">
        <v>14699</v>
      </c>
      <c r="H3731" s="4" t="n">
        <v>42.9595</v>
      </c>
      <c r="I3731" s="4" t="n">
        <v>-87.98132</v>
      </c>
      <c r="J3731" s="4" t="s">
        <v>14700</v>
      </c>
      <c r="K3731" s="6" t="str">
        <f aca="false">HYPERLINK("https://www.google.com/search?q=Greenfield+Public+Library+Greenfield+WI+library+website","Search")</f>
        <v>Search</v>
      </c>
      <c r="L3731" s="7"/>
      <c r="M3731" s="7"/>
    </row>
    <row r="3732" customFormat="false" ht="15" hidden="false" customHeight="true" outlineLevel="0" collapsed="false">
      <c r="A3732" s="4" t="s">
        <v>14547</v>
      </c>
      <c r="B3732" s="4" t="s">
        <v>14701</v>
      </c>
      <c r="C3732" s="4" t="s">
        <v>6572</v>
      </c>
      <c r="D3732" s="4" t="s">
        <v>14601</v>
      </c>
      <c r="E3732" s="5" t="n">
        <v>16850</v>
      </c>
      <c r="F3732" s="4" t="n">
        <v>1</v>
      </c>
      <c r="G3732" s="4" t="s">
        <v>14702</v>
      </c>
      <c r="H3732" s="4" t="n">
        <v>43.10271</v>
      </c>
      <c r="I3732" s="4" t="n">
        <v>-88.34705</v>
      </c>
      <c r="J3732" s="4" t="s">
        <v>14703</v>
      </c>
      <c r="K3732" s="6" t="str">
        <f aca="false">HYPERLINK("https://www.google.com/search?q=Hartland+Public+Library+Hartland+WI+library+website","Search")</f>
        <v>Search</v>
      </c>
      <c r="L3732" s="7"/>
      <c r="M3732" s="7"/>
    </row>
    <row r="3733" customFormat="false" ht="15" hidden="false" customHeight="true" outlineLevel="0" collapsed="false">
      <c r="A3733" s="4" t="s">
        <v>14547</v>
      </c>
      <c r="B3733" s="4" t="s">
        <v>14704</v>
      </c>
      <c r="C3733" s="4" t="s">
        <v>14705</v>
      </c>
      <c r="D3733" s="4" t="s">
        <v>14706</v>
      </c>
      <c r="E3733" s="5" t="n">
        <v>11703</v>
      </c>
      <c r="F3733" s="4" t="n">
        <v>1</v>
      </c>
      <c r="G3733" s="4" t="s">
        <v>14707</v>
      </c>
      <c r="H3733" s="4" t="n">
        <v>43.79752</v>
      </c>
      <c r="I3733" s="4" t="n">
        <v>-90.07725</v>
      </c>
      <c r="J3733" s="4" t="s">
        <v>14708</v>
      </c>
      <c r="K3733" s="6" t="str">
        <f aca="false">HYPERLINK("https://www.google.com/search?q=Hatch+Public+Library+Mauston+WI+library+website","Search")</f>
        <v>Search</v>
      </c>
      <c r="L3733" s="7"/>
      <c r="M3733" s="7"/>
    </row>
    <row r="3734" customFormat="false" ht="15" hidden="false" customHeight="true" outlineLevel="0" collapsed="false">
      <c r="A3734" s="4" t="s">
        <v>14547</v>
      </c>
      <c r="B3734" s="4" t="s">
        <v>14709</v>
      </c>
      <c r="C3734" s="4" t="s">
        <v>14710</v>
      </c>
      <c r="D3734" s="4" t="s">
        <v>14584</v>
      </c>
      <c r="E3734" s="5" t="n">
        <v>81240</v>
      </c>
      <c r="F3734" s="4" t="n">
        <v>2</v>
      </c>
      <c r="G3734" s="4" t="s">
        <v>14711</v>
      </c>
      <c r="H3734" s="4" t="n">
        <v>42.67948</v>
      </c>
      <c r="I3734" s="4" t="n">
        <v>-89.01872</v>
      </c>
      <c r="J3734" s="4" t="s">
        <v>14712</v>
      </c>
      <c r="K3734" s="6" t="str">
        <f aca="false">HYPERLINK("https://www.google.com/search?q=Hedberg+Public+Library+Janesville+WI+library+website","Search")</f>
        <v>Search</v>
      </c>
      <c r="L3734" s="7"/>
      <c r="M3734" s="7"/>
    </row>
    <row r="3735" customFormat="false" ht="15" hidden="false" customHeight="true" outlineLevel="0" collapsed="false">
      <c r="A3735" s="4" t="s">
        <v>14547</v>
      </c>
      <c r="B3735" s="4" t="s">
        <v>14713</v>
      </c>
      <c r="C3735" s="4" t="s">
        <v>14714</v>
      </c>
      <c r="D3735" s="4" t="s">
        <v>14565</v>
      </c>
      <c r="E3735" s="5" t="n">
        <v>17822</v>
      </c>
      <c r="F3735" s="4" t="n">
        <v>1</v>
      </c>
      <c r="G3735" s="4" t="s">
        <v>14715</v>
      </c>
      <c r="H3735" s="4" t="n">
        <v>44.34083</v>
      </c>
      <c r="I3735" s="4" t="n">
        <v>-88.6331</v>
      </c>
      <c r="J3735" s="4" t="s">
        <v>14716</v>
      </c>
      <c r="K3735" s="6" t="str">
        <f aca="false">HYPERLINK("https://www.google.com/search?q=Hortonville+Public+Library+Hortonville+WI+library+website","Search")</f>
        <v>Search</v>
      </c>
      <c r="L3735" s="7"/>
      <c r="M3735" s="7"/>
    </row>
    <row r="3736" customFormat="false" ht="15" hidden="false" customHeight="true" outlineLevel="0" collapsed="false">
      <c r="A3736" s="4" t="s">
        <v>14547</v>
      </c>
      <c r="B3736" s="4" t="s">
        <v>14717</v>
      </c>
      <c r="C3736" s="4" t="s">
        <v>2513</v>
      </c>
      <c r="D3736" s="4" t="s">
        <v>14618</v>
      </c>
      <c r="E3736" s="5" t="n">
        <v>35004</v>
      </c>
      <c r="F3736" s="4" t="n">
        <v>1</v>
      </c>
      <c r="G3736" s="4" t="s">
        <v>14718</v>
      </c>
      <c r="H3736" s="4" t="n">
        <v>44.97734</v>
      </c>
      <c r="I3736" s="4" t="n">
        <v>-92.75854</v>
      </c>
      <c r="J3736" s="4" t="s">
        <v>14719</v>
      </c>
      <c r="K3736" s="6" t="str">
        <f aca="false">HYPERLINK("https://www.google.com/search?q=Hudson+Area+Joint+Library+Hudson+WI+library+website","Search")</f>
        <v>Search</v>
      </c>
      <c r="L3736" s="7"/>
      <c r="M3736" s="7"/>
    </row>
    <row r="3737" customFormat="false" ht="15" hidden="false" customHeight="true" outlineLevel="0" collapsed="false">
      <c r="A3737" s="4" t="s">
        <v>14547</v>
      </c>
      <c r="B3737" s="4" t="s">
        <v>14720</v>
      </c>
      <c r="C3737" s="4" t="s">
        <v>14721</v>
      </c>
      <c r="D3737" s="4" t="s">
        <v>98</v>
      </c>
      <c r="E3737" s="5" t="n">
        <v>17352</v>
      </c>
      <c r="F3737" s="4" t="n">
        <v>1</v>
      </c>
      <c r="G3737" s="4" t="s">
        <v>14722</v>
      </c>
      <c r="H3737" s="4" t="n">
        <v>42.83313</v>
      </c>
      <c r="I3737" s="4" t="n">
        <v>-88.73635</v>
      </c>
      <c r="J3737" s="4" t="s">
        <v>14723</v>
      </c>
      <c r="K3737" s="6" t="str">
        <f aca="false">HYPERLINK("https://www.google.com/search?q=Irvin+L.+Young+Memorial+Library+Whitewater+WI+library+website","Search")</f>
        <v>Search</v>
      </c>
      <c r="L3737" s="7"/>
      <c r="M3737" s="7"/>
    </row>
    <row r="3738" customFormat="false" ht="15" hidden="false" customHeight="true" outlineLevel="0" collapsed="false">
      <c r="A3738" s="4" t="s">
        <v>14547</v>
      </c>
      <c r="B3738" s="4" t="s">
        <v>14724</v>
      </c>
      <c r="C3738" s="4" t="s">
        <v>1807</v>
      </c>
      <c r="D3738" s="4" t="s">
        <v>441</v>
      </c>
      <c r="E3738" s="5" t="n">
        <v>25024</v>
      </c>
      <c r="F3738" s="4" t="n">
        <v>1</v>
      </c>
      <c r="G3738" s="4" t="s">
        <v>14725</v>
      </c>
      <c r="H3738" s="4" t="n">
        <v>43.31885</v>
      </c>
      <c r="I3738" s="4" t="n">
        <v>-88.37706</v>
      </c>
      <c r="J3738" s="4" t="s">
        <v>14726</v>
      </c>
      <c r="K3738" s="6" t="str">
        <f aca="false">HYPERLINK("https://www.google.com/search?q=Jack+Russell+Memorial+Library+Hartford+WI+library+website","Search")</f>
        <v>Search</v>
      </c>
      <c r="L3738" s="7"/>
      <c r="M3738" s="7"/>
    </row>
    <row r="3739" customFormat="false" ht="15" hidden="false" customHeight="true" outlineLevel="0" collapsed="false">
      <c r="A3739" s="4" t="s">
        <v>14547</v>
      </c>
      <c r="B3739" s="4" t="s">
        <v>14727</v>
      </c>
      <c r="C3739" s="4" t="s">
        <v>98</v>
      </c>
      <c r="D3739" s="4" t="s">
        <v>98</v>
      </c>
      <c r="E3739" s="5" t="n">
        <v>11412</v>
      </c>
      <c r="F3739" s="4" t="n">
        <v>1</v>
      </c>
      <c r="G3739" s="4" t="s">
        <v>14728</v>
      </c>
      <c r="H3739" s="4" t="n">
        <v>43.00291</v>
      </c>
      <c r="I3739" s="4" t="n">
        <v>-88.80739</v>
      </c>
      <c r="J3739" s="4" t="s">
        <v>14729</v>
      </c>
      <c r="K3739" s="6" t="str">
        <f aca="false">HYPERLINK("https://www.google.com/search?q=Jefferson+Public+Library+Jefferson+WI+library+website","Search")</f>
        <v>Search</v>
      </c>
      <c r="L3739" s="7"/>
      <c r="M3739" s="7"/>
    </row>
    <row r="3740" customFormat="false" ht="15" hidden="false" customHeight="true" outlineLevel="0" collapsed="false">
      <c r="A3740" s="4" t="s">
        <v>14547</v>
      </c>
      <c r="B3740" s="4" t="s">
        <v>14730</v>
      </c>
      <c r="C3740" s="4" t="s">
        <v>14731</v>
      </c>
      <c r="D3740" s="4" t="s">
        <v>14565</v>
      </c>
      <c r="E3740" s="5" t="n">
        <v>24095</v>
      </c>
      <c r="F3740" s="4" t="n">
        <v>1</v>
      </c>
      <c r="G3740" s="4" t="s">
        <v>14732</v>
      </c>
      <c r="H3740" s="4" t="n">
        <v>44.28082</v>
      </c>
      <c r="I3740" s="4" t="n">
        <v>-88.26536</v>
      </c>
      <c r="J3740" s="4" t="s">
        <v>14733</v>
      </c>
      <c r="K3740" s="6" t="str">
        <f aca="false">HYPERLINK("https://www.google.com/search?q=Kaukauna+Public+Library+Kaukauna+WI+library+website","Search")</f>
        <v>Search</v>
      </c>
      <c r="L3740" s="7"/>
      <c r="M3740" s="7"/>
    </row>
    <row r="3741" customFormat="false" ht="15" hidden="false" customHeight="true" outlineLevel="0" collapsed="false">
      <c r="A3741" s="4" t="s">
        <v>14547</v>
      </c>
      <c r="B3741" s="4" t="s">
        <v>14734</v>
      </c>
      <c r="C3741" s="4" t="s">
        <v>14633</v>
      </c>
      <c r="D3741" s="4" t="s">
        <v>14633</v>
      </c>
      <c r="E3741" s="5" t="n">
        <v>137750</v>
      </c>
      <c r="F3741" s="4" t="n">
        <v>4</v>
      </c>
      <c r="G3741" s="4" t="s">
        <v>14735</v>
      </c>
      <c r="H3741" s="4" t="n">
        <v>42.55945</v>
      </c>
      <c r="I3741" s="4" t="n">
        <v>-87.85383</v>
      </c>
      <c r="J3741" s="4" t="s">
        <v>14736</v>
      </c>
      <c r="K3741" s="6" t="str">
        <f aca="false">HYPERLINK("https://www.google.com/search?q=Kenosha+Public+Library+Kenosha+WI+library+website","Search")</f>
        <v>Search</v>
      </c>
      <c r="L3741" s="7"/>
      <c r="M3741" s="7"/>
    </row>
    <row r="3742" customFormat="false" ht="15" hidden="false" customHeight="true" outlineLevel="0" collapsed="false">
      <c r="A3742" s="4" t="s">
        <v>14547</v>
      </c>
      <c r="B3742" s="4" t="s">
        <v>14737</v>
      </c>
      <c r="C3742" s="4" t="s">
        <v>14738</v>
      </c>
      <c r="D3742" s="4" t="s">
        <v>14738</v>
      </c>
      <c r="E3742" s="5" t="n">
        <v>11216</v>
      </c>
      <c r="F3742" s="4" t="n">
        <v>1</v>
      </c>
      <c r="G3742" s="4" t="s">
        <v>14739</v>
      </c>
      <c r="H3742" s="4" t="n">
        <v>44.45493</v>
      </c>
      <c r="I3742" s="4" t="n">
        <v>-87.50582</v>
      </c>
      <c r="J3742" s="4" t="s">
        <v>14740</v>
      </c>
      <c r="K3742" s="6" t="str">
        <f aca="false">HYPERLINK("https://www.google.com/search?q=Kewaunee+Public+Library+Kewaunee+WI+library+website","Search")</f>
        <v>Search</v>
      </c>
      <c r="L3742" s="7"/>
      <c r="M3742" s="7"/>
    </row>
    <row r="3743" customFormat="false" ht="15" hidden="false" customHeight="true" outlineLevel="0" collapsed="false">
      <c r="A3743" s="4" t="s">
        <v>14547</v>
      </c>
      <c r="B3743" s="4" t="s">
        <v>14741</v>
      </c>
      <c r="C3743" s="4" t="s">
        <v>14742</v>
      </c>
      <c r="D3743" s="4" t="s">
        <v>14743</v>
      </c>
      <c r="E3743" s="5" t="n">
        <v>10428</v>
      </c>
      <c r="F3743" s="4" t="n">
        <v>1</v>
      </c>
      <c r="G3743" s="4" t="s">
        <v>14744</v>
      </c>
      <c r="H3743" s="4" t="n">
        <v>43.91149</v>
      </c>
      <c r="I3743" s="4" t="n">
        <v>-88.03261</v>
      </c>
      <c r="J3743" s="4" t="s">
        <v>14745</v>
      </c>
      <c r="K3743" s="6" t="str">
        <f aca="false">HYPERLINK("https://www.google.com/search?q=Kiel+Public+Library+Kiel+WI+library+website","Search")</f>
        <v>Search</v>
      </c>
      <c r="L3743" s="7"/>
      <c r="M3743" s="7"/>
    </row>
    <row r="3744" customFormat="false" ht="15" hidden="false" customHeight="true" outlineLevel="0" collapsed="false">
      <c r="A3744" s="4" t="s">
        <v>14547</v>
      </c>
      <c r="B3744" s="4" t="s">
        <v>14746</v>
      </c>
      <c r="C3744" s="4" t="s">
        <v>14747</v>
      </c>
      <c r="D3744" s="4" t="s">
        <v>14565</v>
      </c>
      <c r="E3744" s="5" t="n">
        <v>16609</v>
      </c>
      <c r="F3744" s="4" t="n">
        <v>1</v>
      </c>
      <c r="G3744" s="4" t="s">
        <v>14748</v>
      </c>
      <c r="H3744" s="4" t="n">
        <v>44.272</v>
      </c>
      <c r="I3744" s="4" t="n">
        <v>-88.34025</v>
      </c>
      <c r="J3744" s="4" t="s">
        <v>14749</v>
      </c>
      <c r="K3744" s="6" t="str">
        <f aca="false">HYPERLINK("https://www.google.com/search?q=Kimberly+Public+Library+Kimberly+WI+library+website","Search")</f>
        <v>Search</v>
      </c>
      <c r="L3744" s="7"/>
      <c r="M3744" s="7"/>
    </row>
    <row r="3745" customFormat="false" ht="15" hidden="false" customHeight="true" outlineLevel="0" collapsed="false">
      <c r="A3745" s="4" t="s">
        <v>14547</v>
      </c>
      <c r="B3745" s="4" t="s">
        <v>14750</v>
      </c>
      <c r="C3745" s="4" t="s">
        <v>14751</v>
      </c>
      <c r="D3745" s="4" t="s">
        <v>98</v>
      </c>
      <c r="E3745" s="5" t="n">
        <v>10039</v>
      </c>
      <c r="F3745" s="4" t="n">
        <v>1</v>
      </c>
      <c r="G3745" s="4" t="s">
        <v>14752</v>
      </c>
      <c r="H3745" s="4" t="n">
        <v>43.08067</v>
      </c>
      <c r="I3745" s="4" t="n">
        <v>-88.91086</v>
      </c>
      <c r="J3745" s="4" t="s">
        <v>14753</v>
      </c>
      <c r="K3745" s="6" t="str">
        <f aca="false">HYPERLINK("https://www.google.com/search?q=L.D.+Fargo+Public+Library+Lake+Mills+WI+library+website","Search")</f>
        <v>Search</v>
      </c>
      <c r="L3745" s="7"/>
      <c r="M3745" s="7"/>
    </row>
    <row r="3746" customFormat="false" ht="15" hidden="false" customHeight="true" outlineLevel="0" collapsed="false">
      <c r="A3746" s="4" t="s">
        <v>14547</v>
      </c>
      <c r="B3746" s="4" t="s">
        <v>14754</v>
      </c>
      <c r="C3746" s="4" t="s">
        <v>14551</v>
      </c>
      <c r="D3746" s="4" t="s">
        <v>14551</v>
      </c>
      <c r="E3746" s="5" t="n">
        <v>88885</v>
      </c>
      <c r="F3746" s="4" t="n">
        <v>1</v>
      </c>
      <c r="G3746" s="4" t="s">
        <v>14755</v>
      </c>
      <c r="H3746" s="4" t="n">
        <v>44.79083</v>
      </c>
      <c r="I3746" s="4" t="n">
        <v>-91.46158</v>
      </c>
      <c r="J3746" s="4" t="s">
        <v>14756</v>
      </c>
      <c r="K3746" s="6" t="str">
        <f aca="false">HYPERLINK("https://www.google.com/search?q=L.E.+Phillips+Memorial+Public+Library+Eau+Claire+WI+library+website","Search")</f>
        <v>Search</v>
      </c>
      <c r="L3746" s="7"/>
      <c r="M3746" s="7"/>
    </row>
    <row r="3747" customFormat="false" ht="15" hidden="false" customHeight="true" outlineLevel="0" collapsed="false">
      <c r="A3747" s="4" t="s">
        <v>14547</v>
      </c>
      <c r="B3747" s="4" t="s">
        <v>14757</v>
      </c>
      <c r="C3747" s="4" t="s">
        <v>14758</v>
      </c>
      <c r="D3747" s="4" t="s">
        <v>14759</v>
      </c>
      <c r="E3747" s="5" t="n">
        <v>69966</v>
      </c>
      <c r="F3747" s="4" t="n">
        <v>5</v>
      </c>
      <c r="G3747" s="4" t="s">
        <v>14760</v>
      </c>
      <c r="H3747" s="4" t="n">
        <v>43.96064</v>
      </c>
      <c r="I3747" s="4" t="n">
        <v>-91.25683</v>
      </c>
      <c r="J3747" s="4" t="s">
        <v>14761</v>
      </c>
      <c r="K3747" s="6" t="str">
        <f aca="false">HYPERLINK("https://www.google.com/search?q=La+Crosse+County+Library+Holmen+WI+library+website","Search")</f>
        <v>Search</v>
      </c>
      <c r="L3747" s="7"/>
      <c r="M3747" s="7"/>
    </row>
    <row r="3748" customFormat="false" ht="15" hidden="false" customHeight="true" outlineLevel="0" collapsed="false">
      <c r="A3748" s="4" t="s">
        <v>14547</v>
      </c>
      <c r="B3748" s="4" t="s">
        <v>14762</v>
      </c>
      <c r="C3748" s="4" t="s">
        <v>14759</v>
      </c>
      <c r="D3748" s="4" t="s">
        <v>14759</v>
      </c>
      <c r="E3748" s="5" t="n">
        <v>52160</v>
      </c>
      <c r="F3748" s="4" t="n">
        <v>3</v>
      </c>
      <c r="G3748" s="4" t="s">
        <v>14763</v>
      </c>
      <c r="H3748" s="4" t="n">
        <v>43.81161</v>
      </c>
      <c r="I3748" s="4" t="n">
        <v>-91.24485</v>
      </c>
      <c r="J3748" s="4" t="s">
        <v>14764</v>
      </c>
      <c r="K3748" s="6" t="str">
        <f aca="false">HYPERLINK("https://www.google.com/search?q=La+Crosse+Public+Library+La+Crosse+WI+library+website","Search")</f>
        <v>Search</v>
      </c>
      <c r="L3748" s="7"/>
      <c r="M3748" s="7"/>
    </row>
    <row r="3749" customFormat="false" ht="15" hidden="false" customHeight="true" outlineLevel="0" collapsed="false">
      <c r="A3749" s="4" t="s">
        <v>14547</v>
      </c>
      <c r="B3749" s="4" t="s">
        <v>14765</v>
      </c>
      <c r="C3749" s="4" t="s">
        <v>14766</v>
      </c>
      <c r="D3749" s="4" t="s">
        <v>14570</v>
      </c>
      <c r="E3749" s="5" t="n">
        <v>17106</v>
      </c>
      <c r="F3749" s="4" t="n">
        <v>1</v>
      </c>
      <c r="G3749" s="4" t="s">
        <v>14767</v>
      </c>
      <c r="H3749" s="4" t="n">
        <v>42.59181</v>
      </c>
      <c r="I3749" s="4" t="n">
        <v>-88.43781</v>
      </c>
      <c r="J3749" s="4" t="s">
        <v>14768</v>
      </c>
      <c r="K3749" s="6" t="str">
        <f aca="false">HYPERLINK("https://www.google.com/search?q=Lake+Geneva+Public+Library+Lake+Geneva+WI+library+website","Search")</f>
        <v>Search</v>
      </c>
      <c r="L3749" s="7"/>
      <c r="M3749" s="7"/>
    </row>
    <row r="3750" customFormat="false" ht="15" hidden="false" customHeight="true" outlineLevel="0" collapsed="false">
      <c r="A3750" s="4" t="s">
        <v>14547</v>
      </c>
      <c r="B3750" s="4" t="s">
        <v>14769</v>
      </c>
      <c r="C3750" s="4" t="s">
        <v>14770</v>
      </c>
      <c r="D3750" s="4" t="s">
        <v>14743</v>
      </c>
      <c r="E3750" s="5" t="n">
        <v>17270</v>
      </c>
      <c r="F3750" s="4" t="n">
        <v>1</v>
      </c>
      <c r="G3750" s="4" t="s">
        <v>14771</v>
      </c>
      <c r="H3750" s="4" t="n">
        <v>44.14353</v>
      </c>
      <c r="I3750" s="4" t="n">
        <v>-87.56984</v>
      </c>
      <c r="J3750" s="4" t="s">
        <v>14772</v>
      </c>
      <c r="K3750" s="6" t="str">
        <f aca="false">HYPERLINK("https://www.google.com/search?q=Lester+Public+Library+Two+Rivers+WI+library+website","Search")</f>
        <v>Search</v>
      </c>
      <c r="L3750" s="7"/>
      <c r="M3750" s="7"/>
    </row>
    <row r="3751" customFormat="false" ht="15" hidden="false" customHeight="true" outlineLevel="0" collapsed="false">
      <c r="A3751" s="4" t="s">
        <v>14547</v>
      </c>
      <c r="B3751" s="4" t="s">
        <v>14773</v>
      </c>
      <c r="C3751" s="4" t="s">
        <v>14774</v>
      </c>
      <c r="D3751" s="4" t="s">
        <v>14565</v>
      </c>
      <c r="E3751" s="5" t="n">
        <v>20324</v>
      </c>
      <c r="F3751" s="4" t="n">
        <v>1</v>
      </c>
      <c r="G3751" s="4" t="s">
        <v>14775</v>
      </c>
      <c r="H3751" s="4" t="n">
        <v>44.28078</v>
      </c>
      <c r="I3751" s="4" t="n">
        <v>-88.31562</v>
      </c>
      <c r="J3751" s="4" t="s">
        <v>14776</v>
      </c>
      <c r="K3751" s="6" t="str">
        <f aca="false">HYPERLINK("https://www.google.com/search?q=Little+Chute+Public+Library+Little+Chute+WI+library+website","Search")</f>
        <v>Search</v>
      </c>
      <c r="L3751" s="7"/>
      <c r="M3751" s="7"/>
    </row>
    <row r="3752" customFormat="false" ht="15" hidden="false" customHeight="true" outlineLevel="0" collapsed="false">
      <c r="A3752" s="4" t="s">
        <v>14547</v>
      </c>
      <c r="B3752" s="4" t="s">
        <v>8701</v>
      </c>
      <c r="C3752" s="4" t="s">
        <v>261</v>
      </c>
      <c r="D3752" s="4" t="s">
        <v>14642</v>
      </c>
      <c r="E3752" s="5" t="n">
        <v>297189</v>
      </c>
      <c r="F3752" s="4" t="n">
        <v>9</v>
      </c>
      <c r="G3752" s="4" t="s">
        <v>14777</v>
      </c>
      <c r="H3752" s="4" t="n">
        <v>43.07381</v>
      </c>
      <c r="I3752" s="4" t="n">
        <v>-89.38765</v>
      </c>
      <c r="J3752" s="4" t="s">
        <v>14778</v>
      </c>
      <c r="K3752" s="6" t="str">
        <f aca="false">HYPERLINK("https://www.google.com/search?q=Madison+Public+Library+Madison+WI+library+website","Search")</f>
        <v>Search</v>
      </c>
      <c r="L3752" s="7"/>
      <c r="M3752" s="7"/>
    </row>
    <row r="3753" customFormat="false" ht="15" hidden="false" customHeight="true" outlineLevel="0" collapsed="false">
      <c r="A3753" s="4" t="s">
        <v>14547</v>
      </c>
      <c r="B3753" s="4" t="s">
        <v>14779</v>
      </c>
      <c r="C3753" s="4" t="s">
        <v>14743</v>
      </c>
      <c r="D3753" s="4" t="s">
        <v>14743</v>
      </c>
      <c r="E3753" s="5" t="n">
        <v>54111</v>
      </c>
      <c r="F3753" s="4" t="n">
        <v>1</v>
      </c>
      <c r="G3753" s="4" t="s">
        <v>14780</v>
      </c>
      <c r="H3753" s="4" t="n">
        <v>44.09118</v>
      </c>
      <c r="I3753" s="4" t="n">
        <v>-87.65717</v>
      </c>
      <c r="J3753" s="4" t="s">
        <v>14781</v>
      </c>
      <c r="K3753" s="6" t="str">
        <f aca="false">HYPERLINK("https://www.google.com/search?q=Manitowoc+Public+Library+Manitowoc+WI+library+website","Search")</f>
        <v>Search</v>
      </c>
      <c r="L3753" s="7"/>
      <c r="M3753" s="7"/>
    </row>
    <row r="3754" customFormat="false" ht="15" hidden="false" customHeight="true" outlineLevel="0" collapsed="false">
      <c r="A3754" s="4" t="s">
        <v>14547</v>
      </c>
      <c r="B3754" s="4" t="s">
        <v>14782</v>
      </c>
      <c r="C3754" s="4" t="s">
        <v>14783</v>
      </c>
      <c r="D3754" s="4" t="s">
        <v>14784</v>
      </c>
      <c r="E3754" s="5" t="n">
        <v>134892</v>
      </c>
      <c r="F3754" s="4" t="n">
        <v>9</v>
      </c>
      <c r="G3754" s="4" t="s">
        <v>14785</v>
      </c>
      <c r="H3754" s="4" t="n">
        <v>44.95968</v>
      </c>
      <c r="I3754" s="4" t="n">
        <v>-89.63082</v>
      </c>
      <c r="J3754" s="4" t="s">
        <v>14786</v>
      </c>
      <c r="K3754" s="6" t="str">
        <f aca="false">HYPERLINK("https://www.google.com/search?q=Marathon+County+Public+Library+Wausau+WI+library+website","Search")</f>
        <v>Search</v>
      </c>
      <c r="L3754" s="7"/>
      <c r="M3754" s="7"/>
    </row>
    <row r="3755" customFormat="false" ht="15" hidden="false" customHeight="true" outlineLevel="0" collapsed="false">
      <c r="A3755" s="4" t="s">
        <v>14547</v>
      </c>
      <c r="B3755" s="4" t="s">
        <v>14787</v>
      </c>
      <c r="C3755" s="4" t="s">
        <v>14788</v>
      </c>
      <c r="D3755" s="4" t="s">
        <v>14788</v>
      </c>
      <c r="E3755" s="5" t="n">
        <v>41912</v>
      </c>
      <c r="F3755" s="4" t="n">
        <v>7</v>
      </c>
      <c r="G3755" s="4" t="s">
        <v>14789</v>
      </c>
      <c r="H3755" s="4" t="n">
        <v>45.10002</v>
      </c>
      <c r="I3755" s="4" t="n">
        <v>-87.63068</v>
      </c>
      <c r="J3755" s="4" t="s">
        <v>14790</v>
      </c>
      <c r="K3755" s="6" t="str">
        <f aca="false">HYPERLINK("https://www.google.com/search?q=Marinette+County+Consolidated+Public+Library+Service+Marinette+WI+library+website","Search")</f>
        <v>Search</v>
      </c>
      <c r="L3755" s="7"/>
      <c r="M3755" s="7"/>
    </row>
    <row r="3756" customFormat="false" ht="15" hidden="false" customHeight="true" outlineLevel="0" collapsed="false">
      <c r="A3756" s="4" t="s">
        <v>14547</v>
      </c>
      <c r="B3756" s="4" t="s">
        <v>14791</v>
      </c>
      <c r="C3756" s="4" t="s">
        <v>14792</v>
      </c>
      <c r="D3756" s="4" t="s">
        <v>14570</v>
      </c>
      <c r="E3756" s="5" t="n">
        <v>27480</v>
      </c>
      <c r="F3756" s="4" t="n">
        <v>1</v>
      </c>
      <c r="G3756" s="4" t="s">
        <v>14793</v>
      </c>
      <c r="H3756" s="4" t="n">
        <v>42.67387</v>
      </c>
      <c r="I3756" s="4" t="n">
        <v>-88.54354</v>
      </c>
      <c r="J3756" s="4" t="s">
        <v>14794</v>
      </c>
      <c r="K3756" s="6" t="str">
        <f aca="false">HYPERLINK("https://www.google.com/search?q=Matheson+Memorial+Library+Elkhorn+WI+library+website","Search")</f>
        <v>Search</v>
      </c>
      <c r="L3756" s="7"/>
      <c r="M3756" s="7"/>
    </row>
    <row r="3757" customFormat="false" ht="15" hidden="false" customHeight="true" outlineLevel="0" collapsed="false">
      <c r="A3757" s="4" t="s">
        <v>14547</v>
      </c>
      <c r="B3757" s="4" t="s">
        <v>14795</v>
      </c>
      <c r="C3757" s="4" t="s">
        <v>14796</v>
      </c>
      <c r="D3757" s="4" t="s">
        <v>2080</v>
      </c>
      <c r="E3757" s="5" t="n">
        <v>15707</v>
      </c>
      <c r="F3757" s="4" t="n">
        <v>1</v>
      </c>
      <c r="G3757" s="4" t="s">
        <v>14797</v>
      </c>
      <c r="H3757" s="4" t="n">
        <v>43.5551</v>
      </c>
      <c r="I3757" s="4" t="n">
        <v>-90.89053</v>
      </c>
      <c r="J3757" s="4" t="s">
        <v>14798</v>
      </c>
      <c r="K3757" s="6" t="str">
        <f aca="false">HYPERLINK("https://www.google.com/search?q=Mcintosh+Memorial+Library+Viroqua+WI+library+website","Search")</f>
        <v>Search</v>
      </c>
      <c r="L3757" s="7"/>
      <c r="M3757" s="7"/>
    </row>
    <row r="3758" customFormat="false" ht="15" hidden="false" customHeight="true" outlineLevel="0" collapsed="false">
      <c r="A3758" s="4" t="s">
        <v>14547</v>
      </c>
      <c r="B3758" s="4" t="s">
        <v>14799</v>
      </c>
      <c r="C3758" s="4" t="s">
        <v>14800</v>
      </c>
      <c r="D3758" s="4" t="s">
        <v>10722</v>
      </c>
      <c r="E3758" s="5" t="n">
        <v>35511</v>
      </c>
      <c r="F3758" s="4" t="n">
        <v>1</v>
      </c>
      <c r="G3758" s="4" t="s">
        <v>14801</v>
      </c>
      <c r="H3758" s="4" t="n">
        <v>44.38827</v>
      </c>
      <c r="I3758" s="4" t="n">
        <v>-89.82123</v>
      </c>
      <c r="J3758" s="4" t="s">
        <v>14802</v>
      </c>
      <c r="K3758" s="6" t="str">
        <f aca="false">HYPERLINK("https://www.google.com/search?q=Mcmillan+Memorial+Library+Wisconsin+Rapids+WI+library+website","Search")</f>
        <v>Search</v>
      </c>
      <c r="L3758" s="7"/>
      <c r="M3758" s="7"/>
    </row>
    <row r="3759" customFormat="false" ht="15" hidden="false" customHeight="true" outlineLevel="0" collapsed="false">
      <c r="A3759" s="4" t="s">
        <v>14547</v>
      </c>
      <c r="B3759" s="4" t="s">
        <v>14803</v>
      </c>
      <c r="C3759" s="4" t="s">
        <v>14804</v>
      </c>
      <c r="D3759" s="4" t="s">
        <v>14804</v>
      </c>
      <c r="E3759" s="5" t="n">
        <v>64965</v>
      </c>
      <c r="F3759" s="4" t="n">
        <v>1</v>
      </c>
      <c r="G3759" s="4" t="s">
        <v>14805</v>
      </c>
      <c r="H3759" s="4" t="n">
        <v>43.75236</v>
      </c>
      <c r="I3759" s="4" t="n">
        <v>-87.71297</v>
      </c>
      <c r="J3759" s="4" t="s">
        <v>14806</v>
      </c>
      <c r="K3759" s="6" t="str">
        <f aca="false">HYPERLINK("https://www.google.com/search?q=Mead+Public+Library+Sheboygan+WI+library+website","Search")</f>
        <v>Search</v>
      </c>
      <c r="L3759" s="7"/>
      <c r="M3759" s="7"/>
    </row>
    <row r="3760" customFormat="false" ht="15" hidden="false" customHeight="true" outlineLevel="0" collapsed="false">
      <c r="A3760" s="4" t="s">
        <v>14547</v>
      </c>
      <c r="B3760" s="4" t="s">
        <v>14807</v>
      </c>
      <c r="C3760" s="4" t="s">
        <v>14808</v>
      </c>
      <c r="D3760" s="4" t="s">
        <v>14601</v>
      </c>
      <c r="E3760" s="5" t="n">
        <v>40337</v>
      </c>
      <c r="F3760" s="4" t="n">
        <v>1</v>
      </c>
      <c r="G3760" s="4" t="s">
        <v>14809</v>
      </c>
      <c r="H3760" s="4" t="n">
        <v>43.17143</v>
      </c>
      <c r="I3760" s="4" t="n">
        <v>-88.10368</v>
      </c>
      <c r="J3760" s="4" t="s">
        <v>14810</v>
      </c>
      <c r="K3760" s="6" t="str">
        <f aca="false">HYPERLINK("https://www.google.com/search?q=Menomonee+Falls+Public+Library+Menomonee+Falls+WI+library+website","Search")</f>
        <v>Search</v>
      </c>
      <c r="L3760" s="7"/>
      <c r="M3760" s="7"/>
    </row>
    <row r="3761" customFormat="false" ht="15" hidden="false" customHeight="true" outlineLevel="0" collapsed="false">
      <c r="A3761" s="4" t="s">
        <v>14547</v>
      </c>
      <c r="B3761" s="4" t="s">
        <v>14811</v>
      </c>
      <c r="C3761" s="4" t="s">
        <v>14812</v>
      </c>
      <c r="D3761" s="4" t="s">
        <v>14813</v>
      </c>
      <c r="E3761" s="5" t="n">
        <v>36209</v>
      </c>
      <c r="F3761" s="4" t="n">
        <v>2</v>
      </c>
      <c r="G3761" s="4" t="s">
        <v>14814</v>
      </c>
      <c r="H3761" s="4" t="n">
        <v>44.88684</v>
      </c>
      <c r="I3761" s="4" t="n">
        <v>-91.92838</v>
      </c>
      <c r="J3761" s="4" t="s">
        <v>14815</v>
      </c>
      <c r="K3761" s="6" t="str">
        <f aca="false">HYPERLINK("https://www.google.com/search?q=Menomonie+Public+Library+Menomonie+WI+library+website","Search")</f>
        <v>Search</v>
      </c>
      <c r="L3761" s="7"/>
      <c r="M3761" s="7"/>
    </row>
    <row r="3762" customFormat="false" ht="15" hidden="false" customHeight="true" outlineLevel="0" collapsed="false">
      <c r="A3762" s="4" t="s">
        <v>14547</v>
      </c>
      <c r="B3762" s="4" t="s">
        <v>14816</v>
      </c>
      <c r="C3762" s="4" t="s">
        <v>3258</v>
      </c>
      <c r="D3762" s="4" t="s">
        <v>14642</v>
      </c>
      <c r="E3762" s="5" t="n">
        <v>34263</v>
      </c>
      <c r="F3762" s="4" t="n">
        <v>1</v>
      </c>
      <c r="G3762" s="4" t="s">
        <v>14817</v>
      </c>
      <c r="H3762" s="4" t="n">
        <v>43.09512</v>
      </c>
      <c r="I3762" s="4" t="n">
        <v>-89.50927</v>
      </c>
      <c r="J3762" s="4" t="s">
        <v>14818</v>
      </c>
      <c r="K3762" s="6" t="str">
        <f aca="false">HYPERLINK("https://www.google.com/search?q=Middleton+Public+Library+Middleton+WI+library+website","Search")</f>
        <v>Search</v>
      </c>
      <c r="L3762" s="7"/>
      <c r="M3762" s="7"/>
    </row>
    <row r="3763" customFormat="false" ht="15" hidden="false" customHeight="true" outlineLevel="0" collapsed="false">
      <c r="A3763" s="4" t="s">
        <v>14547</v>
      </c>
      <c r="B3763" s="4" t="s">
        <v>5864</v>
      </c>
      <c r="C3763" s="4" t="s">
        <v>2535</v>
      </c>
      <c r="D3763" s="4" t="s">
        <v>14584</v>
      </c>
      <c r="E3763" s="5" t="n">
        <v>11772</v>
      </c>
      <c r="F3763" s="4" t="n">
        <v>1</v>
      </c>
      <c r="G3763" s="4" t="s">
        <v>14819</v>
      </c>
      <c r="H3763" s="4" t="n">
        <v>42.773</v>
      </c>
      <c r="I3763" s="4" t="n">
        <v>-88.94403</v>
      </c>
      <c r="J3763" s="4" t="s">
        <v>14820</v>
      </c>
      <c r="K3763" s="6" t="str">
        <f aca="false">HYPERLINK("https://www.google.com/search?q=Milton+Public+Library+Milton+WI+library+website","Search")</f>
        <v>Search</v>
      </c>
      <c r="L3763" s="7"/>
      <c r="M3763" s="7"/>
    </row>
    <row r="3764" customFormat="false" ht="15" hidden="false" customHeight="true" outlineLevel="0" collapsed="false">
      <c r="A3764" s="4" t="s">
        <v>14547</v>
      </c>
      <c r="B3764" s="4" t="s">
        <v>14821</v>
      </c>
      <c r="C3764" s="4" t="s">
        <v>14610</v>
      </c>
      <c r="D3764" s="4" t="s">
        <v>14610</v>
      </c>
      <c r="E3764" s="5" t="n">
        <v>577582</v>
      </c>
      <c r="F3764" s="4" t="n">
        <v>13</v>
      </c>
      <c r="G3764" s="4" t="s">
        <v>14822</v>
      </c>
      <c r="H3764" s="4" t="n">
        <v>43.03885</v>
      </c>
      <c r="I3764" s="4" t="n">
        <v>-87.92235</v>
      </c>
      <c r="J3764" s="4" t="s">
        <v>14823</v>
      </c>
      <c r="K3764" s="6" t="str">
        <f aca="false">HYPERLINK("https://www.google.com/search?q=Milwaukee+Public+Library+Milwaukee+WI+library+website","Search")</f>
        <v>Search</v>
      </c>
      <c r="L3764" s="7"/>
      <c r="M3764" s="7"/>
    </row>
    <row r="3765" customFormat="false" ht="15" hidden="false" customHeight="true" outlineLevel="0" collapsed="false">
      <c r="A3765" s="4" t="s">
        <v>14547</v>
      </c>
      <c r="B3765" s="4" t="s">
        <v>14824</v>
      </c>
      <c r="C3765" s="4" t="s">
        <v>14825</v>
      </c>
      <c r="D3765" s="4" t="s">
        <v>9441</v>
      </c>
      <c r="E3765" s="5" t="n">
        <v>13092</v>
      </c>
      <c r="F3765" s="4" t="n">
        <v>1</v>
      </c>
      <c r="G3765" s="4" t="s">
        <v>14826</v>
      </c>
      <c r="H3765" s="4" t="n">
        <v>45.87052</v>
      </c>
      <c r="I3765" s="4" t="n">
        <v>-89.70641</v>
      </c>
      <c r="J3765" s="4" t="s">
        <v>14827</v>
      </c>
      <c r="K3765" s="6" t="str">
        <f aca="false">HYPERLINK("https://www.google.com/search?q=Minocqua+Public+Library+Minocqua+WI+library+website","Search")</f>
        <v>Search</v>
      </c>
      <c r="L3765" s="7"/>
      <c r="M3765" s="7"/>
    </row>
    <row r="3766" customFormat="false" ht="15" hidden="false" customHeight="true" outlineLevel="0" collapsed="false">
      <c r="A3766" s="4" t="s">
        <v>14547</v>
      </c>
      <c r="B3766" s="4" t="s">
        <v>14828</v>
      </c>
      <c r="C3766" s="4" t="s">
        <v>14829</v>
      </c>
      <c r="D3766" s="4" t="s">
        <v>14642</v>
      </c>
      <c r="E3766" s="5" t="n">
        <v>10518</v>
      </c>
      <c r="F3766" s="4" t="n">
        <v>1</v>
      </c>
      <c r="G3766" s="4" t="s">
        <v>14830</v>
      </c>
      <c r="H3766" s="4" t="n">
        <v>43.06311</v>
      </c>
      <c r="I3766" s="4" t="n">
        <v>-89.34049</v>
      </c>
      <c r="J3766" s="4" t="s">
        <v>14831</v>
      </c>
      <c r="K3766" s="6" t="str">
        <f aca="false">HYPERLINK("https://www.google.com/search?q=Monona+Public+Library+Monona+WI+library+website","Search")</f>
        <v>Search</v>
      </c>
      <c r="L3766" s="7"/>
      <c r="M3766" s="7"/>
    </row>
    <row r="3767" customFormat="false" ht="15" hidden="false" customHeight="true" outlineLevel="0" collapsed="false">
      <c r="A3767" s="4" t="s">
        <v>14547</v>
      </c>
      <c r="B3767" s="4" t="s">
        <v>14832</v>
      </c>
      <c r="C3767" s="4" t="s">
        <v>311</v>
      </c>
      <c r="D3767" s="4" t="s">
        <v>4949</v>
      </c>
      <c r="E3767" s="5" t="n">
        <v>18434</v>
      </c>
      <c r="F3767" s="4" t="n">
        <v>1</v>
      </c>
      <c r="G3767" s="4" t="s">
        <v>14833</v>
      </c>
      <c r="H3767" s="4" t="n">
        <v>42.60233</v>
      </c>
      <c r="I3767" s="4" t="n">
        <v>-89.63992</v>
      </c>
      <c r="J3767" s="4" t="s">
        <v>14834</v>
      </c>
      <c r="K3767" s="6" t="str">
        <f aca="false">HYPERLINK("https://www.google.com/search?q=Monroe+Public+Library+Monroe+WI+library+website","Search")</f>
        <v>Search</v>
      </c>
      <c r="L3767" s="7"/>
      <c r="M3767" s="7"/>
    </row>
    <row r="3768" customFormat="false" ht="15" hidden="false" customHeight="true" outlineLevel="0" collapsed="false">
      <c r="A3768" s="4" t="s">
        <v>14547</v>
      </c>
      <c r="B3768" s="4" t="s">
        <v>14835</v>
      </c>
      <c r="C3768" s="4" t="s">
        <v>14836</v>
      </c>
      <c r="D3768" s="4" t="s">
        <v>14642</v>
      </c>
      <c r="E3768" s="5" t="n">
        <v>13370</v>
      </c>
      <c r="F3768" s="4" t="n">
        <v>1</v>
      </c>
      <c r="G3768" s="4" t="s">
        <v>14837</v>
      </c>
      <c r="H3768" s="4" t="n">
        <v>43.00772</v>
      </c>
      <c r="I3768" s="4" t="n">
        <v>-89.72153</v>
      </c>
      <c r="J3768" s="4" t="s">
        <v>14838</v>
      </c>
      <c r="K3768" s="6" t="str">
        <f aca="false">HYPERLINK("https://www.google.com/search?q=Mount+Horeb+Public+Library+Mount+Horeb+WI+library+website","Search")</f>
        <v>Search</v>
      </c>
      <c r="L3768" s="7"/>
      <c r="M3768" s="7"/>
    </row>
    <row r="3769" customFormat="false" ht="15" hidden="false" customHeight="true" outlineLevel="0" collapsed="false">
      <c r="A3769" s="4" t="s">
        <v>14547</v>
      </c>
      <c r="B3769" s="4" t="s">
        <v>14839</v>
      </c>
      <c r="C3769" s="4" t="s">
        <v>14840</v>
      </c>
      <c r="D3769" s="4" t="s">
        <v>14601</v>
      </c>
      <c r="E3769" s="5" t="n">
        <v>23107</v>
      </c>
      <c r="F3769" s="4" t="n">
        <v>1</v>
      </c>
      <c r="G3769" s="4" t="s">
        <v>14841</v>
      </c>
      <c r="H3769" s="4" t="n">
        <v>42.86767</v>
      </c>
      <c r="I3769" s="4" t="n">
        <v>-88.33066</v>
      </c>
      <c r="J3769" s="4" t="s">
        <v>14842</v>
      </c>
      <c r="K3769" s="6" t="str">
        <f aca="false">HYPERLINK("https://www.google.com/search?q=Mukwonago+Community+Library+Mukwonago+WI+library+website","Search")</f>
        <v>Search</v>
      </c>
      <c r="L3769" s="7"/>
      <c r="M3769" s="7"/>
    </row>
    <row r="3770" customFormat="false" ht="15" hidden="false" customHeight="true" outlineLevel="0" collapsed="false">
      <c r="A3770" s="4" t="s">
        <v>14547</v>
      </c>
      <c r="B3770" s="4" t="s">
        <v>14843</v>
      </c>
      <c r="C3770" s="4" t="s">
        <v>14844</v>
      </c>
      <c r="D3770" s="4" t="s">
        <v>14601</v>
      </c>
      <c r="E3770" s="5" t="n">
        <v>26644</v>
      </c>
      <c r="F3770" s="4" t="n">
        <v>1</v>
      </c>
      <c r="G3770" s="4" t="s">
        <v>14845</v>
      </c>
      <c r="H3770" s="4" t="n">
        <v>42.91101</v>
      </c>
      <c r="I3770" s="4" t="n">
        <v>-88.12302</v>
      </c>
      <c r="J3770" s="4" t="s">
        <v>14846</v>
      </c>
      <c r="K3770" s="6" t="str">
        <f aca="false">HYPERLINK("https://www.google.com/search?q=Muskego+Public+Library+Muskego+WI+library+website","Search")</f>
        <v>Search</v>
      </c>
      <c r="L3770" s="7"/>
      <c r="M3770" s="7"/>
    </row>
    <row r="3771" customFormat="false" ht="15" hidden="false" customHeight="true" outlineLevel="0" collapsed="false">
      <c r="A3771" s="4" t="s">
        <v>14547</v>
      </c>
      <c r="B3771" s="4" t="s">
        <v>14847</v>
      </c>
      <c r="C3771" s="4" t="s">
        <v>14848</v>
      </c>
      <c r="D3771" s="4" t="s">
        <v>3434</v>
      </c>
      <c r="E3771" s="5" t="n">
        <v>55568</v>
      </c>
      <c r="F3771" s="4" t="n">
        <v>1</v>
      </c>
      <c r="G3771" s="4" t="s">
        <v>14849</v>
      </c>
      <c r="H3771" s="4" t="n">
        <v>44.18472</v>
      </c>
      <c r="I3771" s="4" t="n">
        <v>-88.4579</v>
      </c>
      <c r="J3771" s="4" t="s">
        <v>14850</v>
      </c>
      <c r="K3771" s="6" t="str">
        <f aca="false">HYPERLINK("https://www.google.com/search?q=Neenah+Public+Library+Neenah+WI+library+website","Search")</f>
        <v>Search</v>
      </c>
      <c r="L3771" s="7"/>
      <c r="M3771" s="7"/>
    </row>
    <row r="3772" customFormat="false" ht="15" hidden="false" customHeight="true" outlineLevel="0" collapsed="false">
      <c r="A3772" s="4" t="s">
        <v>14547</v>
      </c>
      <c r="B3772" s="4" t="s">
        <v>14851</v>
      </c>
      <c r="C3772" s="4" t="s">
        <v>14852</v>
      </c>
      <c r="D3772" s="4" t="s">
        <v>14601</v>
      </c>
      <c r="E3772" s="5" t="n">
        <v>41224</v>
      </c>
      <c r="F3772" s="4" t="n">
        <v>1</v>
      </c>
      <c r="G3772" s="4" t="s">
        <v>14853</v>
      </c>
      <c r="H3772" s="4" t="n">
        <v>42.97963</v>
      </c>
      <c r="I3772" s="4" t="n">
        <v>-88.10179</v>
      </c>
      <c r="J3772" s="4" t="s">
        <v>14854</v>
      </c>
      <c r="K3772" s="6" t="str">
        <f aca="false">HYPERLINK("https://www.google.com/search?q=New+Berlin+Public+Library+New+Berlin+WI+library+website","Search")</f>
        <v>Search</v>
      </c>
      <c r="L3772" s="7"/>
      <c r="M3772" s="7"/>
    </row>
    <row r="3773" customFormat="false" ht="15" hidden="false" customHeight="true" outlineLevel="0" collapsed="false">
      <c r="A3773" s="4" t="s">
        <v>14547</v>
      </c>
      <c r="B3773" s="4" t="s">
        <v>14855</v>
      </c>
      <c r="C3773" s="4" t="s">
        <v>1828</v>
      </c>
      <c r="D3773" s="4" t="s">
        <v>14856</v>
      </c>
      <c r="E3773" s="5" t="n">
        <v>10785</v>
      </c>
      <c r="F3773" s="4" t="n">
        <v>1</v>
      </c>
      <c r="G3773" s="4" t="s">
        <v>14857</v>
      </c>
      <c r="H3773" s="4" t="n">
        <v>44.38971</v>
      </c>
      <c r="I3773" s="4" t="n">
        <v>-88.73964</v>
      </c>
      <c r="J3773" s="4" t="s">
        <v>14858</v>
      </c>
      <c r="K3773" s="6" t="str">
        <f aca="false">HYPERLINK("https://www.google.com/search?q=New+London+Public+Library+New+London+WI+library+website","Search")</f>
        <v>Search</v>
      </c>
      <c r="L3773" s="7"/>
      <c r="M3773" s="7"/>
    </row>
    <row r="3774" customFormat="false" ht="15" hidden="false" customHeight="true" outlineLevel="0" collapsed="false">
      <c r="A3774" s="4" t="s">
        <v>14547</v>
      </c>
      <c r="B3774" s="4" t="s">
        <v>14859</v>
      </c>
      <c r="C3774" s="4" t="s">
        <v>745</v>
      </c>
      <c r="D3774" s="4" t="s">
        <v>14610</v>
      </c>
      <c r="E3774" s="5" t="n">
        <v>26300</v>
      </c>
      <c r="F3774" s="4" t="n">
        <v>1</v>
      </c>
      <c r="G3774" s="4" t="s">
        <v>14860</v>
      </c>
      <c r="H3774" s="4" t="n">
        <v>43.1404</v>
      </c>
      <c r="I3774" s="4" t="n">
        <v>-87.91283</v>
      </c>
      <c r="J3774" s="4" t="s">
        <v>14861</v>
      </c>
      <c r="K3774" s="6" t="str">
        <f aca="false">HYPERLINK("https://www.google.com/search?q=North+Shore+Library+Glendale+WI+library+website","Search")</f>
        <v>Search</v>
      </c>
      <c r="L3774" s="7"/>
      <c r="M3774" s="7"/>
    </row>
    <row r="3775" customFormat="false" ht="15" hidden="false" customHeight="true" outlineLevel="0" collapsed="false">
      <c r="A3775" s="4" t="s">
        <v>14547</v>
      </c>
      <c r="B3775" s="4" t="s">
        <v>14862</v>
      </c>
      <c r="C3775" s="4" t="s">
        <v>14863</v>
      </c>
      <c r="D3775" s="4" t="s">
        <v>14610</v>
      </c>
      <c r="E3775" s="5" t="n">
        <v>37383</v>
      </c>
      <c r="F3775" s="4" t="n">
        <v>1</v>
      </c>
      <c r="G3775" s="4" t="s">
        <v>14864</v>
      </c>
      <c r="H3775" s="4" t="n">
        <v>42.89858</v>
      </c>
      <c r="I3775" s="4" t="n">
        <v>-87.91839</v>
      </c>
      <c r="J3775" s="4" t="s">
        <v>14865</v>
      </c>
      <c r="K3775" s="6" t="str">
        <f aca="false">HYPERLINK("https://www.google.com/search?q=Oak+Creek+Public+Library+Oak+Creek+WI+library+website","Search")</f>
        <v>Search</v>
      </c>
      <c r="L3775" s="7"/>
      <c r="M3775" s="7"/>
    </row>
    <row r="3776" customFormat="false" ht="15" hidden="false" customHeight="true" outlineLevel="0" collapsed="false">
      <c r="A3776" s="4" t="s">
        <v>14547</v>
      </c>
      <c r="B3776" s="4" t="s">
        <v>14866</v>
      </c>
      <c r="C3776" s="4" t="s">
        <v>14867</v>
      </c>
      <c r="D3776" s="4" t="s">
        <v>14601</v>
      </c>
      <c r="E3776" s="5" t="n">
        <v>29040</v>
      </c>
      <c r="F3776" s="4" t="n">
        <v>1</v>
      </c>
      <c r="G3776" s="4" t="s">
        <v>14868</v>
      </c>
      <c r="H3776" s="4" t="n">
        <v>43.11052</v>
      </c>
      <c r="I3776" s="4" t="n">
        <v>-88.50207</v>
      </c>
      <c r="J3776" s="4" t="s">
        <v>14869</v>
      </c>
      <c r="K3776" s="6" t="str">
        <f aca="false">HYPERLINK("https://www.google.com/search?q=Oconomowoc+Public+Library+Oconomowoc+WI+library+website","Search")</f>
        <v>Search</v>
      </c>
      <c r="L3776" s="7"/>
      <c r="M3776" s="7"/>
    </row>
    <row r="3777" customFormat="false" ht="15" hidden="false" customHeight="true" outlineLevel="0" collapsed="false">
      <c r="A3777" s="4" t="s">
        <v>14547</v>
      </c>
      <c r="B3777" s="4" t="s">
        <v>14870</v>
      </c>
      <c r="C3777" s="4" t="s">
        <v>14871</v>
      </c>
      <c r="D3777" s="4" t="s">
        <v>14642</v>
      </c>
      <c r="E3777" s="5" t="n">
        <v>18287</v>
      </c>
      <c r="F3777" s="4" t="n">
        <v>1</v>
      </c>
      <c r="G3777" s="4" t="s">
        <v>14872</v>
      </c>
      <c r="H3777" s="4" t="n">
        <v>42.92667</v>
      </c>
      <c r="I3777" s="4" t="n">
        <v>-89.38132</v>
      </c>
      <c r="J3777" s="4" t="s">
        <v>14873</v>
      </c>
      <c r="K3777" s="6" t="str">
        <f aca="false">HYPERLINK("https://www.google.com/search?q=Oregon+Public+Library+Oregon+WI+library+website","Search")</f>
        <v>Search</v>
      </c>
      <c r="L3777" s="7"/>
      <c r="M3777" s="7"/>
    </row>
    <row r="3778" customFormat="false" ht="15" hidden="false" customHeight="true" outlineLevel="0" collapsed="false">
      <c r="A3778" s="4" t="s">
        <v>14547</v>
      </c>
      <c r="B3778" s="4" t="s">
        <v>14874</v>
      </c>
      <c r="C3778" s="4" t="s">
        <v>14875</v>
      </c>
      <c r="D3778" s="4" t="s">
        <v>3434</v>
      </c>
      <c r="E3778" s="5" t="n">
        <v>81319</v>
      </c>
      <c r="F3778" s="4" t="n">
        <v>1</v>
      </c>
      <c r="G3778" s="4" t="s">
        <v>14876</v>
      </c>
      <c r="H3778" s="4" t="n">
        <v>44.01772</v>
      </c>
      <c r="I3778" s="4" t="n">
        <v>-88.53588</v>
      </c>
      <c r="J3778" s="4" t="s">
        <v>14877</v>
      </c>
      <c r="K3778" s="6" t="str">
        <f aca="false">HYPERLINK("https://www.google.com/search?q=Oshkosh+Public+Library+Oshkosh+WI+library+website","Search")</f>
        <v>Search</v>
      </c>
      <c r="L3778" s="7"/>
      <c r="M3778" s="7"/>
    </row>
    <row r="3779" customFormat="false" ht="15" hidden="false" customHeight="true" outlineLevel="0" collapsed="false">
      <c r="A3779" s="4" t="s">
        <v>14547</v>
      </c>
      <c r="B3779" s="4" t="s">
        <v>14878</v>
      </c>
      <c r="C3779" s="4" t="s">
        <v>2235</v>
      </c>
      <c r="D3779" s="4" t="s">
        <v>14601</v>
      </c>
      <c r="E3779" s="5" t="n">
        <v>23828</v>
      </c>
      <c r="F3779" s="4" t="n">
        <v>1</v>
      </c>
      <c r="G3779" s="4" t="s">
        <v>14879</v>
      </c>
      <c r="H3779" s="4" t="n">
        <v>43.13377</v>
      </c>
      <c r="I3779" s="4" t="n">
        <v>-88.22071</v>
      </c>
      <c r="J3779" s="4" t="s">
        <v>14880</v>
      </c>
      <c r="K3779" s="6" t="str">
        <f aca="false">HYPERLINK("https://www.google.com/search?q=Pauline+Haass+Public+Library+Sussex+WI+library+website","Search")</f>
        <v>Search</v>
      </c>
      <c r="L3779" s="7"/>
      <c r="M3779" s="7"/>
    </row>
    <row r="3780" customFormat="false" ht="15" hidden="false" customHeight="true" outlineLevel="0" collapsed="false">
      <c r="A3780" s="4" t="s">
        <v>14547</v>
      </c>
      <c r="B3780" s="4" t="s">
        <v>14881</v>
      </c>
      <c r="C3780" s="4" t="s">
        <v>14882</v>
      </c>
      <c r="D3780" s="4" t="s">
        <v>14601</v>
      </c>
      <c r="E3780" s="5" t="n">
        <v>28397</v>
      </c>
      <c r="F3780" s="4" t="n">
        <v>1</v>
      </c>
      <c r="G3780" s="4" t="s">
        <v>14883</v>
      </c>
      <c r="H3780" s="4" t="n">
        <v>43.08012</v>
      </c>
      <c r="I3780" s="4" t="n">
        <v>-88.26104</v>
      </c>
      <c r="J3780" s="4" t="s">
        <v>14884</v>
      </c>
      <c r="K3780" s="6" t="str">
        <f aca="false">HYPERLINK("https://www.google.com/search?q=Pewaukee+Public+Library+Pewaukee+WI+library+website","Search")</f>
        <v>Search</v>
      </c>
      <c r="L3780" s="7"/>
      <c r="M3780" s="7"/>
    </row>
    <row r="3781" customFormat="false" ht="15" hidden="false" customHeight="true" outlineLevel="0" collapsed="false">
      <c r="A3781" s="4" t="s">
        <v>14547</v>
      </c>
      <c r="B3781" s="4" t="s">
        <v>14885</v>
      </c>
      <c r="C3781" s="4" t="s">
        <v>14886</v>
      </c>
      <c r="D3781" s="4" t="s">
        <v>4474</v>
      </c>
      <c r="E3781" s="5" t="n">
        <v>17253</v>
      </c>
      <c r="F3781" s="4" t="n">
        <v>1</v>
      </c>
      <c r="G3781" s="4" t="s">
        <v>14887</v>
      </c>
      <c r="H3781" s="4" t="n">
        <v>42.73451</v>
      </c>
      <c r="I3781" s="4" t="n">
        <v>-90.48057</v>
      </c>
      <c r="J3781" s="4" t="s">
        <v>14888</v>
      </c>
      <c r="K3781" s="6" t="str">
        <f aca="false">HYPERLINK("https://www.google.com/search?q=Platteville+Public+Library+Platteville+WI+library+website","Search")</f>
        <v>Search</v>
      </c>
      <c r="L3781" s="7"/>
      <c r="M3781" s="7"/>
    </row>
    <row r="3782" customFormat="false" ht="15" hidden="false" customHeight="true" outlineLevel="0" collapsed="false">
      <c r="A3782" s="4" t="s">
        <v>14547</v>
      </c>
      <c r="B3782" s="4" t="s">
        <v>4574</v>
      </c>
      <c r="C3782" s="4" t="s">
        <v>3038</v>
      </c>
      <c r="D3782" s="4" t="s">
        <v>14804</v>
      </c>
      <c r="E3782" s="5" t="n">
        <v>15464</v>
      </c>
      <c r="F3782" s="4" t="n">
        <v>1</v>
      </c>
      <c r="G3782" s="4" t="s">
        <v>14889</v>
      </c>
      <c r="H3782" s="4" t="n">
        <v>43.74837</v>
      </c>
      <c r="I3782" s="4" t="n">
        <v>-87.97628</v>
      </c>
      <c r="J3782" s="4" t="s">
        <v>14890</v>
      </c>
      <c r="K3782" s="6" t="str">
        <f aca="false">HYPERLINK("https://www.google.com/search?q=Plymouth+Public+Library+Plymouth+WI+library+website","Search")</f>
        <v>Search</v>
      </c>
      <c r="L3782" s="7"/>
      <c r="M3782" s="7"/>
    </row>
    <row r="3783" customFormat="false" ht="15" hidden="false" customHeight="true" outlineLevel="0" collapsed="false">
      <c r="A3783" s="4" t="s">
        <v>14547</v>
      </c>
      <c r="B3783" s="4" t="s">
        <v>14891</v>
      </c>
      <c r="C3783" s="4" t="s">
        <v>14892</v>
      </c>
      <c r="D3783" s="4" t="s">
        <v>6931</v>
      </c>
      <c r="E3783" s="5" t="n">
        <v>70037</v>
      </c>
      <c r="F3783" s="4" t="n">
        <v>4</v>
      </c>
      <c r="G3783" s="4" t="s">
        <v>14893</v>
      </c>
      <c r="H3783" s="4" t="n">
        <v>44.5234</v>
      </c>
      <c r="I3783" s="4" t="n">
        <v>-89.58432</v>
      </c>
      <c r="J3783" s="4" t="s">
        <v>14894</v>
      </c>
      <c r="K3783" s="6" t="str">
        <f aca="false">HYPERLINK("https://www.google.com/search?q=Portage+County+Public+Library+Stevens+Point+WI+library+website","Search")</f>
        <v>Search</v>
      </c>
      <c r="L3783" s="7"/>
      <c r="M3783" s="7"/>
    </row>
    <row r="3784" customFormat="false" ht="15" hidden="false" customHeight="true" outlineLevel="0" collapsed="false">
      <c r="A3784" s="4" t="s">
        <v>14547</v>
      </c>
      <c r="B3784" s="4" t="s">
        <v>14895</v>
      </c>
      <c r="C3784" s="4" t="s">
        <v>6931</v>
      </c>
      <c r="D3784" s="4" t="s">
        <v>506</v>
      </c>
      <c r="E3784" s="5" t="n">
        <v>17498</v>
      </c>
      <c r="F3784" s="4" t="n">
        <v>1</v>
      </c>
      <c r="G3784" s="4" t="s">
        <v>14896</v>
      </c>
      <c r="H3784" s="4" t="n">
        <v>43.53831</v>
      </c>
      <c r="I3784" s="4" t="n">
        <v>-89.46254</v>
      </c>
      <c r="J3784" s="4" t="s">
        <v>14897</v>
      </c>
      <c r="K3784" s="6" t="str">
        <f aca="false">HYPERLINK("https://www.google.com/search?q=Portage+Public+Library+Portage+WI+library+website","Search")</f>
        <v>Search</v>
      </c>
      <c r="L3784" s="7"/>
      <c r="M3784" s="7"/>
    </row>
    <row r="3785" customFormat="false" ht="15" hidden="false" customHeight="true" outlineLevel="0" collapsed="false">
      <c r="A3785" s="4" t="s">
        <v>14547</v>
      </c>
      <c r="B3785" s="4" t="s">
        <v>14898</v>
      </c>
      <c r="C3785" s="4" t="s">
        <v>14899</v>
      </c>
      <c r="D3785" s="4" t="s">
        <v>516</v>
      </c>
      <c r="E3785" s="5" t="n">
        <v>12327</v>
      </c>
      <c r="F3785" s="4" t="n">
        <v>1</v>
      </c>
      <c r="G3785" s="4" t="s">
        <v>14900</v>
      </c>
      <c r="H3785" s="4" t="n">
        <v>43.05069</v>
      </c>
      <c r="I3785" s="4" t="n">
        <v>-91.14511</v>
      </c>
      <c r="J3785" s="4" t="s">
        <v>14901</v>
      </c>
      <c r="K3785" s="6" t="str">
        <f aca="false">HYPERLINK("https://www.google.com/search?q=Prairie+Du+Chien+Memorial+Library+Prairie+Du+Chien+WI+library+website","Search")</f>
        <v>Search</v>
      </c>
      <c r="L3785" s="7"/>
      <c r="M3785" s="7"/>
    </row>
    <row r="3786" customFormat="false" ht="15" hidden="false" customHeight="true" outlineLevel="0" collapsed="false">
      <c r="A3786" s="4" t="s">
        <v>14547</v>
      </c>
      <c r="B3786" s="4" t="s">
        <v>14902</v>
      </c>
      <c r="C3786" s="4" t="s">
        <v>14613</v>
      </c>
      <c r="D3786" s="4" t="s">
        <v>14613</v>
      </c>
      <c r="E3786" s="5" t="n">
        <v>136057</v>
      </c>
      <c r="F3786" s="4" t="n">
        <v>1</v>
      </c>
      <c r="G3786" s="4" t="s">
        <v>14903</v>
      </c>
      <c r="H3786" s="4" t="n">
        <v>42.72598</v>
      </c>
      <c r="I3786" s="4" t="n">
        <v>-87.78108</v>
      </c>
      <c r="J3786" s="4" t="s">
        <v>14904</v>
      </c>
      <c r="K3786" s="6" t="str">
        <f aca="false">HYPERLINK("https://www.google.com/search?q=Racine+Public+Library+Racine+WI+library+website","Search")</f>
        <v>Search</v>
      </c>
      <c r="L3786" s="7"/>
      <c r="M3786" s="7"/>
    </row>
    <row r="3787" customFormat="false" ht="15" hidden="false" customHeight="true" outlineLevel="0" collapsed="false">
      <c r="A3787" s="4" t="s">
        <v>14547</v>
      </c>
      <c r="B3787" s="4" t="s">
        <v>14905</v>
      </c>
      <c r="C3787" s="4" t="s">
        <v>14906</v>
      </c>
      <c r="D3787" s="4" t="s">
        <v>14575</v>
      </c>
      <c r="E3787" s="5" t="n">
        <v>16861</v>
      </c>
      <c r="F3787" s="4" t="n">
        <v>1</v>
      </c>
      <c r="G3787" s="4" t="s">
        <v>14907</v>
      </c>
      <c r="H3787" s="4" t="n">
        <v>43.5315</v>
      </c>
      <c r="I3787" s="4" t="n">
        <v>-90.00553</v>
      </c>
      <c r="J3787" s="4" t="s">
        <v>14908</v>
      </c>
      <c r="K3787" s="6" t="str">
        <f aca="false">HYPERLINK("https://www.google.com/search?q=Reedsburg+Public+Library+Reedsburg+WI+library+website","Search")</f>
        <v>Search</v>
      </c>
      <c r="L3787" s="7"/>
      <c r="M3787" s="7"/>
    </row>
    <row r="3788" customFormat="false" ht="15" hidden="false" customHeight="true" outlineLevel="0" collapsed="false">
      <c r="A3788" s="4" t="s">
        <v>14547</v>
      </c>
      <c r="B3788" s="4" t="s">
        <v>14909</v>
      </c>
      <c r="C3788" s="4" t="s">
        <v>14910</v>
      </c>
      <c r="D3788" s="4" t="s">
        <v>9441</v>
      </c>
      <c r="E3788" s="5" t="n">
        <v>21977</v>
      </c>
      <c r="F3788" s="4" t="n">
        <v>1</v>
      </c>
      <c r="G3788" s="4" t="s">
        <v>14911</v>
      </c>
      <c r="H3788" s="4" t="n">
        <v>45.63929</v>
      </c>
      <c r="I3788" s="4" t="n">
        <v>-89.41129</v>
      </c>
      <c r="J3788" s="4" t="s">
        <v>14912</v>
      </c>
      <c r="K3788" s="6" t="str">
        <f aca="false">HYPERLINK("https://www.google.com/search?q=Rhinelander+District+Library+Rhinelander+WI+library+website","Search")</f>
        <v>Search</v>
      </c>
      <c r="L3788" s="7"/>
      <c r="M3788" s="7"/>
    </row>
    <row r="3789" customFormat="false" ht="15" hidden="false" customHeight="true" outlineLevel="0" collapsed="false">
      <c r="A3789" s="4" t="s">
        <v>14547</v>
      </c>
      <c r="B3789" s="4" t="s">
        <v>14913</v>
      </c>
      <c r="C3789" s="4" t="s">
        <v>14914</v>
      </c>
      <c r="D3789" s="4" t="s">
        <v>14915</v>
      </c>
      <c r="E3789" s="5" t="n">
        <v>20774</v>
      </c>
      <c r="F3789" s="4" t="n">
        <v>1</v>
      </c>
      <c r="G3789" s="4" t="s">
        <v>14916</v>
      </c>
      <c r="H3789" s="4" t="n">
        <v>45.50437</v>
      </c>
      <c r="I3789" s="4" t="n">
        <v>-91.73307</v>
      </c>
      <c r="J3789" s="4" t="s">
        <v>14917</v>
      </c>
      <c r="K3789" s="6" t="str">
        <f aca="false">HYPERLINK("https://www.google.com/search?q=Rice+Lake+Public+Library+Rice+Lake+WI+library+website","Search")</f>
        <v>Search</v>
      </c>
      <c r="L3789" s="7"/>
      <c r="M3789" s="7"/>
    </row>
    <row r="3790" customFormat="false" ht="15" hidden="false" customHeight="true" outlineLevel="0" collapsed="false">
      <c r="A3790" s="4" t="s">
        <v>14547</v>
      </c>
      <c r="B3790" s="4" t="s">
        <v>14918</v>
      </c>
      <c r="C3790" s="4" t="s">
        <v>14919</v>
      </c>
      <c r="D3790" s="4" t="s">
        <v>14677</v>
      </c>
      <c r="E3790" s="5" t="n">
        <v>11990</v>
      </c>
      <c r="F3790" s="4" t="n">
        <v>1</v>
      </c>
      <c r="G3790" s="4" t="s">
        <v>14920</v>
      </c>
      <c r="H3790" s="4" t="n">
        <v>43.84725</v>
      </c>
      <c r="I3790" s="4" t="n">
        <v>-88.83898</v>
      </c>
      <c r="J3790" s="4" t="s">
        <v>14921</v>
      </c>
      <c r="K3790" s="6" t="str">
        <f aca="false">HYPERLINK("https://www.google.com/search?q=Ripon+Public+Library+Ripon+WI+library+website","Search")</f>
        <v>Search</v>
      </c>
      <c r="L3790" s="7"/>
      <c r="M3790" s="7"/>
    </row>
    <row r="3791" customFormat="false" ht="15" hidden="false" customHeight="true" outlineLevel="0" collapsed="false">
      <c r="A3791" s="4" t="s">
        <v>14547</v>
      </c>
      <c r="B3791" s="4" t="s">
        <v>14922</v>
      </c>
      <c r="C3791" s="4" t="s">
        <v>14923</v>
      </c>
      <c r="D3791" s="4" t="s">
        <v>14487</v>
      </c>
      <c r="E3791" s="5" t="n">
        <v>23085</v>
      </c>
      <c r="F3791" s="4" t="n">
        <v>1</v>
      </c>
      <c r="G3791" s="4" t="s">
        <v>14924</v>
      </c>
      <c r="H3791" s="4" t="n">
        <v>44.86427</v>
      </c>
      <c r="I3791" s="4" t="n">
        <v>-92.62243</v>
      </c>
      <c r="J3791" s="4" t="s">
        <v>14925</v>
      </c>
      <c r="K3791" s="6" t="str">
        <f aca="false">HYPERLINK("https://www.google.com/search?q=River+Falls+Public+Library+River+Falls+WI+library+website","Search")</f>
        <v>Search</v>
      </c>
      <c r="L3791" s="7"/>
      <c r="M3791" s="7"/>
    </row>
    <row r="3792" customFormat="false" ht="15" hidden="false" customHeight="true" outlineLevel="0" collapsed="false">
      <c r="A3792" s="4" t="s">
        <v>14547</v>
      </c>
      <c r="B3792" s="4" t="s">
        <v>14926</v>
      </c>
      <c r="C3792" s="4" t="s">
        <v>14927</v>
      </c>
      <c r="D3792" s="4" t="s">
        <v>13707</v>
      </c>
      <c r="E3792" s="5" t="n">
        <v>11793</v>
      </c>
      <c r="F3792" s="4" t="n">
        <v>1</v>
      </c>
      <c r="G3792" s="4" t="s">
        <v>14928</v>
      </c>
      <c r="H3792" s="4" t="n">
        <v>45.46132</v>
      </c>
      <c r="I3792" s="4" t="n">
        <v>-91.10583</v>
      </c>
      <c r="J3792" s="4" t="s">
        <v>14929</v>
      </c>
      <c r="K3792" s="6" t="str">
        <f aca="false">HYPERLINK("https://www.google.com/search?q=Rusk+County+Community+Library+Ladysmith+WI+library+website","Search")</f>
        <v>Search</v>
      </c>
      <c r="L3792" s="7"/>
      <c r="M3792" s="7"/>
    </row>
    <row r="3793" customFormat="false" ht="15" hidden="false" customHeight="true" outlineLevel="0" collapsed="false">
      <c r="A3793" s="4" t="s">
        <v>14547</v>
      </c>
      <c r="B3793" s="4" t="s">
        <v>14930</v>
      </c>
      <c r="C3793" s="4" t="s">
        <v>14931</v>
      </c>
      <c r="D3793" s="4" t="s">
        <v>14931</v>
      </c>
      <c r="E3793" s="5" t="n">
        <v>41192</v>
      </c>
      <c r="F3793" s="4" t="n">
        <v>6</v>
      </c>
      <c r="G3793" s="4" t="s">
        <v>14932</v>
      </c>
      <c r="H3793" s="4" t="n">
        <v>44.78099</v>
      </c>
      <c r="I3793" s="4" t="n">
        <v>-88.60755</v>
      </c>
      <c r="J3793" s="4" t="s">
        <v>14933</v>
      </c>
      <c r="K3793" s="6" t="str">
        <f aca="false">HYPERLINK("https://www.google.com/search?q=Shawano+County+Library+Shawano+WI+library+website","Search")</f>
        <v>Search</v>
      </c>
      <c r="L3793" s="7"/>
      <c r="M3793" s="7"/>
    </row>
    <row r="3794" customFormat="false" ht="15" hidden="false" customHeight="true" outlineLevel="0" collapsed="false">
      <c r="A3794" s="4" t="s">
        <v>14547</v>
      </c>
      <c r="B3794" s="4" t="s">
        <v>14934</v>
      </c>
      <c r="C3794" s="4" t="s">
        <v>14935</v>
      </c>
      <c r="D3794" s="4" t="s">
        <v>14804</v>
      </c>
      <c r="E3794" s="5" t="n">
        <v>14435</v>
      </c>
      <c r="F3794" s="4" t="n">
        <v>1</v>
      </c>
      <c r="G3794" s="4" t="s">
        <v>14936</v>
      </c>
      <c r="H3794" s="4" t="n">
        <v>43.72935</v>
      </c>
      <c r="I3794" s="4" t="n">
        <v>-87.81294</v>
      </c>
      <c r="J3794" s="4" t="s">
        <v>14937</v>
      </c>
      <c r="K3794" s="6" t="str">
        <f aca="false">HYPERLINK("https://www.google.com/search?q=Sheboygan+Falls+Memorial+Library+Sheboygan+Falls+WI+library+website","Search")</f>
        <v>Search</v>
      </c>
      <c r="L3794" s="7"/>
      <c r="M3794" s="7"/>
    </row>
    <row r="3795" customFormat="false" ht="15" hidden="false" customHeight="true" outlineLevel="0" collapsed="false">
      <c r="A3795" s="4" t="s">
        <v>14547</v>
      </c>
      <c r="B3795" s="4" t="s">
        <v>14938</v>
      </c>
      <c r="C3795" s="4" t="s">
        <v>1073</v>
      </c>
      <c r="D3795" s="4" t="s">
        <v>14939</v>
      </c>
      <c r="E3795" s="5" t="n">
        <v>12913</v>
      </c>
      <c r="F3795" s="4" t="n">
        <v>1</v>
      </c>
      <c r="G3795" s="4" t="s">
        <v>14940</v>
      </c>
      <c r="H3795" s="4" t="n">
        <v>46.02445</v>
      </c>
      <c r="I3795" s="4" t="n">
        <v>-91.48454</v>
      </c>
      <c r="J3795" s="4" t="s">
        <v>14941</v>
      </c>
      <c r="K3795" s="6" t="str">
        <f aca="false">HYPERLINK("https://www.google.com/search?q=Sherman+%26+Ruth+Weiss+Community+Library+Hayward+WI+library+website","Search")</f>
        <v>Search</v>
      </c>
      <c r="L3795" s="7"/>
      <c r="M3795" s="7"/>
    </row>
    <row r="3796" customFormat="false" ht="15" hidden="false" customHeight="true" outlineLevel="0" collapsed="false">
      <c r="A3796" s="4" t="s">
        <v>14547</v>
      </c>
      <c r="B3796" s="4" t="s">
        <v>14942</v>
      </c>
      <c r="C3796" s="4" t="s">
        <v>4062</v>
      </c>
      <c r="D3796" s="4" t="s">
        <v>14610</v>
      </c>
      <c r="E3796" s="5" t="n">
        <v>13810</v>
      </c>
      <c r="F3796" s="4" t="n">
        <v>1</v>
      </c>
      <c r="G3796" s="4" t="s">
        <v>14943</v>
      </c>
      <c r="H3796" s="4" t="n">
        <v>43.08801</v>
      </c>
      <c r="I3796" s="4" t="n">
        <v>-87.88492</v>
      </c>
      <c r="J3796" s="4" t="s">
        <v>14944</v>
      </c>
      <c r="K3796" s="6" t="str">
        <f aca="false">HYPERLINK("https://www.google.com/search?q=Shorewood+Public+Library+Shorewood+WI+library+website","Search")</f>
        <v>Search</v>
      </c>
      <c r="L3796" s="7"/>
      <c r="M3796" s="7"/>
    </row>
    <row r="3797" customFormat="false" ht="15" hidden="false" customHeight="true" outlineLevel="0" collapsed="false">
      <c r="A3797" s="4" t="s">
        <v>14547</v>
      </c>
      <c r="B3797" s="4" t="s">
        <v>14945</v>
      </c>
      <c r="C3797" s="4" t="s">
        <v>14946</v>
      </c>
      <c r="D3797" s="4" t="s">
        <v>441</v>
      </c>
      <c r="E3797" s="5" t="n">
        <v>13660</v>
      </c>
      <c r="F3797" s="4" t="n">
        <v>1</v>
      </c>
      <c r="G3797" s="4" t="s">
        <v>14947</v>
      </c>
      <c r="H3797" s="4" t="n">
        <v>43.32845</v>
      </c>
      <c r="I3797" s="4" t="n">
        <v>-88.27951</v>
      </c>
      <c r="J3797" s="4" t="s">
        <v>14948</v>
      </c>
      <c r="K3797" s="6" t="str">
        <f aca="false">HYPERLINK("https://www.google.com/search?q=Slinger+Community+Library+Slinger+WI+library+website","Search")</f>
        <v>Search</v>
      </c>
      <c r="L3797" s="7"/>
      <c r="M3797" s="7"/>
    </row>
    <row r="3798" customFormat="false" ht="15" hidden="false" customHeight="true" outlineLevel="0" collapsed="false">
      <c r="A3798" s="4" t="s">
        <v>14547</v>
      </c>
      <c r="B3798" s="4" t="s">
        <v>14949</v>
      </c>
      <c r="C3798" s="4" t="s">
        <v>14950</v>
      </c>
      <c r="D3798" s="4" t="s">
        <v>14610</v>
      </c>
      <c r="E3798" s="5" t="n">
        <v>20705</v>
      </c>
      <c r="F3798" s="4" t="n">
        <v>1</v>
      </c>
      <c r="G3798" s="4" t="s">
        <v>14951</v>
      </c>
      <c r="H3798" s="4" t="n">
        <v>42.91225</v>
      </c>
      <c r="I3798" s="4" t="n">
        <v>-87.86061</v>
      </c>
      <c r="J3798" s="4" t="s">
        <v>14952</v>
      </c>
      <c r="K3798" s="6" t="str">
        <f aca="false">HYPERLINK("https://www.google.com/search?q=South+Milwaukee+Public+Library+South+Milwaukee+WI+library+website","Search")</f>
        <v>Search</v>
      </c>
      <c r="L3798" s="7"/>
      <c r="M3798" s="7"/>
    </row>
    <row r="3799" customFormat="false" ht="15" hidden="false" customHeight="true" outlineLevel="0" collapsed="false">
      <c r="A3799" s="4" t="s">
        <v>14547</v>
      </c>
      <c r="B3799" s="4" t="s">
        <v>14953</v>
      </c>
      <c r="C3799" s="4" t="s">
        <v>8985</v>
      </c>
      <c r="D3799" s="4" t="s">
        <v>311</v>
      </c>
      <c r="E3799" s="5" t="n">
        <v>18602</v>
      </c>
      <c r="F3799" s="4" t="n">
        <v>1</v>
      </c>
      <c r="G3799" s="4" t="s">
        <v>14954</v>
      </c>
      <c r="H3799" s="4" t="n">
        <v>43.94444</v>
      </c>
      <c r="I3799" s="4" t="n">
        <v>-90.81199</v>
      </c>
      <c r="J3799" s="4" t="s">
        <v>14955</v>
      </c>
      <c r="K3799" s="6" t="str">
        <f aca="false">HYPERLINK("https://www.google.com/search?q=Sparta+Free+Library+Sparta+WI+library+website","Search")</f>
        <v>Search</v>
      </c>
      <c r="L3799" s="7"/>
      <c r="M3799" s="7"/>
    </row>
    <row r="3800" customFormat="false" ht="15" hidden="false" customHeight="true" outlineLevel="0" collapsed="false">
      <c r="A3800" s="4" t="s">
        <v>14547</v>
      </c>
      <c r="B3800" s="4" t="s">
        <v>14956</v>
      </c>
      <c r="C3800" s="4" t="s">
        <v>14957</v>
      </c>
      <c r="D3800" s="4" t="s">
        <v>14958</v>
      </c>
      <c r="E3800" s="5" t="n">
        <v>12949</v>
      </c>
      <c r="F3800" s="4" t="n">
        <v>1</v>
      </c>
      <c r="G3800" s="4" t="s">
        <v>14959</v>
      </c>
      <c r="H3800" s="4" t="n">
        <v>45.82727</v>
      </c>
      <c r="I3800" s="4" t="n">
        <v>-91.89107</v>
      </c>
      <c r="J3800" s="4" t="s">
        <v>14960</v>
      </c>
      <c r="K3800" s="6" t="str">
        <f aca="false">HYPERLINK("https://www.google.com/search?q=Spooner+Memorial+Library+Spooner+WI+library+website","Search")</f>
        <v>Search</v>
      </c>
      <c r="L3800" s="7"/>
      <c r="M3800" s="7"/>
    </row>
    <row r="3801" customFormat="false" ht="15" hidden="false" customHeight="true" outlineLevel="0" collapsed="false">
      <c r="A3801" s="4" t="s">
        <v>14547</v>
      </c>
      <c r="B3801" s="4" t="s">
        <v>6033</v>
      </c>
      <c r="C3801" s="4" t="s">
        <v>6034</v>
      </c>
      <c r="D3801" s="4" t="s">
        <v>14642</v>
      </c>
      <c r="E3801" s="5" t="n">
        <v>19333</v>
      </c>
      <c r="F3801" s="4" t="n">
        <v>1</v>
      </c>
      <c r="G3801" s="4" t="s">
        <v>14961</v>
      </c>
      <c r="H3801" s="4" t="n">
        <v>42.91649</v>
      </c>
      <c r="I3801" s="4" t="n">
        <v>-89.21793</v>
      </c>
      <c r="J3801" s="4" t="s">
        <v>14962</v>
      </c>
      <c r="K3801" s="6" t="str">
        <f aca="false">HYPERLINK("https://www.google.com/search?q=Stoughton+Public+Library+Stoughton+WI+library+website","Search")</f>
        <v>Search</v>
      </c>
      <c r="L3801" s="7"/>
      <c r="M3801" s="7"/>
    </row>
    <row r="3802" customFormat="false" ht="15" hidden="false" customHeight="true" outlineLevel="0" collapsed="false">
      <c r="A3802" s="4" t="s">
        <v>14547</v>
      </c>
      <c r="B3802" s="4" t="s">
        <v>14963</v>
      </c>
      <c r="C3802" s="4" t="s">
        <v>14964</v>
      </c>
      <c r="D3802" s="4" t="s">
        <v>14642</v>
      </c>
      <c r="E3802" s="5" t="n">
        <v>51097</v>
      </c>
      <c r="F3802" s="4" t="n">
        <v>1</v>
      </c>
      <c r="G3802" s="4" t="s">
        <v>14965</v>
      </c>
      <c r="H3802" s="4" t="n">
        <v>43.175</v>
      </c>
      <c r="I3802" s="4" t="n">
        <v>-89.23538</v>
      </c>
      <c r="J3802" s="4" t="s">
        <v>14966</v>
      </c>
      <c r="K3802" s="6" t="str">
        <f aca="false">HYPERLINK("https://www.google.com/search?q=Sun+Prairie+Public+Library+Sun+Prairie+WI+library+website","Search")</f>
        <v>Search</v>
      </c>
      <c r="L3802" s="7"/>
      <c r="M3802" s="7"/>
    </row>
    <row r="3803" customFormat="false" ht="15" hidden="false" customHeight="true" outlineLevel="0" collapsed="false">
      <c r="A3803" s="4" t="s">
        <v>14547</v>
      </c>
      <c r="B3803" s="4" t="s">
        <v>14967</v>
      </c>
      <c r="C3803" s="4" t="s">
        <v>14968</v>
      </c>
      <c r="D3803" s="4" t="s">
        <v>719</v>
      </c>
      <c r="E3803" s="5" t="n">
        <v>44547</v>
      </c>
      <c r="F3803" s="4" t="n">
        <v>3</v>
      </c>
      <c r="G3803" s="4" t="s">
        <v>14969</v>
      </c>
      <c r="H3803" s="4" t="n">
        <v>46.71975</v>
      </c>
      <c r="I3803" s="4" t="n">
        <v>-92.10393</v>
      </c>
      <c r="J3803" s="4" t="s">
        <v>14970</v>
      </c>
      <c r="K3803" s="6" t="str">
        <f aca="false">HYPERLINK("https://www.google.com/search?q=Superior+Public+Library+Superior+WI+library+website","Search")</f>
        <v>Search</v>
      </c>
      <c r="L3803" s="7"/>
      <c r="M3803" s="7"/>
    </row>
    <row r="3804" customFormat="false" ht="15" hidden="false" customHeight="true" outlineLevel="0" collapsed="false">
      <c r="A3804" s="4" t="s">
        <v>14547</v>
      </c>
      <c r="B3804" s="4" t="s">
        <v>14971</v>
      </c>
      <c r="C3804" s="4" t="s">
        <v>14972</v>
      </c>
      <c r="D3804" s="4" t="s">
        <v>1131</v>
      </c>
      <c r="E3804" s="5" t="n">
        <v>19488</v>
      </c>
      <c r="F3804" s="4" t="n">
        <v>1</v>
      </c>
      <c r="G3804" s="4" t="s">
        <v>14973</v>
      </c>
      <c r="H3804" s="4" t="n">
        <v>45.17931</v>
      </c>
      <c r="I3804" s="4" t="n">
        <v>-89.70142</v>
      </c>
      <c r="J3804" s="4" t="s">
        <v>14974</v>
      </c>
      <c r="K3804" s="6" t="str">
        <f aca="false">HYPERLINK("https://www.google.com/search?q=T.B.+Scott+Free+Library+Merrill+WI+library+website","Search")</f>
        <v>Search</v>
      </c>
      <c r="L3804" s="7"/>
      <c r="M3804" s="7"/>
    </row>
    <row r="3805" customFormat="false" ht="15" hidden="false" customHeight="true" outlineLevel="0" collapsed="false">
      <c r="A3805" s="4" t="s">
        <v>14547</v>
      </c>
      <c r="B3805" s="4" t="s">
        <v>14975</v>
      </c>
      <c r="C3805" s="4" t="s">
        <v>14976</v>
      </c>
      <c r="D3805" s="4" t="s">
        <v>311</v>
      </c>
      <c r="E3805" s="5" t="n">
        <v>17618</v>
      </c>
      <c r="F3805" s="4" t="n">
        <v>1</v>
      </c>
      <c r="G3805" s="4" t="s">
        <v>14977</v>
      </c>
      <c r="H3805" s="4" t="n">
        <v>43.97983</v>
      </c>
      <c r="I3805" s="4" t="n">
        <v>-90.50464</v>
      </c>
      <c r="J3805" s="4" t="s">
        <v>14978</v>
      </c>
      <c r="K3805" s="6" t="str">
        <f aca="false">HYPERLINK("https://www.google.com/search?q=Tomah+Public+Library+Tomah+WI+library+website","Search")</f>
        <v>Search</v>
      </c>
      <c r="L3805" s="7"/>
      <c r="M3805" s="7"/>
    </row>
    <row r="3806" customFormat="false" ht="15" hidden="false" customHeight="true" outlineLevel="0" collapsed="false">
      <c r="A3806" s="4" t="s">
        <v>14547</v>
      </c>
      <c r="B3806" s="4" t="s">
        <v>14979</v>
      </c>
      <c r="C3806" s="4" t="s">
        <v>5692</v>
      </c>
      <c r="D3806" s="4" t="s">
        <v>14623</v>
      </c>
      <c r="E3806" s="5" t="n">
        <v>18066</v>
      </c>
      <c r="F3806" s="4" t="n">
        <v>1</v>
      </c>
      <c r="G3806" s="4" t="s">
        <v>14980</v>
      </c>
      <c r="H3806" s="4" t="n">
        <v>43.31404</v>
      </c>
      <c r="I3806" s="4" t="n">
        <v>-87.95287</v>
      </c>
      <c r="J3806" s="4" t="s">
        <v>14981</v>
      </c>
      <c r="K3806" s="6" t="str">
        <f aca="false">HYPERLINK("https://www.google.com/search?q=U.S.S.+Liberty+Memorial+Public+Library+Grafton+WI+library+website","Search")</f>
        <v>Search</v>
      </c>
      <c r="L3806" s="7"/>
      <c r="M3806" s="7"/>
    </row>
    <row r="3807" customFormat="false" ht="15" hidden="false" customHeight="true" outlineLevel="0" collapsed="false">
      <c r="A3807" s="4" t="s">
        <v>14547</v>
      </c>
      <c r="B3807" s="4" t="s">
        <v>14982</v>
      </c>
      <c r="C3807" s="4" t="s">
        <v>4835</v>
      </c>
      <c r="D3807" s="4" t="s">
        <v>4835</v>
      </c>
      <c r="E3807" s="5" t="n">
        <v>12691</v>
      </c>
      <c r="F3807" s="4" t="n">
        <v>1</v>
      </c>
      <c r="G3807" s="4" t="s">
        <v>14983</v>
      </c>
      <c r="H3807" s="4" t="n">
        <v>46.58926</v>
      </c>
      <c r="I3807" s="4" t="n">
        <v>-90.88826</v>
      </c>
      <c r="J3807" s="4" t="s">
        <v>14984</v>
      </c>
      <c r="K3807" s="6" t="str">
        <f aca="false">HYPERLINK("https://www.google.com/search?q=Vaughn+Public+Library+Ashland+WI+library+website","Search")</f>
        <v>Search</v>
      </c>
      <c r="L3807" s="7"/>
      <c r="M3807" s="7"/>
    </row>
    <row r="3808" customFormat="false" ht="15" hidden="false" customHeight="true" outlineLevel="0" collapsed="false">
      <c r="A3808" s="4" t="s">
        <v>14547</v>
      </c>
      <c r="B3808" s="4" t="s">
        <v>14985</v>
      </c>
      <c r="C3808" s="4" t="s">
        <v>9023</v>
      </c>
      <c r="D3808" s="4" t="s">
        <v>14642</v>
      </c>
      <c r="E3808" s="5" t="n">
        <v>22846</v>
      </c>
      <c r="F3808" s="4" t="n">
        <v>1</v>
      </c>
      <c r="G3808" s="4" t="s">
        <v>14986</v>
      </c>
      <c r="H3808" s="4" t="n">
        <v>42.99662</v>
      </c>
      <c r="I3808" s="4" t="n">
        <v>-89.52789</v>
      </c>
      <c r="J3808" s="4" t="s">
        <v>14987</v>
      </c>
      <c r="K3808" s="6" t="str">
        <f aca="false">HYPERLINK("https://www.google.com/search?q=Verona+Public+Library+Verona+WI+library+website","Search")</f>
        <v>Search</v>
      </c>
      <c r="L3808" s="7"/>
      <c r="M3808" s="7"/>
    </row>
    <row r="3809" customFormat="false" ht="15" hidden="false" customHeight="true" outlineLevel="0" collapsed="false">
      <c r="A3809" s="4" t="s">
        <v>14547</v>
      </c>
      <c r="B3809" s="4" t="s">
        <v>14988</v>
      </c>
      <c r="C3809" s="4" t="s">
        <v>10004</v>
      </c>
      <c r="D3809" s="4" t="s">
        <v>14623</v>
      </c>
      <c r="E3809" s="5" t="n">
        <v>17730</v>
      </c>
      <c r="F3809" s="4" t="n">
        <v>1</v>
      </c>
      <c r="G3809" s="4" t="s">
        <v>14989</v>
      </c>
      <c r="H3809" s="4" t="n">
        <v>43.38758</v>
      </c>
      <c r="I3809" s="4" t="n">
        <v>-87.87497</v>
      </c>
      <c r="J3809" s="4" t="s">
        <v>14990</v>
      </c>
      <c r="K3809" s="6" t="str">
        <f aca="false">HYPERLINK("https://www.google.com/search?q=W.J.+Niederkorn+Library+Port+Washington+WI+library+website","Search")</f>
        <v>Search</v>
      </c>
      <c r="L3809" s="7"/>
      <c r="M3809" s="7"/>
    </row>
    <row r="3810" customFormat="false" ht="15" hidden="false" customHeight="true" outlineLevel="0" collapsed="false">
      <c r="A3810" s="4" t="s">
        <v>14547</v>
      </c>
      <c r="B3810" s="4" t="s">
        <v>14991</v>
      </c>
      <c r="C3810" s="4" t="s">
        <v>14992</v>
      </c>
      <c r="D3810" s="4" t="s">
        <v>14993</v>
      </c>
      <c r="E3810" s="5" t="n">
        <v>10482</v>
      </c>
      <c r="F3810" s="4" t="n">
        <v>1</v>
      </c>
      <c r="G3810" s="4" t="s">
        <v>14994</v>
      </c>
      <c r="H3810" s="4" t="n">
        <v>45.91783</v>
      </c>
      <c r="I3810" s="4" t="n">
        <v>-89.25066</v>
      </c>
      <c r="J3810" s="4" t="s">
        <v>14995</v>
      </c>
      <c r="K3810" s="6" t="str">
        <f aca="false">HYPERLINK("https://www.google.com/search?q=Walter+E.+Olson+Memorial+Library+Eagle+River+WI+library+website","Search")</f>
        <v>Search</v>
      </c>
      <c r="L3810" s="7"/>
      <c r="M3810" s="7"/>
    </row>
    <row r="3811" customFormat="false" ht="15" hidden="false" customHeight="true" outlineLevel="0" collapsed="false">
      <c r="A3811" s="4" t="s">
        <v>14547</v>
      </c>
      <c r="B3811" s="4" t="s">
        <v>2153</v>
      </c>
      <c r="C3811" s="4" t="s">
        <v>2154</v>
      </c>
      <c r="D3811" s="4" t="s">
        <v>14613</v>
      </c>
      <c r="E3811" s="5" t="n">
        <v>24847</v>
      </c>
      <c r="F3811" s="4" t="n">
        <v>1</v>
      </c>
      <c r="G3811" s="4" t="s">
        <v>14996</v>
      </c>
      <c r="H3811" s="4" t="n">
        <v>42.76326</v>
      </c>
      <c r="I3811" s="4" t="n">
        <v>-88.21414</v>
      </c>
      <c r="J3811" s="4" t="s">
        <v>14997</v>
      </c>
      <c r="K3811" s="6" t="str">
        <f aca="false">HYPERLINK("https://www.google.com/search?q=Waterford+Public+Library+Waterford+WI+library+website","Search")</f>
        <v>Search</v>
      </c>
      <c r="L3811" s="7"/>
      <c r="M3811" s="7"/>
    </row>
    <row r="3812" customFormat="false" ht="15" hidden="false" customHeight="true" outlineLevel="0" collapsed="false">
      <c r="A3812" s="4" t="s">
        <v>14547</v>
      </c>
      <c r="B3812" s="4" t="s">
        <v>14998</v>
      </c>
      <c r="C3812" s="4" t="s">
        <v>2158</v>
      </c>
      <c r="D3812" s="4" t="s">
        <v>98</v>
      </c>
      <c r="E3812" s="5" t="n">
        <v>30587</v>
      </c>
      <c r="F3812" s="4" t="n">
        <v>1</v>
      </c>
      <c r="G3812" s="4" t="s">
        <v>14999</v>
      </c>
      <c r="H3812" s="4" t="n">
        <v>43.19417</v>
      </c>
      <c r="I3812" s="4" t="n">
        <v>-88.7262</v>
      </c>
      <c r="J3812" s="4" t="s">
        <v>15000</v>
      </c>
      <c r="K3812" s="6" t="str">
        <f aca="false">HYPERLINK("https://www.google.com/search?q=Watertown+Public+Library+Watertown+WI+library+website","Search")</f>
        <v>Search</v>
      </c>
      <c r="L3812" s="7"/>
      <c r="M3812" s="7"/>
    </row>
    <row r="3813" customFormat="false" ht="15" hidden="false" customHeight="true" outlineLevel="0" collapsed="false">
      <c r="A3813" s="4" t="s">
        <v>14547</v>
      </c>
      <c r="B3813" s="4" t="s">
        <v>15001</v>
      </c>
      <c r="C3813" s="4" t="s">
        <v>14601</v>
      </c>
      <c r="D3813" s="4" t="s">
        <v>14601</v>
      </c>
      <c r="E3813" s="5" t="n">
        <v>87944</v>
      </c>
      <c r="F3813" s="4" t="n">
        <v>1</v>
      </c>
      <c r="G3813" s="4" t="s">
        <v>15002</v>
      </c>
      <c r="H3813" s="4" t="n">
        <v>43.00969</v>
      </c>
      <c r="I3813" s="4" t="n">
        <v>-88.23286</v>
      </c>
      <c r="J3813" s="4" t="s">
        <v>15003</v>
      </c>
      <c r="K3813" s="6" t="str">
        <f aca="false">HYPERLINK("https://www.google.com/search?q=Waukesha+Public+Library+Waukesha+WI+library+website","Search")</f>
        <v>Search</v>
      </c>
      <c r="L3813" s="7"/>
      <c r="M3813" s="7"/>
    </row>
    <row r="3814" customFormat="false" ht="15" hidden="false" customHeight="true" outlineLevel="0" collapsed="false">
      <c r="A3814" s="4" t="s">
        <v>14547</v>
      </c>
      <c r="B3814" s="4" t="s">
        <v>15004</v>
      </c>
      <c r="C3814" s="4" t="s">
        <v>15005</v>
      </c>
      <c r="D3814" s="4" t="s">
        <v>14642</v>
      </c>
      <c r="E3814" s="5" t="n">
        <v>22151</v>
      </c>
      <c r="F3814" s="4" t="n">
        <v>1</v>
      </c>
      <c r="G3814" s="4" t="s">
        <v>15006</v>
      </c>
      <c r="H3814" s="4" t="n">
        <v>43.19412</v>
      </c>
      <c r="I3814" s="4" t="n">
        <v>-89.45174</v>
      </c>
      <c r="J3814" s="4" t="s">
        <v>15007</v>
      </c>
      <c r="K3814" s="6" t="str">
        <f aca="false">HYPERLINK("https://www.google.com/search?q=Waunakee+Public+Library+Waunakee+WI+library+website","Search")</f>
        <v>Search</v>
      </c>
      <c r="L3814" s="7"/>
      <c r="M3814" s="7"/>
    </row>
    <row r="3815" customFormat="false" ht="15" hidden="false" customHeight="true" outlineLevel="0" collapsed="false">
      <c r="A3815" s="4" t="s">
        <v>14547</v>
      </c>
      <c r="B3815" s="4" t="s">
        <v>15008</v>
      </c>
      <c r="C3815" s="4" t="s">
        <v>14856</v>
      </c>
      <c r="D3815" s="4" t="s">
        <v>14856</v>
      </c>
      <c r="E3815" s="5" t="n">
        <v>17471</v>
      </c>
      <c r="F3815" s="4" t="n">
        <v>1</v>
      </c>
      <c r="G3815" s="4" t="s">
        <v>15009</v>
      </c>
      <c r="H3815" s="4" t="n">
        <v>44.35748</v>
      </c>
      <c r="I3815" s="4" t="n">
        <v>-89.08488</v>
      </c>
      <c r="J3815" s="4" t="s">
        <v>15010</v>
      </c>
      <c r="K3815" s="6" t="str">
        <f aca="false">HYPERLINK("https://www.google.com/search?q=Waupaca+Area+Public+Library+Waupaca+WI+library+website","Search")</f>
        <v>Search</v>
      </c>
      <c r="L3815" s="7"/>
      <c r="M3815" s="7"/>
    </row>
    <row r="3816" customFormat="false" ht="15" hidden="false" customHeight="true" outlineLevel="0" collapsed="false">
      <c r="A3816" s="4" t="s">
        <v>14547</v>
      </c>
      <c r="B3816" s="4" t="s">
        <v>15011</v>
      </c>
      <c r="C3816" s="4" t="s">
        <v>15012</v>
      </c>
      <c r="D3816" s="4" t="s">
        <v>2777</v>
      </c>
      <c r="E3816" s="5" t="n">
        <v>13599</v>
      </c>
      <c r="F3816" s="4" t="n">
        <v>1</v>
      </c>
      <c r="G3816" s="4" t="s">
        <v>15013</v>
      </c>
      <c r="H3816" s="4" t="n">
        <v>43.63139</v>
      </c>
      <c r="I3816" s="4" t="n">
        <v>-88.7322</v>
      </c>
      <c r="J3816" s="4" t="s">
        <v>15014</v>
      </c>
      <c r="K3816" s="6" t="str">
        <f aca="false">HYPERLINK("https://www.google.com/search?q=Waupun+Public+Library+Waupun+WI+library+website","Search")</f>
        <v>Search</v>
      </c>
      <c r="L3816" s="7"/>
      <c r="M3816" s="7"/>
    </row>
    <row r="3817" customFormat="false" ht="15" hidden="false" customHeight="true" outlineLevel="0" collapsed="false">
      <c r="A3817" s="4" t="s">
        <v>14547</v>
      </c>
      <c r="B3817" s="4" t="s">
        <v>15015</v>
      </c>
      <c r="C3817" s="4" t="s">
        <v>15016</v>
      </c>
      <c r="D3817" s="4" t="s">
        <v>14610</v>
      </c>
      <c r="E3817" s="5" t="n">
        <v>48819</v>
      </c>
      <c r="F3817" s="4" t="n">
        <v>1</v>
      </c>
      <c r="G3817" s="4" t="s">
        <v>15017</v>
      </c>
      <c r="H3817" s="4" t="n">
        <v>43.0607</v>
      </c>
      <c r="I3817" s="4" t="n">
        <v>-88.00839</v>
      </c>
      <c r="J3817" s="4" t="s">
        <v>15018</v>
      </c>
      <c r="K3817" s="6" t="str">
        <f aca="false">HYPERLINK("https://www.google.com/search?q=Wauwatosa+Public+Library+Wauwatosa+WI+library+website","Search")</f>
        <v>Search</v>
      </c>
      <c r="L3817" s="7"/>
      <c r="M3817" s="7"/>
    </row>
    <row r="3818" customFormat="false" ht="15" hidden="false" customHeight="true" outlineLevel="0" collapsed="false">
      <c r="A3818" s="4" t="s">
        <v>14547</v>
      </c>
      <c r="B3818" s="4" t="s">
        <v>15019</v>
      </c>
      <c r="C3818" s="4" t="s">
        <v>15020</v>
      </c>
      <c r="D3818" s="4" t="s">
        <v>14610</v>
      </c>
      <c r="E3818" s="5" t="n">
        <v>63479</v>
      </c>
      <c r="F3818" s="4" t="n">
        <v>1</v>
      </c>
      <c r="G3818" s="4" t="s">
        <v>15021</v>
      </c>
      <c r="H3818" s="4" t="n">
        <v>43.01209</v>
      </c>
      <c r="I3818" s="4" t="n">
        <v>-88.0053</v>
      </c>
      <c r="J3818" s="4" t="s">
        <v>15022</v>
      </c>
      <c r="K3818" s="6" t="str">
        <f aca="false">HYPERLINK("https://www.google.com/search?q=West+Allis+Public+Library+West+Allis+WI+library+website","Search")</f>
        <v>Search</v>
      </c>
      <c r="L3818" s="7"/>
      <c r="M3818" s="7"/>
    </row>
    <row r="3819" customFormat="false" ht="15" hidden="false" customHeight="true" outlineLevel="0" collapsed="false">
      <c r="A3819" s="4" t="s">
        <v>14547</v>
      </c>
      <c r="B3819" s="4" t="s">
        <v>15023</v>
      </c>
      <c r="C3819" s="4" t="s">
        <v>15024</v>
      </c>
      <c r="D3819" s="4" t="s">
        <v>441</v>
      </c>
      <c r="E3819" s="5" t="n">
        <v>57165</v>
      </c>
      <c r="F3819" s="4" t="n">
        <v>1</v>
      </c>
      <c r="G3819" s="4" t="s">
        <v>15025</v>
      </c>
      <c r="H3819" s="4" t="n">
        <v>43.4211</v>
      </c>
      <c r="I3819" s="4" t="n">
        <v>-88.18403</v>
      </c>
      <c r="J3819" s="4" t="s">
        <v>15026</v>
      </c>
      <c r="K3819" s="6" t="str">
        <f aca="false">HYPERLINK("https://www.google.com/search?q=West+Bend+Community+Memorial+Library+West+Bend+WI+library+website","Search")</f>
        <v>Search</v>
      </c>
      <c r="L3819" s="7"/>
      <c r="M3819" s="7"/>
    </row>
    <row r="3820" customFormat="false" ht="15" hidden="false" customHeight="true" outlineLevel="0" collapsed="false">
      <c r="A3820" s="4" t="s">
        <v>14547</v>
      </c>
      <c r="B3820" s="4" t="s">
        <v>15027</v>
      </c>
      <c r="C3820" s="4" t="s">
        <v>15028</v>
      </c>
      <c r="D3820" s="4" t="s">
        <v>14610</v>
      </c>
      <c r="E3820" s="5" t="n">
        <v>14907</v>
      </c>
      <c r="F3820" s="4" t="n">
        <v>1</v>
      </c>
      <c r="G3820" s="4" t="s">
        <v>15029</v>
      </c>
      <c r="H3820" s="4" t="n">
        <v>43.11522</v>
      </c>
      <c r="I3820" s="4" t="n">
        <v>-87.9012</v>
      </c>
      <c r="J3820" s="4" t="s">
        <v>15030</v>
      </c>
      <c r="K3820" s="6" t="str">
        <f aca="false">HYPERLINK("https://www.google.com/search?q=Whitefish+Bay+Public+Library+Whitefish+Bay+WI+library+website","Search")</f>
        <v>Search</v>
      </c>
      <c r="L3820" s="7"/>
      <c r="M3820" s="7"/>
    </row>
    <row r="3821" customFormat="false" ht="15" hidden="false" customHeight="true" outlineLevel="0" collapsed="false">
      <c r="A3821" s="4" t="s">
        <v>15031</v>
      </c>
      <c r="B3821" s="4" t="s">
        <v>15032</v>
      </c>
      <c r="C3821" s="4" t="s">
        <v>15033</v>
      </c>
      <c r="D3821" s="4" t="s">
        <v>98</v>
      </c>
      <c r="E3821" s="5" t="n">
        <v>17833</v>
      </c>
      <c r="F3821" s="4" t="n">
        <v>1</v>
      </c>
      <c r="G3821" s="4" t="s">
        <v>15034</v>
      </c>
      <c r="H3821" s="4" t="n">
        <v>39.32444</v>
      </c>
      <c r="I3821" s="4" t="n">
        <v>-77.75652</v>
      </c>
      <c r="J3821" s="4" t="s">
        <v>15035</v>
      </c>
      <c r="K3821" s="6" t="str">
        <f aca="false">HYPERLINK("https://www.google.com/search?q=Bolivar-Harpers+Ferry+Public+Library+Harpers+Ferry+WV+library+website","Search")</f>
        <v>Search</v>
      </c>
      <c r="L3821" s="7"/>
      <c r="M3821" s="7"/>
    </row>
    <row r="3822" customFormat="false" ht="15" hidden="false" customHeight="true" outlineLevel="0" collapsed="false">
      <c r="A3822" s="4" t="s">
        <v>15031</v>
      </c>
      <c r="B3822" s="4" t="s">
        <v>15036</v>
      </c>
      <c r="C3822" s="4" t="s">
        <v>261</v>
      </c>
      <c r="D3822" s="4" t="s">
        <v>486</v>
      </c>
      <c r="E3822" s="5" t="n">
        <v>24629</v>
      </c>
      <c r="F3822" s="4" t="n">
        <v>4</v>
      </c>
      <c r="G3822" s="4" t="s">
        <v>15037</v>
      </c>
      <c r="H3822" s="4" t="n">
        <v>38.06404</v>
      </c>
      <c r="I3822" s="4" t="n">
        <v>-81.82228</v>
      </c>
      <c r="J3822" s="4" t="s">
        <v>15038</v>
      </c>
      <c r="K3822" s="6" t="str">
        <f aca="false">HYPERLINK("https://www.google.com/search?q=Boone-Madison+Public+Library+Madison+WV+library+website","Search")</f>
        <v>Search</v>
      </c>
      <c r="L3822" s="7"/>
      <c r="M3822" s="7"/>
    </row>
    <row r="3823" customFormat="false" ht="15" hidden="false" customHeight="true" outlineLevel="0" collapsed="false">
      <c r="A3823" s="4" t="s">
        <v>15031</v>
      </c>
      <c r="B3823" s="4" t="s">
        <v>15039</v>
      </c>
      <c r="C3823" s="4" t="s">
        <v>15040</v>
      </c>
      <c r="D3823" s="4" t="s">
        <v>15041</v>
      </c>
      <c r="E3823" s="5" t="n">
        <v>20051</v>
      </c>
      <c r="F3823" s="4" t="n">
        <v>2</v>
      </c>
      <c r="G3823" s="4" t="s">
        <v>15042</v>
      </c>
      <c r="H3823" s="4" t="n">
        <v>40.27258</v>
      </c>
      <c r="I3823" s="4" t="n">
        <v>-80.61269</v>
      </c>
      <c r="J3823" s="4" t="s">
        <v>15043</v>
      </c>
      <c r="K3823" s="6" t="str">
        <f aca="false">HYPERLINK("https://www.google.com/search?q=Brooke+County+Public+Library+Wellsburg+WV+library+website","Search")</f>
        <v>Search</v>
      </c>
      <c r="L3823" s="7"/>
      <c r="M3823" s="7"/>
    </row>
    <row r="3824" customFormat="false" ht="15" hidden="false" customHeight="true" outlineLevel="0" collapsed="false">
      <c r="A3824" s="4" t="s">
        <v>15031</v>
      </c>
      <c r="B3824" s="4" t="s">
        <v>15044</v>
      </c>
      <c r="C3824" s="4" t="s">
        <v>15045</v>
      </c>
      <c r="D3824" s="4" t="s">
        <v>1763</v>
      </c>
      <c r="E3824" s="5" t="n">
        <v>11229</v>
      </c>
      <c r="F3824" s="4" t="n">
        <v>1</v>
      </c>
      <c r="G3824" s="4" t="s">
        <v>15046</v>
      </c>
      <c r="H3824" s="4" t="n">
        <v>37.73518</v>
      </c>
      <c r="I3824" s="4" t="n">
        <v>-81.87503</v>
      </c>
      <c r="J3824" s="4" t="s">
        <v>15047</v>
      </c>
      <c r="K3824" s="6" t="str">
        <f aca="false">HYPERLINK("https://www.google.com/search?q=Buffalo+Creek+Memorial+Library+Man+WV+library+website","Search")</f>
        <v>Search</v>
      </c>
      <c r="L3824" s="7"/>
      <c r="M3824" s="7"/>
    </row>
    <row r="3825" customFormat="false" ht="15" hidden="false" customHeight="true" outlineLevel="0" collapsed="false">
      <c r="A3825" s="4" t="s">
        <v>15031</v>
      </c>
      <c r="B3825" s="4" t="s">
        <v>15048</v>
      </c>
      <c r="C3825" s="4" t="s">
        <v>4388</v>
      </c>
      <c r="D3825" s="4" t="s">
        <v>15049</v>
      </c>
      <c r="E3825" s="5" t="n">
        <v>96319</v>
      </c>
      <c r="F3825" s="4" t="n">
        <v>8</v>
      </c>
      <c r="G3825" s="4" t="s">
        <v>15050</v>
      </c>
      <c r="H3825" s="4" t="n">
        <v>38.41981</v>
      </c>
      <c r="I3825" s="4" t="n">
        <v>-82.44362</v>
      </c>
      <c r="J3825" s="4" t="s">
        <v>15051</v>
      </c>
      <c r="K3825" s="6" t="str">
        <f aca="false">HYPERLINK("https://www.google.com/search?q=Cabell+County+Public+Library+Huntington+WV+library+website","Search")</f>
        <v>Search</v>
      </c>
      <c r="L3825" s="7"/>
      <c r="M3825" s="7"/>
    </row>
    <row r="3826" customFormat="false" ht="15" hidden="false" customHeight="true" outlineLevel="0" collapsed="false">
      <c r="A3826" s="4" t="s">
        <v>15031</v>
      </c>
      <c r="B3826" s="4" t="s">
        <v>15052</v>
      </c>
      <c r="C3826" s="4" t="s">
        <v>15053</v>
      </c>
      <c r="D3826" s="4" t="s">
        <v>1763</v>
      </c>
      <c r="E3826" s="5" t="n">
        <v>11063</v>
      </c>
      <c r="F3826" s="4" t="n">
        <v>1</v>
      </c>
      <c r="G3826" s="4" t="s">
        <v>15054</v>
      </c>
      <c r="H3826" s="4" t="n">
        <v>37.97389</v>
      </c>
      <c r="I3826" s="4" t="n">
        <v>-82.02982</v>
      </c>
      <c r="J3826" s="4" t="s">
        <v>15055</v>
      </c>
      <c r="K3826" s="6" t="str">
        <f aca="false">HYPERLINK("https://www.google.com/search?q=Chapmanville+Public+Library+Chapmanville+WV+library+website","Search")</f>
        <v>Search</v>
      </c>
      <c r="L3826" s="7"/>
      <c r="M3826" s="7"/>
    </row>
    <row r="3827" customFormat="false" ht="15" hidden="false" customHeight="true" outlineLevel="0" collapsed="false">
      <c r="A3827" s="4" t="s">
        <v>15031</v>
      </c>
      <c r="B3827" s="4" t="s">
        <v>15056</v>
      </c>
      <c r="C3827" s="4" t="s">
        <v>15057</v>
      </c>
      <c r="D3827" s="4" t="s">
        <v>485</v>
      </c>
      <c r="E3827" s="5" t="n">
        <v>56660</v>
      </c>
      <c r="F3827" s="4" t="n">
        <v>1</v>
      </c>
      <c r="G3827" s="4" t="s">
        <v>15058</v>
      </c>
      <c r="H3827" s="4" t="n">
        <v>39.28092</v>
      </c>
      <c r="I3827" s="4" t="n">
        <v>-80.34097</v>
      </c>
      <c r="J3827" s="4" t="s">
        <v>15059</v>
      </c>
      <c r="K3827" s="6" t="str">
        <f aca="false">HYPERLINK("https://www.google.com/search?q=Clarksburg-Harrison+Public+Library+Clarksburg+WV+library+website","Search")</f>
        <v>Search</v>
      </c>
      <c r="L3827" s="7"/>
      <c r="M3827" s="7"/>
    </row>
    <row r="3828" customFormat="false" ht="15" hidden="false" customHeight="true" outlineLevel="0" collapsed="false">
      <c r="A3828" s="4" t="s">
        <v>15031</v>
      </c>
      <c r="B3828" s="4" t="s">
        <v>15060</v>
      </c>
      <c r="C3828" s="4" t="s">
        <v>15061</v>
      </c>
      <c r="D3828" s="4" t="s">
        <v>5095</v>
      </c>
      <c r="E3828" s="5" t="n">
        <v>49805</v>
      </c>
      <c r="F3828" s="4" t="n">
        <v>1</v>
      </c>
      <c r="G3828" s="4" t="s">
        <v>15062</v>
      </c>
      <c r="H3828" s="4" t="n">
        <v>37.26879</v>
      </c>
      <c r="I3828" s="4" t="n">
        <v>-81.22118</v>
      </c>
      <c r="J3828" s="4" t="s">
        <v>15063</v>
      </c>
      <c r="K3828" s="6" t="str">
        <f aca="false">HYPERLINK("https://www.google.com/search?q=Craft+Memorial+Library+Bluefield+WV+library+website","Search")</f>
        <v>Search</v>
      </c>
      <c r="L3828" s="7"/>
      <c r="M3828" s="7"/>
    </row>
    <row r="3829" customFormat="false" ht="15" hidden="false" customHeight="true" outlineLevel="0" collapsed="false">
      <c r="A3829" s="4" t="s">
        <v>15031</v>
      </c>
      <c r="B3829" s="4" t="s">
        <v>15064</v>
      </c>
      <c r="C3829" s="4" t="s">
        <v>15065</v>
      </c>
      <c r="D3829" s="4" t="s">
        <v>6061</v>
      </c>
      <c r="E3829" s="5" t="n">
        <v>14097</v>
      </c>
      <c r="F3829" s="4" t="n">
        <v>2</v>
      </c>
      <c r="G3829" s="4" t="s">
        <v>15066</v>
      </c>
      <c r="H3829" s="4" t="n">
        <v>38.92697</v>
      </c>
      <c r="I3829" s="4" t="n">
        <v>-79.84943</v>
      </c>
      <c r="J3829" s="4" t="s">
        <v>15067</v>
      </c>
      <c r="K3829" s="6" t="str">
        <f aca="false">HYPERLINK("https://www.google.com/search?q=Elkins-Randolph+Public+Library+Elkins+WV+library+website","Search")</f>
        <v>Search</v>
      </c>
      <c r="L3829" s="7"/>
      <c r="M3829" s="7"/>
    </row>
    <row r="3830" customFormat="false" ht="15" hidden="false" customHeight="true" outlineLevel="0" collapsed="false">
      <c r="A3830" s="4" t="s">
        <v>15031</v>
      </c>
      <c r="B3830" s="4" t="s">
        <v>4333</v>
      </c>
      <c r="C3830" s="4" t="s">
        <v>15068</v>
      </c>
      <c r="D3830" s="4" t="s">
        <v>197</v>
      </c>
      <c r="E3830" s="5" t="n">
        <v>46039</v>
      </c>
      <c r="F3830" s="4" t="n">
        <v>7</v>
      </c>
      <c r="G3830" s="4" t="s">
        <v>15069</v>
      </c>
      <c r="H3830" s="4" t="n">
        <v>37.97065</v>
      </c>
      <c r="I3830" s="4" t="n">
        <v>-81.14885</v>
      </c>
      <c r="J3830" s="4" t="s">
        <v>15070</v>
      </c>
      <c r="K3830" s="6" t="str">
        <f aca="false">HYPERLINK("https://www.google.com/search?q=Fayette+County+Public+Library+Oak+Hill+WV+library+website","Search")</f>
        <v>Search</v>
      </c>
      <c r="L3830" s="7"/>
      <c r="M3830" s="7"/>
    </row>
    <row r="3831" customFormat="false" ht="15" hidden="false" customHeight="true" outlineLevel="0" collapsed="false">
      <c r="A3831" s="4" t="s">
        <v>15031</v>
      </c>
      <c r="B3831" s="4" t="s">
        <v>15071</v>
      </c>
      <c r="C3831" s="4" t="s">
        <v>4568</v>
      </c>
      <c r="D3831" s="4" t="s">
        <v>4474</v>
      </c>
      <c r="E3831" s="5" t="n">
        <v>11937</v>
      </c>
      <c r="F3831" s="4" t="n">
        <v>2</v>
      </c>
      <c r="G3831" s="4" t="s">
        <v>15072</v>
      </c>
      <c r="H3831" s="4" t="n">
        <v>38.99348</v>
      </c>
      <c r="I3831" s="4" t="n">
        <v>-79.12572</v>
      </c>
      <c r="J3831" s="4" t="s">
        <v>15073</v>
      </c>
      <c r="K3831" s="6" t="str">
        <f aca="false">HYPERLINK("https://www.google.com/search?q=Grant+County+Public+Library+Petersburg+WV+library+website","Search")</f>
        <v>Search</v>
      </c>
      <c r="L3831" s="7"/>
      <c r="M3831" s="7"/>
    </row>
    <row r="3832" customFormat="false" ht="15" hidden="false" customHeight="true" outlineLevel="0" collapsed="false">
      <c r="A3832" s="4" t="s">
        <v>15031</v>
      </c>
      <c r="B3832" s="4" t="s">
        <v>15074</v>
      </c>
      <c r="C3832" s="4" t="s">
        <v>15075</v>
      </c>
      <c r="D3832" s="4" t="s">
        <v>1131</v>
      </c>
      <c r="E3832" s="5" t="n">
        <v>21720</v>
      </c>
      <c r="F3832" s="4" t="n">
        <v>3</v>
      </c>
      <c r="G3832" s="4" t="s">
        <v>15076</v>
      </c>
      <c r="H3832" s="4" t="n">
        <v>38.27709</v>
      </c>
      <c r="I3832" s="4" t="n">
        <v>-82.10627</v>
      </c>
      <c r="J3832" s="4" t="s">
        <v>15077</v>
      </c>
      <c r="K3832" s="6" t="str">
        <f aca="false">HYPERLINK("https://www.google.com/search?q=Hamlin-Lincoln+County+Public+Library+Hamlin+WV+library+website","Search")</f>
        <v>Search</v>
      </c>
      <c r="L3832" s="7"/>
      <c r="M3832" s="7"/>
    </row>
    <row r="3833" customFormat="false" ht="15" hidden="false" customHeight="true" outlineLevel="0" collapsed="false">
      <c r="A3833" s="4" t="s">
        <v>15031</v>
      </c>
      <c r="B3833" s="4" t="s">
        <v>15078</v>
      </c>
      <c r="C3833" s="4" t="s">
        <v>15079</v>
      </c>
      <c r="D3833" s="4" t="s">
        <v>3538</v>
      </c>
      <c r="E3833" s="5" t="n">
        <v>18814</v>
      </c>
      <c r="F3833" s="4" t="n">
        <v>1</v>
      </c>
      <c r="G3833" s="4" t="s">
        <v>15080</v>
      </c>
      <c r="H3833" s="4" t="n">
        <v>39.3425</v>
      </c>
      <c r="I3833" s="4" t="n">
        <v>-78.75817</v>
      </c>
      <c r="J3833" s="4" t="s">
        <v>15081</v>
      </c>
      <c r="K3833" s="6" t="str">
        <f aca="false">HYPERLINK("https://www.google.com/search?q=Hampshire+County+Public+Library+Romney+WV+library+website","Search")</f>
        <v>Search</v>
      </c>
      <c r="L3833" s="7"/>
      <c r="M3833" s="7"/>
    </row>
    <row r="3834" customFormat="false" ht="15" hidden="false" customHeight="true" outlineLevel="0" collapsed="false">
      <c r="A3834" s="4" t="s">
        <v>15031</v>
      </c>
      <c r="B3834" s="4" t="s">
        <v>15082</v>
      </c>
      <c r="C3834" s="4" t="s">
        <v>15083</v>
      </c>
      <c r="D3834" s="4" t="s">
        <v>15084</v>
      </c>
      <c r="E3834" s="5" t="n">
        <v>14025</v>
      </c>
      <c r="F3834" s="4" t="n">
        <v>1</v>
      </c>
      <c r="G3834" s="4" t="s">
        <v>15085</v>
      </c>
      <c r="H3834" s="4" t="n">
        <v>39.06221</v>
      </c>
      <c r="I3834" s="4" t="n">
        <v>-78.96982</v>
      </c>
      <c r="J3834" s="4" t="s">
        <v>15086</v>
      </c>
      <c r="K3834" s="6" t="str">
        <f aca="false">HYPERLINK("https://www.google.com/search?q=Hardy+County+Public+Library+Moorefield+WV+library+website","Search")</f>
        <v>Search</v>
      </c>
      <c r="L3834" s="7"/>
      <c r="M3834" s="7"/>
    </row>
    <row r="3835" customFormat="false" ht="15" hidden="false" customHeight="true" outlineLevel="0" collapsed="false">
      <c r="A3835" s="4" t="s">
        <v>15031</v>
      </c>
      <c r="B3835" s="4" t="s">
        <v>4399</v>
      </c>
      <c r="C3835" s="4" t="s">
        <v>4265</v>
      </c>
      <c r="D3835" s="4" t="s">
        <v>389</v>
      </c>
      <c r="E3835" s="5" t="n">
        <v>29211</v>
      </c>
      <c r="F3835" s="4" t="n">
        <v>2</v>
      </c>
      <c r="G3835" s="4" t="s">
        <v>15087</v>
      </c>
      <c r="H3835" s="4" t="n">
        <v>38.82006</v>
      </c>
      <c r="I3835" s="4" t="n">
        <v>-81.71057</v>
      </c>
      <c r="J3835" s="4" t="s">
        <v>15088</v>
      </c>
      <c r="K3835" s="6" t="str">
        <f aca="false">HYPERLINK("https://www.google.com/search?q=Jackson+County+Public+Library+Ripley+WV+library+website","Search")</f>
        <v>Search</v>
      </c>
      <c r="L3835" s="7"/>
      <c r="M3835" s="7"/>
    </row>
    <row r="3836" customFormat="false" ht="15" hidden="false" customHeight="true" outlineLevel="0" collapsed="false">
      <c r="A3836" s="4" t="s">
        <v>15031</v>
      </c>
      <c r="B3836" s="4" t="s">
        <v>15089</v>
      </c>
      <c r="C3836" s="4" t="s">
        <v>3424</v>
      </c>
      <c r="D3836" s="4" t="s">
        <v>15090</v>
      </c>
      <c r="E3836" s="5" t="n">
        <v>173591</v>
      </c>
      <c r="F3836" s="4" t="n">
        <v>10</v>
      </c>
      <c r="G3836" s="4" t="s">
        <v>15091</v>
      </c>
      <c r="H3836" s="4" t="n">
        <v>38.34975</v>
      </c>
      <c r="I3836" s="4" t="n">
        <v>-81.6354</v>
      </c>
      <c r="J3836" s="4" t="s">
        <v>15092</v>
      </c>
      <c r="K3836" s="6" t="str">
        <f aca="false">HYPERLINK("https://www.google.com/search?q=Kanawha+County+Public+Library+Charleston+WV+library+website","Search")</f>
        <v>Search</v>
      </c>
      <c r="L3836" s="7"/>
      <c r="M3836" s="7"/>
    </row>
    <row r="3837" customFormat="false" ht="15" hidden="false" customHeight="true" outlineLevel="0" collapsed="false">
      <c r="A3837" s="4" t="s">
        <v>15031</v>
      </c>
      <c r="B3837" s="4" t="s">
        <v>15093</v>
      </c>
      <c r="C3837" s="4" t="s">
        <v>15094</v>
      </c>
      <c r="D3837" s="4" t="s">
        <v>15095</v>
      </c>
      <c r="E3837" s="5" t="n">
        <v>26737</v>
      </c>
      <c r="F3837" s="4" t="n">
        <v>3</v>
      </c>
      <c r="G3837" s="4" t="s">
        <v>15096</v>
      </c>
      <c r="H3837" s="4" t="n">
        <v>39.44045</v>
      </c>
      <c r="I3837" s="4" t="n">
        <v>-78.9743</v>
      </c>
      <c r="J3837" s="4" t="s">
        <v>15097</v>
      </c>
      <c r="K3837" s="6" t="str">
        <f aca="false">HYPERLINK("https://www.google.com/search?q=Keyser-Mineral+County+Public+Library+Keyser+WV+library+website","Search")</f>
        <v>Search</v>
      </c>
      <c r="L3837" s="7"/>
      <c r="M3837" s="7"/>
    </row>
    <row r="3838" customFormat="false" ht="15" hidden="false" customHeight="true" outlineLevel="0" collapsed="false">
      <c r="A3838" s="4" t="s">
        <v>15031</v>
      </c>
      <c r="B3838" s="4" t="s">
        <v>15098</v>
      </c>
      <c r="C3838" s="4" t="s">
        <v>15099</v>
      </c>
      <c r="D3838" s="4" t="s">
        <v>3231</v>
      </c>
      <c r="E3838" s="5" t="n">
        <v>20112</v>
      </c>
      <c r="F3838" s="4" t="n">
        <v>1</v>
      </c>
      <c r="G3838" s="4" t="s">
        <v>15100</v>
      </c>
      <c r="H3838" s="4" t="n">
        <v>39.47199</v>
      </c>
      <c r="I3838" s="4" t="n">
        <v>-79.69001</v>
      </c>
      <c r="J3838" s="4" t="s">
        <v>15101</v>
      </c>
      <c r="K3838" s="6" t="str">
        <f aca="false">HYPERLINK("https://www.google.com/search?q=Kingwood+Public+Library+Kingwood+WV+library+website","Search")</f>
        <v>Search</v>
      </c>
      <c r="L3838" s="7"/>
      <c r="M3838" s="7"/>
    </row>
    <row r="3839" customFormat="false" ht="15" hidden="false" customHeight="true" outlineLevel="0" collapsed="false">
      <c r="A3839" s="4" t="s">
        <v>15031</v>
      </c>
      <c r="B3839" s="4" t="s">
        <v>15102</v>
      </c>
      <c r="C3839" s="4" t="s">
        <v>1763</v>
      </c>
      <c r="D3839" s="4" t="s">
        <v>1763</v>
      </c>
      <c r="E3839" s="5" t="n">
        <v>14451</v>
      </c>
      <c r="F3839" s="4" t="n">
        <v>1</v>
      </c>
      <c r="G3839" s="4" t="s">
        <v>15103</v>
      </c>
      <c r="H3839" s="4" t="n">
        <v>37.84981</v>
      </c>
      <c r="I3839" s="4" t="n">
        <v>-81.99559</v>
      </c>
      <c r="J3839" s="4" t="s">
        <v>15104</v>
      </c>
      <c r="K3839" s="6" t="str">
        <f aca="false">HYPERLINK("https://www.google.com/search?q=Logan+Area+Public+Library+Logan+WV+library+website","Search")</f>
        <v>Search</v>
      </c>
      <c r="L3839" s="7"/>
      <c r="M3839" s="7"/>
    </row>
    <row r="3840" customFormat="false" ht="15" hidden="false" customHeight="true" outlineLevel="0" collapsed="false">
      <c r="A3840" s="4" t="s">
        <v>15031</v>
      </c>
      <c r="B3840" s="4" t="s">
        <v>15105</v>
      </c>
      <c r="C3840" s="4" t="s">
        <v>2174</v>
      </c>
      <c r="D3840" s="4" t="s">
        <v>5033</v>
      </c>
      <c r="E3840" s="5" t="n">
        <v>16372</v>
      </c>
      <c r="F3840" s="4" t="n">
        <v>1</v>
      </c>
      <c r="G3840" s="4" t="s">
        <v>15106</v>
      </c>
      <c r="H3840" s="4" t="n">
        <v>39.03671</v>
      </c>
      <c r="I3840" s="4" t="n">
        <v>-80.46543</v>
      </c>
      <c r="J3840" s="4" t="s">
        <v>15107</v>
      </c>
      <c r="K3840" s="6" t="str">
        <f aca="false">HYPERLINK("https://www.google.com/search?q=Louis+Bennett+Public+Library+Weston+WV+library+website","Search")</f>
        <v>Search</v>
      </c>
      <c r="L3840" s="7"/>
      <c r="M3840" s="7"/>
    </row>
    <row r="3841" customFormat="false" ht="15" hidden="false" customHeight="true" outlineLevel="0" collapsed="false">
      <c r="A3841" s="4" t="s">
        <v>15031</v>
      </c>
      <c r="B3841" s="4" t="s">
        <v>5058</v>
      </c>
      <c r="C3841" s="4" t="s">
        <v>7232</v>
      </c>
      <c r="D3841" s="4" t="s">
        <v>572</v>
      </c>
      <c r="E3841" s="5" t="n">
        <v>56418</v>
      </c>
      <c r="F3841" s="4" t="n">
        <v>3</v>
      </c>
      <c r="G3841" s="4" t="s">
        <v>15108</v>
      </c>
      <c r="H3841" s="4" t="n">
        <v>39.48503</v>
      </c>
      <c r="I3841" s="4" t="n">
        <v>-80.14438</v>
      </c>
      <c r="J3841" s="4" t="s">
        <v>15109</v>
      </c>
      <c r="K3841" s="6" t="str">
        <f aca="false">HYPERLINK("https://www.google.com/search?q=Marion+County+Public+Library+Fairmont+WV+library+website","Search")</f>
        <v>Search</v>
      </c>
      <c r="L3841" s="7"/>
      <c r="M3841" s="7"/>
    </row>
    <row r="3842" customFormat="false" ht="15" hidden="false" customHeight="true" outlineLevel="0" collapsed="false">
      <c r="A3842" s="4" t="s">
        <v>15031</v>
      </c>
      <c r="B3842" s="4" t="s">
        <v>15110</v>
      </c>
      <c r="C3842" s="4" t="s">
        <v>15111</v>
      </c>
      <c r="D3842" s="4" t="s">
        <v>916</v>
      </c>
      <c r="E3842" s="5" t="n">
        <v>104169</v>
      </c>
      <c r="F3842" s="4" t="n">
        <v>4</v>
      </c>
      <c r="G3842" s="4" t="s">
        <v>15112</v>
      </c>
      <c r="H3842" s="4" t="n">
        <v>39.45621</v>
      </c>
      <c r="I3842" s="4" t="n">
        <v>-77.96405</v>
      </c>
      <c r="J3842" s="4" t="s">
        <v>15113</v>
      </c>
      <c r="K3842" s="6" t="str">
        <f aca="false">HYPERLINK("https://www.google.com/search?q=Martinsburg-Berkeley+Co.+Public+Library+Martinsburg+WV+library+website","Search")</f>
        <v>Search</v>
      </c>
      <c r="L3842" s="7"/>
      <c r="M3842" s="7"/>
    </row>
    <row r="3843" customFormat="false" ht="15" hidden="false" customHeight="true" outlineLevel="0" collapsed="false">
      <c r="A3843" s="4" t="s">
        <v>15031</v>
      </c>
      <c r="B3843" s="4" t="s">
        <v>15114</v>
      </c>
      <c r="C3843" s="4" t="s">
        <v>15115</v>
      </c>
      <c r="D3843" s="4" t="s">
        <v>4339</v>
      </c>
      <c r="E3843" s="5" t="n">
        <v>23326</v>
      </c>
      <c r="F3843" s="4" t="n">
        <v>1</v>
      </c>
      <c r="G3843" s="4" t="s">
        <v>15116</v>
      </c>
      <c r="H3843" s="4" t="n">
        <v>40.40063</v>
      </c>
      <c r="I3843" s="4" t="n">
        <v>-80.58981</v>
      </c>
      <c r="J3843" s="4" t="s">
        <v>15117</v>
      </c>
      <c r="K3843" s="6" t="str">
        <f aca="false">HYPERLINK("https://www.google.com/search?q=Mary+H.+Weir+Public+Library+Weirton+WV+library+website","Search")</f>
        <v>Search</v>
      </c>
      <c r="L3843" s="7"/>
      <c r="M3843" s="7"/>
    </row>
    <row r="3844" customFormat="false" ht="15" hidden="false" customHeight="true" outlineLevel="0" collapsed="false">
      <c r="A3844" s="4" t="s">
        <v>15031</v>
      </c>
      <c r="B3844" s="4" t="s">
        <v>5073</v>
      </c>
      <c r="C3844" s="4" t="s">
        <v>15118</v>
      </c>
      <c r="D3844" s="4" t="s">
        <v>5075</v>
      </c>
      <c r="E3844" s="5" t="n">
        <v>27324</v>
      </c>
      <c r="F3844" s="4" t="n">
        <v>3</v>
      </c>
      <c r="G3844" s="4" t="s">
        <v>15119</v>
      </c>
      <c r="H3844" s="4" t="n">
        <v>38.84422</v>
      </c>
      <c r="I3844" s="4" t="n">
        <v>-82.13718</v>
      </c>
      <c r="J3844" s="4" t="s">
        <v>15120</v>
      </c>
      <c r="K3844" s="6" t="str">
        <f aca="false">HYPERLINK("https://www.google.com/search?q=Mason+County+Public+Library+Point+Pleasant+WV+library+website","Search")</f>
        <v>Search</v>
      </c>
      <c r="L3844" s="7"/>
      <c r="M3844" s="7"/>
    </row>
    <row r="3845" customFormat="false" ht="15" hidden="false" customHeight="true" outlineLevel="0" collapsed="false">
      <c r="A3845" s="4" t="s">
        <v>15031</v>
      </c>
      <c r="B3845" s="4" t="s">
        <v>15121</v>
      </c>
      <c r="C3845" s="4" t="s">
        <v>15122</v>
      </c>
      <c r="D3845" s="4" t="s">
        <v>8067</v>
      </c>
      <c r="E3845" s="5" t="n">
        <v>22113</v>
      </c>
      <c r="F3845" s="4" t="n">
        <v>4</v>
      </c>
      <c r="G3845" s="4" t="s">
        <v>15123</v>
      </c>
      <c r="H3845" s="4" t="n">
        <v>37.43218</v>
      </c>
      <c r="I3845" s="4" t="n">
        <v>-81.58325</v>
      </c>
      <c r="J3845" s="4" t="s">
        <v>15124</v>
      </c>
      <c r="K3845" s="6" t="str">
        <f aca="false">HYPERLINK("https://www.google.com/search?q=Mcdowell+Public+Library+Welch+WV+library+website","Search")</f>
        <v>Search</v>
      </c>
      <c r="L3845" s="7"/>
      <c r="M3845" s="7"/>
    </row>
    <row r="3846" customFormat="false" ht="15" hidden="false" customHeight="true" outlineLevel="0" collapsed="false">
      <c r="A3846" s="4" t="s">
        <v>15031</v>
      </c>
      <c r="B3846" s="4" t="s">
        <v>15125</v>
      </c>
      <c r="C3846" s="4" t="s">
        <v>15126</v>
      </c>
      <c r="D3846" s="4" t="s">
        <v>15127</v>
      </c>
      <c r="E3846" s="5" t="n">
        <v>22510</v>
      </c>
      <c r="F3846" s="4" t="n">
        <v>4</v>
      </c>
      <c r="G3846" s="4" t="s">
        <v>15128</v>
      </c>
      <c r="H3846" s="4" t="n">
        <v>37.71106</v>
      </c>
      <c r="I3846" s="4" t="n">
        <v>-82.18375</v>
      </c>
      <c r="J3846" s="4" t="s">
        <v>15129</v>
      </c>
      <c r="K3846" s="6" t="str">
        <f aca="false">HYPERLINK("https://www.google.com/search?q=Mingo+County+Public+Library+Delbarton+WV+library+website","Search")</f>
        <v>Search</v>
      </c>
      <c r="L3846" s="7"/>
      <c r="M3846" s="7"/>
    </row>
    <row r="3847" customFormat="false" ht="15" hidden="false" customHeight="true" outlineLevel="0" collapsed="false">
      <c r="A3847" s="4" t="s">
        <v>15031</v>
      </c>
      <c r="B3847" s="4" t="s">
        <v>4503</v>
      </c>
      <c r="C3847" s="4" t="s">
        <v>15130</v>
      </c>
      <c r="D3847" s="4" t="s">
        <v>156</v>
      </c>
      <c r="E3847" s="5" t="n">
        <v>11693</v>
      </c>
      <c r="F3847" s="4" t="n">
        <v>1</v>
      </c>
      <c r="G3847" s="4" t="s">
        <v>15131</v>
      </c>
      <c r="H3847" s="4" t="n">
        <v>39.6276</v>
      </c>
      <c r="I3847" s="4" t="n">
        <v>-78.22684</v>
      </c>
      <c r="J3847" s="4" t="s">
        <v>15132</v>
      </c>
      <c r="K3847" s="6" t="str">
        <f aca="false">HYPERLINK("https://www.google.com/search?q=Morgan+County+Public+Library+Berkeley+Springs+WV+library+website","Search")</f>
        <v>Search</v>
      </c>
      <c r="L3847" s="7"/>
      <c r="M3847" s="7"/>
    </row>
    <row r="3848" customFormat="false" ht="15" hidden="false" customHeight="true" outlineLevel="0" collapsed="false">
      <c r="A3848" s="4" t="s">
        <v>15031</v>
      </c>
      <c r="B3848" s="4" t="s">
        <v>15133</v>
      </c>
      <c r="C3848" s="4" t="s">
        <v>4858</v>
      </c>
      <c r="D3848" s="4" t="s">
        <v>15134</v>
      </c>
      <c r="E3848" s="5" t="n">
        <v>96189</v>
      </c>
      <c r="F3848" s="4" t="n">
        <v>5</v>
      </c>
      <c r="G3848" s="4" t="s">
        <v>15135</v>
      </c>
      <c r="H3848" s="4" t="n">
        <v>39.63004</v>
      </c>
      <c r="I3848" s="4" t="n">
        <v>-79.95448</v>
      </c>
      <c r="J3848" s="4" t="s">
        <v>15136</v>
      </c>
      <c r="K3848" s="6" t="str">
        <f aca="false">HYPERLINK("https://www.google.com/search?q=Morgantown+Public+Library+Morgantown+WV+library+website","Search")</f>
        <v>Search</v>
      </c>
      <c r="L3848" s="7"/>
      <c r="M3848" s="7"/>
    </row>
    <row r="3849" customFormat="false" ht="15" hidden="false" customHeight="true" outlineLevel="0" collapsed="false">
      <c r="A3849" s="4" t="s">
        <v>15031</v>
      </c>
      <c r="B3849" s="4" t="s">
        <v>15137</v>
      </c>
      <c r="C3849" s="4" t="s">
        <v>15138</v>
      </c>
      <c r="D3849" s="4" t="s">
        <v>58</v>
      </c>
      <c r="E3849" s="5" t="n">
        <v>33107</v>
      </c>
      <c r="F3849" s="4" t="n">
        <v>3</v>
      </c>
      <c r="G3849" s="4" t="s">
        <v>15139</v>
      </c>
      <c r="H3849" s="4" t="n">
        <v>39.92035</v>
      </c>
      <c r="I3849" s="4" t="n">
        <v>-80.7447</v>
      </c>
      <c r="J3849" s="4" t="s">
        <v>15140</v>
      </c>
      <c r="K3849" s="6" t="str">
        <f aca="false">HYPERLINK("https://www.google.com/search?q=Moundsville-Marshall+County+Public+Library+Moundsville+WV+library+website","Search")</f>
        <v>Search</v>
      </c>
      <c r="L3849" s="7"/>
      <c r="M3849" s="7"/>
    </row>
    <row r="3850" customFormat="false" ht="15" hidden="false" customHeight="true" outlineLevel="0" collapsed="false">
      <c r="A3850" s="4" t="s">
        <v>15031</v>
      </c>
      <c r="B3850" s="4" t="s">
        <v>5119</v>
      </c>
      <c r="C3850" s="4" t="s">
        <v>3718</v>
      </c>
      <c r="D3850" s="4" t="s">
        <v>5120</v>
      </c>
      <c r="E3850" s="5" t="n">
        <v>44443</v>
      </c>
      <c r="F3850" s="4" t="n">
        <v>1</v>
      </c>
      <c r="G3850" s="4" t="s">
        <v>15141</v>
      </c>
      <c r="H3850" s="4" t="n">
        <v>40.06409</v>
      </c>
      <c r="I3850" s="4" t="n">
        <v>-80.72005</v>
      </c>
      <c r="J3850" s="4" t="s">
        <v>15142</v>
      </c>
      <c r="K3850" s="6" t="str">
        <f aca="false">HYPERLINK("https://www.google.com/search?q=Ohio+County+Public+Library+Wheeling+WV+library+website","Search")</f>
        <v>Search</v>
      </c>
      <c r="L3850" s="7"/>
      <c r="M3850" s="7"/>
    </row>
    <row r="3851" customFormat="false" ht="15" hidden="false" customHeight="true" outlineLevel="0" collapsed="false">
      <c r="A3851" s="4" t="s">
        <v>15031</v>
      </c>
      <c r="B3851" s="4" t="s">
        <v>15143</v>
      </c>
      <c r="C3851" s="4" t="s">
        <v>15144</v>
      </c>
      <c r="D3851" s="4" t="s">
        <v>10722</v>
      </c>
      <c r="E3851" s="5" t="n">
        <v>76207</v>
      </c>
      <c r="F3851" s="4" t="n">
        <v>3</v>
      </c>
      <c r="G3851" s="4" t="s">
        <v>15145</v>
      </c>
      <c r="H3851" s="4" t="n">
        <v>39.28612</v>
      </c>
      <c r="I3851" s="4" t="n">
        <v>-81.53772</v>
      </c>
      <c r="J3851" s="4" t="s">
        <v>15146</v>
      </c>
      <c r="K3851" s="6" t="str">
        <f aca="false">HYPERLINK("https://www.google.com/search?q=Parkersburg%2FWood+Co.+Public+Library+Parkersburg+WV+library+website","Search")</f>
        <v>Search</v>
      </c>
      <c r="L3851" s="7"/>
      <c r="M3851" s="7"/>
    </row>
    <row r="3852" customFormat="false" ht="15" hidden="false" customHeight="true" outlineLevel="0" collapsed="false">
      <c r="A3852" s="4" t="s">
        <v>15031</v>
      </c>
      <c r="B3852" s="4" t="s">
        <v>4582</v>
      </c>
      <c r="C3852" s="4" t="s">
        <v>4583</v>
      </c>
      <c r="D3852" s="4" t="s">
        <v>5095</v>
      </c>
      <c r="E3852" s="5" t="n">
        <v>12459</v>
      </c>
      <c r="F3852" s="4" t="n">
        <v>1</v>
      </c>
      <c r="G3852" s="4" t="s">
        <v>15147</v>
      </c>
      <c r="H3852" s="4" t="n">
        <v>37.3695</v>
      </c>
      <c r="I3852" s="4" t="n">
        <v>-81.09617</v>
      </c>
      <c r="J3852" s="4" t="s">
        <v>15148</v>
      </c>
      <c r="K3852" s="6" t="str">
        <f aca="false">HYPERLINK("https://www.google.com/search?q=Princeton+Public+Library+Princeton+WV+library+website","Search")</f>
        <v>Search</v>
      </c>
      <c r="L3852" s="7"/>
      <c r="M3852" s="7"/>
    </row>
    <row r="3853" customFormat="false" ht="15" hidden="false" customHeight="true" outlineLevel="0" collapsed="false">
      <c r="A3853" s="4" t="s">
        <v>15031</v>
      </c>
      <c r="B3853" s="4" t="s">
        <v>12816</v>
      </c>
      <c r="C3853" s="4" t="s">
        <v>15149</v>
      </c>
      <c r="D3853" s="4" t="s">
        <v>4589</v>
      </c>
      <c r="E3853" s="5" t="n">
        <v>55486</v>
      </c>
      <c r="F3853" s="4" t="n">
        <v>5</v>
      </c>
      <c r="G3853" s="4" t="s">
        <v>15150</v>
      </c>
      <c r="H3853" s="4" t="n">
        <v>38.45997</v>
      </c>
      <c r="I3853" s="4" t="n">
        <v>-81.93365</v>
      </c>
      <c r="J3853" s="4" t="s">
        <v>15151</v>
      </c>
      <c r="K3853" s="6" t="str">
        <f aca="false">HYPERLINK("https://www.google.com/search?q=Putnam+County+Library+Hurricane+WV+library+website","Search")</f>
        <v>Search</v>
      </c>
      <c r="L3853" s="7"/>
      <c r="M3853" s="7"/>
    </row>
    <row r="3854" customFormat="false" ht="15" hidden="false" customHeight="true" outlineLevel="0" collapsed="false">
      <c r="A3854" s="4" t="s">
        <v>15031</v>
      </c>
      <c r="B3854" s="4" t="s">
        <v>15152</v>
      </c>
      <c r="C3854" s="4" t="s">
        <v>15153</v>
      </c>
      <c r="D3854" s="4" t="s">
        <v>8175</v>
      </c>
      <c r="E3854" s="5" t="n">
        <v>78859</v>
      </c>
      <c r="F3854" s="4" t="n">
        <v>3</v>
      </c>
      <c r="G3854" s="4" t="s">
        <v>15154</v>
      </c>
      <c r="H3854" s="4" t="n">
        <v>37.77984</v>
      </c>
      <c r="I3854" s="4" t="n">
        <v>-81.18779</v>
      </c>
      <c r="J3854" s="4" t="s">
        <v>15155</v>
      </c>
      <c r="K3854" s="6" t="str">
        <f aca="false">HYPERLINK("https://www.google.com/search?q=Raleigh+County+Public+Library+Beckley+WV+library+website","Search")</f>
        <v>Search</v>
      </c>
      <c r="L3854" s="7"/>
      <c r="M3854" s="7"/>
    </row>
    <row r="3855" customFormat="false" ht="15" hidden="false" customHeight="true" outlineLevel="0" collapsed="false">
      <c r="A3855" s="4" t="s">
        <v>15031</v>
      </c>
      <c r="B3855" s="4" t="s">
        <v>15156</v>
      </c>
      <c r="C3855" s="4" t="s">
        <v>15157</v>
      </c>
      <c r="D3855" s="4" t="s">
        <v>15158</v>
      </c>
      <c r="E3855" s="5" t="n">
        <v>10449</v>
      </c>
      <c r="F3855" s="4" t="n">
        <v>2</v>
      </c>
      <c r="G3855" s="4" t="s">
        <v>15159</v>
      </c>
      <c r="H3855" s="4" t="n">
        <v>39.20949</v>
      </c>
      <c r="I3855" s="4" t="n">
        <v>-81.04788</v>
      </c>
      <c r="J3855" s="4" t="s">
        <v>15160</v>
      </c>
      <c r="K3855" s="6" t="str">
        <f aca="false">HYPERLINK("https://www.google.com/search?q=Ritchie+County+Public+Library+Harrisville+WV+library+website","Search")</f>
        <v>Search</v>
      </c>
      <c r="L3855" s="7"/>
      <c r="M3855" s="7"/>
    </row>
    <row r="3856" customFormat="false" ht="15" hidden="false" customHeight="true" outlineLevel="0" collapsed="false">
      <c r="A3856" s="4" t="s">
        <v>15031</v>
      </c>
      <c r="B3856" s="4" t="s">
        <v>15161</v>
      </c>
      <c r="C3856" s="4" t="s">
        <v>3118</v>
      </c>
      <c r="D3856" s="4" t="s">
        <v>12649</v>
      </c>
      <c r="E3856" s="5" t="n">
        <v>14926</v>
      </c>
      <c r="F3856" s="4" t="n">
        <v>3</v>
      </c>
      <c r="G3856" s="4" t="s">
        <v>15162</v>
      </c>
      <c r="H3856" s="4" t="n">
        <v>38.80302</v>
      </c>
      <c r="I3856" s="4" t="n">
        <v>-81.35052</v>
      </c>
      <c r="J3856" s="4" t="s">
        <v>15163</v>
      </c>
      <c r="K3856" s="6" t="str">
        <f aca="false">HYPERLINK("https://www.google.com/search?q=Roane+County+Public+Library+Spencer+WV+library+website","Search")</f>
        <v>Search</v>
      </c>
      <c r="L3856" s="7"/>
      <c r="M3856" s="7"/>
    </row>
    <row r="3857" customFormat="false" ht="15" hidden="false" customHeight="true" outlineLevel="0" collapsed="false">
      <c r="A3857" s="4" t="s">
        <v>15031</v>
      </c>
      <c r="B3857" s="4" t="s">
        <v>15164</v>
      </c>
      <c r="C3857" s="4" t="s">
        <v>15165</v>
      </c>
      <c r="D3857" s="4" t="s">
        <v>98</v>
      </c>
      <c r="E3857" s="5" t="n">
        <v>17833</v>
      </c>
      <c r="F3857" s="4" t="n">
        <v>1</v>
      </c>
      <c r="G3857" s="4" t="s">
        <v>15166</v>
      </c>
      <c r="H3857" s="4" t="n">
        <v>39.43086</v>
      </c>
      <c r="I3857" s="4" t="n">
        <v>-77.80589</v>
      </c>
      <c r="J3857" s="4" t="s">
        <v>15167</v>
      </c>
      <c r="K3857" s="6" t="str">
        <f aca="false">HYPERLINK("https://www.google.com/search?q=Shepherdstown+Public+Library+Shepherdstown+WV+library+website","Search")</f>
        <v>Search</v>
      </c>
      <c r="L3857" s="7"/>
      <c r="M3857" s="7"/>
    </row>
    <row r="3858" customFormat="false" ht="15" hidden="false" customHeight="true" outlineLevel="0" collapsed="false">
      <c r="A3858" s="4" t="s">
        <v>15031</v>
      </c>
      <c r="B3858" s="4" t="s">
        <v>15168</v>
      </c>
      <c r="C3858" s="4" t="s">
        <v>15169</v>
      </c>
      <c r="D3858" s="4" t="s">
        <v>15090</v>
      </c>
      <c r="E3858" s="5" t="n">
        <v>13450</v>
      </c>
      <c r="F3858" s="4" t="n">
        <v>1</v>
      </c>
      <c r="G3858" s="4" t="s">
        <v>15170</v>
      </c>
      <c r="H3858" s="4" t="n">
        <v>38.36652</v>
      </c>
      <c r="I3858" s="4" t="n">
        <v>-81.69388</v>
      </c>
      <c r="J3858" s="4" t="s">
        <v>15171</v>
      </c>
      <c r="K3858" s="6" t="str">
        <f aca="false">HYPERLINK("https://www.google.com/search?q=South+Charleston+Public+Library+South+Charleston+WV+library+website","Search")</f>
        <v>Search</v>
      </c>
      <c r="L3858" s="7"/>
      <c r="M3858" s="7"/>
    </row>
    <row r="3859" customFormat="false" ht="15" hidden="false" customHeight="true" outlineLevel="0" collapsed="false">
      <c r="A3859" s="4" t="s">
        <v>15031</v>
      </c>
      <c r="B3859" s="4" t="s">
        <v>15172</v>
      </c>
      <c r="C3859" s="4" t="s">
        <v>15173</v>
      </c>
      <c r="D3859" s="4" t="s">
        <v>98</v>
      </c>
      <c r="E3859" s="5" t="n">
        <v>17833</v>
      </c>
      <c r="F3859" s="4" t="n">
        <v>1</v>
      </c>
      <c r="G3859" s="4" t="s">
        <v>15174</v>
      </c>
      <c r="H3859" s="4" t="n">
        <v>39.24886</v>
      </c>
      <c r="I3859" s="4" t="n">
        <v>-77.95884</v>
      </c>
      <c r="J3859" s="4" t="s">
        <v>15175</v>
      </c>
      <c r="K3859" s="6" t="str">
        <f aca="false">HYPERLINK("https://www.google.com/search?q=South+Jefferson+Public+Library+Summit+Point+WV+library+website","Search")</f>
        <v>Search</v>
      </c>
      <c r="L3859" s="7"/>
      <c r="M3859" s="7"/>
    </row>
    <row r="3860" customFormat="false" ht="15" hidden="false" customHeight="true" outlineLevel="0" collapsed="false">
      <c r="A3860" s="4" t="s">
        <v>15031</v>
      </c>
      <c r="B3860" s="4" t="s">
        <v>15176</v>
      </c>
      <c r="C3860" s="4" t="s">
        <v>15177</v>
      </c>
      <c r="D3860" s="4" t="s">
        <v>15178</v>
      </c>
      <c r="E3860" s="5" t="n">
        <v>13927</v>
      </c>
      <c r="F3860" s="4" t="n">
        <v>1</v>
      </c>
      <c r="G3860" s="4" t="s">
        <v>15179</v>
      </c>
      <c r="H3860" s="4" t="n">
        <v>37.67387</v>
      </c>
      <c r="I3860" s="4" t="n">
        <v>-80.891</v>
      </c>
      <c r="J3860" s="4" t="s">
        <v>15180</v>
      </c>
      <c r="K3860" s="6" t="str">
        <f aca="false">HYPERLINK("https://www.google.com/search?q=Summers+County+Public+Library+Hinton+WV+library+website","Search")</f>
        <v>Search</v>
      </c>
      <c r="L3860" s="7"/>
      <c r="M3860" s="7"/>
    </row>
    <row r="3861" customFormat="false" ht="15" hidden="false" customHeight="true" outlineLevel="0" collapsed="false">
      <c r="A3861" s="4" t="s">
        <v>15031</v>
      </c>
      <c r="B3861" s="4" t="s">
        <v>5177</v>
      </c>
      <c r="C3861" s="4" t="s">
        <v>5692</v>
      </c>
      <c r="D3861" s="4" t="s">
        <v>5179</v>
      </c>
      <c r="E3861" s="5" t="n">
        <v>16895</v>
      </c>
      <c r="F3861" s="4" t="n">
        <v>1</v>
      </c>
      <c r="G3861" s="4" t="s">
        <v>15181</v>
      </c>
      <c r="H3861" s="4" t="n">
        <v>39.3368</v>
      </c>
      <c r="I3861" s="4" t="n">
        <v>-80.0252</v>
      </c>
      <c r="J3861" s="4" t="s">
        <v>15182</v>
      </c>
      <c r="K3861" s="6" t="str">
        <f aca="false">HYPERLINK("https://www.google.com/search?q=Taylor+County+Public+Library+Grafton+WV+library+website","Search")</f>
        <v>Search</v>
      </c>
      <c r="L3861" s="7"/>
      <c r="M3861" s="7"/>
    </row>
    <row r="3862" customFormat="false" ht="15" hidden="false" customHeight="true" outlineLevel="0" collapsed="false">
      <c r="A3862" s="4" t="s">
        <v>15031</v>
      </c>
      <c r="B3862" s="4" t="s">
        <v>15183</v>
      </c>
      <c r="C3862" s="4" t="s">
        <v>15184</v>
      </c>
      <c r="D3862" s="4" t="s">
        <v>3231</v>
      </c>
      <c r="E3862" s="5" t="n">
        <v>13408</v>
      </c>
      <c r="F3862" s="4" t="n">
        <v>1</v>
      </c>
      <c r="G3862" s="4" t="s">
        <v>15185</v>
      </c>
      <c r="H3862" s="4" t="n">
        <v>39.4438</v>
      </c>
      <c r="I3862" s="4" t="n">
        <v>-79.54046</v>
      </c>
      <c r="J3862" s="4" t="s">
        <v>15186</v>
      </c>
      <c r="K3862" s="6" t="str">
        <f aca="false">HYPERLINK("https://www.google.com/search?q=Terra+Alta+Public+Library+Terra+Alta+WV+library+website","Search")</f>
        <v>Search</v>
      </c>
      <c r="L3862" s="7"/>
      <c r="M3862" s="7"/>
    </row>
    <row r="3863" customFormat="false" ht="15" hidden="false" customHeight="true" outlineLevel="0" collapsed="false">
      <c r="A3863" s="4" t="s">
        <v>15031</v>
      </c>
      <c r="B3863" s="4" t="s">
        <v>15187</v>
      </c>
      <c r="C3863" s="4" t="s">
        <v>15188</v>
      </c>
      <c r="D3863" s="4" t="s">
        <v>13840</v>
      </c>
      <c r="E3863" s="5" t="n">
        <v>18615</v>
      </c>
      <c r="F3863" s="4" t="n">
        <v>1</v>
      </c>
      <c r="G3863" s="4" t="s">
        <v>15189</v>
      </c>
      <c r="H3863" s="4" t="n">
        <v>38.96579</v>
      </c>
      <c r="I3863" s="4" t="n">
        <v>-80.24042</v>
      </c>
      <c r="J3863" s="4" t="s">
        <v>15190</v>
      </c>
      <c r="K3863" s="6" t="str">
        <f aca="false">HYPERLINK("https://www.google.com/search?q=Upshur+County+Public+Library+Buckhannon+WV+library+website","Search")</f>
        <v>Search</v>
      </c>
      <c r="L3863" s="7"/>
      <c r="M3863" s="7"/>
    </row>
    <row r="3864" customFormat="false" ht="15" hidden="false" customHeight="true" outlineLevel="0" collapsed="false">
      <c r="A3864" s="4" t="s">
        <v>15031</v>
      </c>
      <c r="B3864" s="4" t="s">
        <v>15191</v>
      </c>
      <c r="C3864" s="4" t="s">
        <v>7421</v>
      </c>
      <c r="D3864" s="4" t="s">
        <v>10722</v>
      </c>
      <c r="E3864" s="5" t="n">
        <v>10749</v>
      </c>
      <c r="F3864" s="4" t="n">
        <v>1</v>
      </c>
      <c r="G3864" s="4" t="s">
        <v>15192</v>
      </c>
      <c r="H3864" s="4" t="n">
        <v>39.32257</v>
      </c>
      <c r="I3864" s="4" t="n">
        <v>-81.55378</v>
      </c>
      <c r="J3864" s="4" t="s">
        <v>15193</v>
      </c>
      <c r="K3864" s="6" t="str">
        <f aca="false">HYPERLINK("https://www.google.com/search?q=Vienna+Public+Library+Vienna+WV+library+website","Search")</f>
        <v>Search</v>
      </c>
      <c r="L3864" s="7"/>
      <c r="M3864" s="7"/>
    </row>
    <row r="3865" customFormat="false" ht="15" hidden="false" customHeight="true" outlineLevel="0" collapsed="false">
      <c r="A3865" s="4" t="s">
        <v>15031</v>
      </c>
      <c r="B3865" s="4" t="s">
        <v>5197</v>
      </c>
      <c r="C3865" s="4" t="s">
        <v>15194</v>
      </c>
      <c r="D3865" s="4" t="s">
        <v>2849</v>
      </c>
      <c r="E3865" s="5" t="n">
        <v>42481</v>
      </c>
      <c r="F3865" s="4" t="n">
        <v>3</v>
      </c>
      <c r="G3865" s="4" t="s">
        <v>15195</v>
      </c>
      <c r="H3865" s="4" t="n">
        <v>38.40014</v>
      </c>
      <c r="I3865" s="4" t="n">
        <v>-82.57441</v>
      </c>
      <c r="J3865" s="4" t="s">
        <v>15196</v>
      </c>
      <c r="K3865" s="6" t="str">
        <f aca="false">HYPERLINK("https://www.google.com/search?q=Wayne+County+Public+Library+Kenova+WV+library+website","Search")</f>
        <v>Search</v>
      </c>
      <c r="L3865" s="7"/>
      <c r="M3865" s="7"/>
    </row>
    <row r="3866" customFormat="false" ht="15" hidden="false" customHeight="true" outlineLevel="0" collapsed="false">
      <c r="A3866" s="4" t="s">
        <v>15031</v>
      </c>
      <c r="B3866" s="4" t="s">
        <v>15197</v>
      </c>
      <c r="C3866" s="4" t="s">
        <v>7462</v>
      </c>
      <c r="D3866" s="4" t="s">
        <v>10123</v>
      </c>
      <c r="E3866" s="5" t="n">
        <v>23796</v>
      </c>
      <c r="F3866" s="4" t="n">
        <v>4</v>
      </c>
      <c r="G3866" s="4" t="s">
        <v>15198</v>
      </c>
      <c r="H3866" s="4" t="n">
        <v>37.58109</v>
      </c>
      <c r="I3866" s="4" t="n">
        <v>-81.53566</v>
      </c>
      <c r="J3866" s="4" t="s">
        <v>15199</v>
      </c>
      <c r="K3866" s="6" t="str">
        <f aca="false">HYPERLINK("https://www.google.com/search?q=Wyoming+County+Public+Library+Pineville+WV+library+website","Search")</f>
        <v>Search</v>
      </c>
      <c r="L3866" s="7"/>
      <c r="M3866" s="7"/>
    </row>
    <row r="3867" customFormat="false" ht="15" hidden="false" customHeight="true" outlineLevel="0" collapsed="false">
      <c r="A3867" s="4" t="s">
        <v>15200</v>
      </c>
      <c r="B3867" s="4" t="s">
        <v>15201</v>
      </c>
      <c r="C3867" s="4" t="s">
        <v>15202</v>
      </c>
      <c r="D3867" s="4" t="s">
        <v>2671</v>
      </c>
      <c r="E3867" s="5" t="n">
        <v>37079</v>
      </c>
      <c r="F3867" s="4" t="n">
        <v>3</v>
      </c>
      <c r="G3867" s="4" t="s">
        <v>15203</v>
      </c>
      <c r="H3867" s="4" t="n">
        <v>41.31025</v>
      </c>
      <c r="I3867" s="4" t="n">
        <v>-105.58715</v>
      </c>
      <c r="J3867" s="4" t="s">
        <v>15204</v>
      </c>
      <c r="K3867" s="6" t="str">
        <f aca="false">HYPERLINK("https://www.google.com/search?q=Albany+County+Public+Library+Laramie+WY+library+website","Search")</f>
        <v>Search</v>
      </c>
      <c r="L3867" s="7"/>
      <c r="M3867" s="7"/>
    </row>
    <row r="3868" customFormat="false" ht="15" hidden="false" customHeight="true" outlineLevel="0" collapsed="false">
      <c r="A3868" s="4" t="s">
        <v>15200</v>
      </c>
      <c r="B3868" s="4" t="s">
        <v>15205</v>
      </c>
      <c r="C3868" s="4" t="s">
        <v>15206</v>
      </c>
      <c r="D3868" s="4" t="s">
        <v>7786</v>
      </c>
      <c r="E3868" s="5" t="n">
        <v>11467</v>
      </c>
      <c r="F3868" s="4" t="n">
        <v>5</v>
      </c>
      <c r="G3868" s="4" t="s">
        <v>15207</v>
      </c>
      <c r="H3868" s="4" t="n">
        <v>44.38115</v>
      </c>
      <c r="I3868" s="4" t="n">
        <v>-108.04149</v>
      </c>
      <c r="J3868" s="4" t="s">
        <v>15208</v>
      </c>
      <c r="K3868" s="6" t="str">
        <f aca="false">HYPERLINK("https://www.google.com/search?q=Big+Horn+County+Library+Basin+WY+library+website","Search")</f>
        <v>Search</v>
      </c>
      <c r="L3868" s="7"/>
      <c r="M3868" s="7"/>
    </row>
    <row r="3869" customFormat="false" ht="15" hidden="false" customHeight="true" outlineLevel="0" collapsed="false">
      <c r="A3869" s="4" t="s">
        <v>15200</v>
      </c>
      <c r="B3869" s="4" t="s">
        <v>15209</v>
      </c>
      <c r="C3869" s="4" t="s">
        <v>15210</v>
      </c>
      <c r="D3869" s="4" t="s">
        <v>1428</v>
      </c>
      <c r="E3869" s="5" t="n">
        <v>47116</v>
      </c>
      <c r="F3869" s="4" t="n">
        <v>2</v>
      </c>
      <c r="G3869" s="4" t="s">
        <v>15211</v>
      </c>
      <c r="H3869" s="4" t="n">
        <v>44.27572</v>
      </c>
      <c r="I3869" s="4" t="n">
        <v>-105.50962</v>
      </c>
      <c r="J3869" s="4" t="s">
        <v>15212</v>
      </c>
      <c r="K3869" s="6" t="str">
        <f aca="false">HYPERLINK("https://www.google.com/search?q=Campbell+County+Public+Library+System+Gillette+WY+library+website","Search")</f>
        <v>Search</v>
      </c>
      <c r="L3869" s="7"/>
      <c r="M3869" s="7"/>
    </row>
    <row r="3870" customFormat="false" ht="15" hidden="false" customHeight="true" outlineLevel="0" collapsed="false">
      <c r="A3870" s="4" t="s">
        <v>15200</v>
      </c>
      <c r="B3870" s="4" t="s">
        <v>15213</v>
      </c>
      <c r="C3870" s="4" t="s">
        <v>15214</v>
      </c>
      <c r="D3870" s="4" t="s">
        <v>11487</v>
      </c>
      <c r="E3870" s="5" t="n">
        <v>14499</v>
      </c>
      <c r="F3870" s="4" t="n">
        <v>8</v>
      </c>
      <c r="G3870" s="4" t="s">
        <v>15215</v>
      </c>
      <c r="H3870" s="4" t="n">
        <v>41.78938</v>
      </c>
      <c r="I3870" s="4" t="n">
        <v>-107.23708</v>
      </c>
      <c r="J3870" s="4" t="s">
        <v>15216</v>
      </c>
      <c r="K3870" s="6" t="str">
        <f aca="false">HYPERLINK("https://www.google.com/search?q=Carbon+County+Library+System+Rawlins+WY+library+website","Search")</f>
        <v>Search</v>
      </c>
      <c r="L3870" s="7"/>
      <c r="M3870" s="7"/>
    </row>
    <row r="3871" customFormat="false" ht="15" hidden="false" customHeight="true" outlineLevel="0" collapsed="false">
      <c r="A3871" s="4" t="s">
        <v>15200</v>
      </c>
      <c r="B3871" s="4" t="s">
        <v>15217</v>
      </c>
      <c r="C3871" s="4" t="s">
        <v>719</v>
      </c>
      <c r="D3871" s="4" t="s">
        <v>13120</v>
      </c>
      <c r="E3871" s="5" t="n">
        <v>13724</v>
      </c>
      <c r="F3871" s="4" t="n">
        <v>2</v>
      </c>
      <c r="G3871" s="4" t="s">
        <v>15218</v>
      </c>
      <c r="H3871" s="4" t="n">
        <v>42.76093</v>
      </c>
      <c r="I3871" s="4" t="n">
        <v>-105.38372</v>
      </c>
      <c r="J3871" s="4" t="s">
        <v>15219</v>
      </c>
      <c r="K3871" s="6" t="str">
        <f aca="false">HYPERLINK("https://www.google.com/search?q=Converse+County+Library+System+Douglas+WY+library+website","Search")</f>
        <v>Search</v>
      </c>
      <c r="L3871" s="7"/>
      <c r="M3871" s="7"/>
    </row>
    <row r="3872" customFormat="false" ht="15" hidden="false" customHeight="true" outlineLevel="0" collapsed="false">
      <c r="A3872" s="4" t="s">
        <v>15200</v>
      </c>
      <c r="B3872" s="4" t="s">
        <v>15220</v>
      </c>
      <c r="C3872" s="4" t="s">
        <v>15221</v>
      </c>
      <c r="D3872" s="4" t="s">
        <v>863</v>
      </c>
      <c r="E3872" s="5" t="n">
        <v>39177</v>
      </c>
      <c r="F3872" s="4" t="n">
        <v>3</v>
      </c>
      <c r="G3872" s="4" t="s">
        <v>15222</v>
      </c>
      <c r="H3872" s="4" t="n">
        <v>42.83608</v>
      </c>
      <c r="I3872" s="4" t="n">
        <v>-108.72789</v>
      </c>
      <c r="J3872" s="4" t="s">
        <v>15223</v>
      </c>
      <c r="K3872" s="6" t="str">
        <f aca="false">HYPERLINK("https://www.google.com/search?q=Fremont+County+Library+System+Lander+WY+library+website","Search")</f>
        <v>Search</v>
      </c>
      <c r="L3872" s="7"/>
      <c r="M3872" s="7"/>
    </row>
    <row r="3873" customFormat="false" ht="15" hidden="false" customHeight="true" outlineLevel="0" collapsed="false">
      <c r="A3873" s="4" t="s">
        <v>15200</v>
      </c>
      <c r="B3873" s="4" t="s">
        <v>15224</v>
      </c>
      <c r="C3873" s="4" t="s">
        <v>2142</v>
      </c>
      <c r="D3873" s="4" t="s">
        <v>4358</v>
      </c>
      <c r="E3873" s="5" t="n">
        <v>12503</v>
      </c>
      <c r="F3873" s="4" t="n">
        <v>1</v>
      </c>
      <c r="G3873" s="4" t="s">
        <v>15225</v>
      </c>
      <c r="H3873" s="4" t="n">
        <v>42.06422</v>
      </c>
      <c r="I3873" s="4" t="n">
        <v>-104.18298</v>
      </c>
      <c r="J3873" s="4" t="s">
        <v>15226</v>
      </c>
      <c r="K3873" s="6" t="str">
        <f aca="false">HYPERLINK("https://www.google.com/search?q=Goshen+County+Library+Torrington+WY+library+website","Search")</f>
        <v>Search</v>
      </c>
      <c r="L3873" s="7"/>
      <c r="M3873" s="7"/>
    </row>
    <row r="3874" customFormat="false" ht="15" hidden="false" customHeight="true" outlineLevel="0" collapsed="false">
      <c r="A3874" s="4" t="s">
        <v>15200</v>
      </c>
      <c r="B3874" s="4" t="s">
        <v>15227</v>
      </c>
      <c r="C3874" s="4" t="s">
        <v>15228</v>
      </c>
      <c r="D3874" s="4" t="s">
        <v>15202</v>
      </c>
      <c r="E3874" s="5" t="n">
        <v>100690</v>
      </c>
      <c r="F3874" s="4" t="n">
        <v>3</v>
      </c>
      <c r="G3874" s="4" t="s">
        <v>15229</v>
      </c>
      <c r="H3874" s="4" t="n">
        <v>41.13771</v>
      </c>
      <c r="I3874" s="4" t="n">
        <v>-104.82133</v>
      </c>
      <c r="J3874" s="4" t="s">
        <v>15230</v>
      </c>
      <c r="K3874" s="6" t="str">
        <f aca="false">HYPERLINK("https://www.google.com/search?q=Laramie+County+Library+System+Cheyenne+WY+library+website","Search")</f>
        <v>Search</v>
      </c>
      <c r="L3874" s="7"/>
      <c r="M3874" s="7"/>
    </row>
    <row r="3875" customFormat="false" ht="15" hidden="false" customHeight="true" outlineLevel="0" collapsed="false">
      <c r="A3875" s="4" t="s">
        <v>15200</v>
      </c>
      <c r="B3875" s="4" t="s">
        <v>15231</v>
      </c>
      <c r="C3875" s="4" t="s">
        <v>15232</v>
      </c>
      <c r="D3875" s="4" t="s">
        <v>1131</v>
      </c>
      <c r="E3875" s="5" t="n">
        <v>19674</v>
      </c>
      <c r="F3875" s="4" t="n">
        <v>6</v>
      </c>
      <c r="G3875" s="4" t="s">
        <v>15233</v>
      </c>
      <c r="H3875" s="4" t="n">
        <v>41.79469</v>
      </c>
      <c r="I3875" s="4" t="n">
        <v>-110.54191</v>
      </c>
      <c r="J3875" s="4" t="s">
        <v>15234</v>
      </c>
      <c r="K3875" s="6" t="str">
        <f aca="false">HYPERLINK("https://www.google.com/search?q=Lincoln+County+Library+System+Kemmerer+WY+library+website","Search")</f>
        <v>Search</v>
      </c>
      <c r="L3875" s="7"/>
      <c r="M3875" s="7"/>
    </row>
    <row r="3876" customFormat="false" ht="15" hidden="false" customHeight="true" outlineLevel="0" collapsed="false">
      <c r="A3876" s="4" t="s">
        <v>15200</v>
      </c>
      <c r="B3876" s="4" t="s">
        <v>15235</v>
      </c>
      <c r="C3876" s="4" t="s">
        <v>15236</v>
      </c>
      <c r="D3876" s="4" t="s">
        <v>15237</v>
      </c>
      <c r="E3876" s="5" t="n">
        <v>80229</v>
      </c>
      <c r="F3876" s="4" t="n">
        <v>2</v>
      </c>
      <c r="G3876" s="4" t="s">
        <v>15238</v>
      </c>
      <c r="H3876" s="4" t="n">
        <v>42.84846</v>
      </c>
      <c r="I3876" s="4" t="n">
        <v>-106.32186</v>
      </c>
      <c r="J3876" s="4" t="s">
        <v>15239</v>
      </c>
      <c r="K3876" s="6" t="str">
        <f aca="false">HYPERLINK("https://www.google.com/search?q=Natrona+County+Library+System+Casper+WY+library+website","Search")</f>
        <v>Search</v>
      </c>
      <c r="L3876" s="7"/>
      <c r="M3876" s="7"/>
    </row>
    <row r="3877" customFormat="false" ht="15" hidden="false" customHeight="true" outlineLevel="0" collapsed="false">
      <c r="A3877" s="4" t="s">
        <v>15200</v>
      </c>
      <c r="B3877" s="4" t="s">
        <v>15240</v>
      </c>
      <c r="C3877" s="4" t="s">
        <v>15241</v>
      </c>
      <c r="D3877" s="4" t="s">
        <v>1721</v>
      </c>
      <c r="E3877" s="5" t="n">
        <v>29656</v>
      </c>
      <c r="F3877" s="4" t="n">
        <v>3</v>
      </c>
      <c r="G3877" s="4" t="s">
        <v>15242</v>
      </c>
      <c r="H3877" s="4" t="n">
        <v>44.52217</v>
      </c>
      <c r="I3877" s="4" t="n">
        <v>-109.06102</v>
      </c>
      <c r="J3877" s="4" t="s">
        <v>15243</v>
      </c>
      <c r="K3877" s="6" t="str">
        <f aca="false">HYPERLINK("https://www.google.com/search?q=Park+County+Library+System+Cody+WY+library+website","Search")</f>
        <v>Search</v>
      </c>
      <c r="L3877" s="7"/>
      <c r="M3877" s="7"/>
    </row>
    <row r="3878" customFormat="false" ht="15" hidden="false" customHeight="true" outlineLevel="0" collapsed="false">
      <c r="A3878" s="4" t="s">
        <v>15200</v>
      </c>
      <c r="B3878" s="4" t="s">
        <v>15244</v>
      </c>
      <c r="C3878" s="4" t="s">
        <v>15245</v>
      </c>
      <c r="D3878" s="4" t="s">
        <v>15245</v>
      </c>
      <c r="E3878" s="5" t="n">
        <v>30996</v>
      </c>
      <c r="F3878" s="4" t="n">
        <v>4</v>
      </c>
      <c r="G3878" s="4" t="s">
        <v>15246</v>
      </c>
      <c r="H3878" s="4" t="n">
        <v>44.80083</v>
      </c>
      <c r="I3878" s="4" t="n">
        <v>-106.95755</v>
      </c>
      <c r="J3878" s="4" t="s">
        <v>15247</v>
      </c>
      <c r="K3878" s="6" t="str">
        <f aca="false">HYPERLINK("https://www.google.com/search?q=Sheridan+County+Library+System+Sheridan+WY+library+website","Search")</f>
        <v>Search</v>
      </c>
      <c r="L3878" s="7"/>
      <c r="M3878" s="7"/>
    </row>
    <row r="3879" customFormat="false" ht="15" hidden="false" customHeight="true" outlineLevel="0" collapsed="false">
      <c r="A3879" s="4" t="s">
        <v>15200</v>
      </c>
      <c r="B3879" s="4" t="s">
        <v>15248</v>
      </c>
      <c r="C3879" s="4" t="s">
        <v>15249</v>
      </c>
      <c r="D3879" s="4" t="s">
        <v>12875</v>
      </c>
      <c r="E3879" s="5" t="n">
        <v>42158</v>
      </c>
      <c r="F3879" s="4" t="n">
        <v>10</v>
      </c>
      <c r="G3879" s="4" t="s">
        <v>15250</v>
      </c>
      <c r="H3879" s="4" t="n">
        <v>41.53041</v>
      </c>
      <c r="I3879" s="4" t="n">
        <v>-109.46448</v>
      </c>
      <c r="J3879" s="4" t="s">
        <v>15251</v>
      </c>
      <c r="K3879" s="6" t="str">
        <f aca="false">HYPERLINK("https://www.google.com/search?q=Sweetwater+County+Library+System+Green+River+WY+library+website","Search")</f>
        <v>Search</v>
      </c>
      <c r="L3879" s="7"/>
      <c r="M3879" s="7"/>
    </row>
    <row r="3880" customFormat="false" ht="15" hidden="false" customHeight="true" outlineLevel="0" collapsed="false">
      <c r="A3880" s="4" t="s">
        <v>15200</v>
      </c>
      <c r="B3880" s="4" t="s">
        <v>15252</v>
      </c>
      <c r="C3880" s="4" t="s">
        <v>389</v>
      </c>
      <c r="D3880" s="4" t="s">
        <v>3286</v>
      </c>
      <c r="E3880" s="5" t="n">
        <v>23347</v>
      </c>
      <c r="F3880" s="4" t="n">
        <v>2</v>
      </c>
      <c r="G3880" s="4" t="s">
        <v>15253</v>
      </c>
      <c r="H3880" s="4" t="n">
        <v>43.47165</v>
      </c>
      <c r="I3880" s="4" t="n">
        <v>-110.77923</v>
      </c>
      <c r="J3880" s="4" t="s">
        <v>15254</v>
      </c>
      <c r="K3880" s="6" t="str">
        <f aca="false">HYPERLINK("https://www.google.com/search?q=Teton+County+Library+Jackson+WY+library+website","Search")</f>
        <v>Search</v>
      </c>
      <c r="L3880" s="7"/>
      <c r="M3880" s="7"/>
    </row>
    <row r="3881" customFormat="false" ht="15" hidden="false" customHeight="true" outlineLevel="0" collapsed="false">
      <c r="A3881" s="4" t="s">
        <v>15200</v>
      </c>
      <c r="B3881" s="4" t="s">
        <v>15255</v>
      </c>
      <c r="C3881" s="4" t="s">
        <v>3554</v>
      </c>
      <c r="D3881" s="4" t="s">
        <v>15256</v>
      </c>
      <c r="E3881" s="5" t="n">
        <v>20441</v>
      </c>
      <c r="F3881" s="4" t="n">
        <v>3</v>
      </c>
      <c r="G3881" s="4" t="s">
        <v>15257</v>
      </c>
      <c r="H3881" s="4" t="n">
        <v>41.26595</v>
      </c>
      <c r="I3881" s="4" t="n">
        <v>-110.96345</v>
      </c>
      <c r="J3881" s="4" t="s">
        <v>15258</v>
      </c>
      <c r="K3881" s="6" t="str">
        <f aca="false">HYPERLINK("https://www.google.com/search?q=Uinta+County+Library+System+Evanston+WY+library+website","Search")</f>
        <v>Search</v>
      </c>
      <c r="L3881" s="7"/>
      <c r="M3881" s="7"/>
    </row>
  </sheetData>
  <autoFilter ref="A1:M388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26.25" hidden="false" customHeight="true" outlineLevel="0" collapsed="false">
      <c r="A1" s="9" t="s">
        <v>15259</v>
      </c>
    </row>
    <row r="2" customFormat="false" ht="26.25" hidden="false" customHeight="true" outlineLevel="0" collapsed="false">
      <c r="A2" s="9" t="s">
        <v>15260</v>
      </c>
    </row>
    <row r="3" customFormat="false" ht="15" hidden="false" customHeight="true" outlineLevel="0" collapsed="false">
      <c r="A3" s="9" t="s">
        <v>15261</v>
      </c>
    </row>
    <row r="4" customFormat="false" ht="15" hidden="false" customHeight="true" outlineLevel="0" collapsed="false">
      <c r="A4" s="9" t="s">
        <v>15262</v>
      </c>
    </row>
    <row r="5" customFormat="false" ht="15" hidden="false" customHeight="true" outlineLevel="0" collapsed="false">
      <c r="A5" s="9" t="s">
        <v>15263</v>
      </c>
    </row>
    <row r="6" customFormat="false" ht="39.55" hidden="false" customHeight="false" outlineLevel="0" collapsed="false">
      <c r="A6" s="9" t="s">
        <v>15264</v>
      </c>
    </row>
    <row r="7" customFormat="false" ht="26.85" hidden="false" customHeight="false" outlineLevel="0" collapsed="false">
      <c r="A7" s="9" t="s">
        <v>15265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2026-09-12T03:26:24Z</dcterms:created>
  <dc:creator>openpyxl</dc:creator>
  <dc:description/>
  <dc:language>en-US</dc:language>
  <cp:lastModifiedBy/>
  <dcterms:modified xsi:type="dcterms:W3CDTF">2026-09-12T03:28:57Z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